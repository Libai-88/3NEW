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王琼\xwechat_files\wxid_htmz4isoqnj722_4718\msg\file\2026-08\"/>
    </mc:Choice>
  </mc:AlternateContent>
  <bookViews>
    <workbookView windowHeight="17655" activeTab="7"/>
  </bookViews>
  <sheets>
    <sheet name="25.8.20" sheetId="1" r:id="rId1"/>
    <sheet name="25.8.28" sheetId="2" r:id="rId2"/>
    <sheet name="25.8.28-1" sheetId="3" r:id="rId3"/>
    <sheet name="25.9.17" sheetId="4" r:id="rId4"/>
    <sheet name="25.9.18" sheetId="5" r:id="rId5"/>
    <sheet name="25.9.19" sheetId="6" r:id="rId6"/>
    <sheet name="25.9.28" sheetId="7" r:id="rId7"/>
    <sheet name="25.10.13" sheetId="10" r:id="rId8"/>
    <sheet name="25.11.11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王琼</author>
  </authors>
  <commentList>
    <comment ref="D3" authorId="0">
      <text>
        <r>
          <rPr>
            <b/>
            <sz val="9"/>
            <rFont val="宋体"/>
            <charset val="134"/>
          </rPr>
          <t>王琼:</t>
        </r>
        <r>
          <rPr>
            <sz val="9"/>
            <rFont val="宋体"/>
            <charset val="134"/>
          </rPr>
          <t xml:space="preserve">
陈志全搭配G1有机按813+815测试</t>
        </r>
      </text>
    </comment>
  </commentList>
</comments>
</file>

<file path=xl/comments2.xml><?xml version="1.0" encoding="utf-8"?>
<comments xmlns="http://schemas.openxmlformats.org/spreadsheetml/2006/main">
  <authors>
    <author>王琼</author>
  </authors>
  <commentList>
    <comment ref="D3" authorId="0">
      <text>
        <r>
          <rPr>
            <b/>
            <sz val="9"/>
            <rFont val="宋体"/>
            <charset val="134"/>
          </rPr>
          <t>王琼:</t>
        </r>
        <r>
          <rPr>
            <sz val="9"/>
            <rFont val="宋体"/>
            <charset val="134"/>
          </rPr>
          <t xml:space="preserve">
陈志全搭配G1有机按813+815测试</t>
        </r>
      </text>
    </comment>
  </commentList>
</comments>
</file>

<file path=xl/comments3.xml><?xml version="1.0" encoding="utf-8"?>
<comments xmlns="http://schemas.openxmlformats.org/spreadsheetml/2006/main">
  <authors>
    <author>王琼</author>
  </authors>
  <commentList>
    <comment ref="D3" authorId="0">
      <text>
        <r>
          <rPr>
            <b/>
            <sz val="9"/>
            <rFont val="宋体"/>
            <charset val="134"/>
          </rPr>
          <t>王琼:</t>
        </r>
        <r>
          <rPr>
            <sz val="9"/>
            <rFont val="宋体"/>
            <charset val="134"/>
          </rPr>
          <t xml:space="preserve">
1、陈志全搭配G1有机按813+815测试25.10.13-面涂有机测试合格 
2、3144-808对标测试分别为单涂12-14克；双涂12-14克
25.10.14</t>
        </r>
      </text>
    </comment>
  </commentList>
</comments>
</file>

<file path=xl/sharedStrings.xml><?xml version="1.0" encoding="utf-8"?>
<sst xmlns="http://schemas.openxmlformats.org/spreadsheetml/2006/main" count="599" uniqueCount="108">
  <si>
    <t>低价内金黄-全合规25.8.20</t>
  </si>
  <si>
    <t>聚酯金黄-1</t>
  </si>
  <si>
    <t>聚酯金黄-2</t>
  </si>
  <si>
    <t>RJ173M</t>
  </si>
  <si>
    <t>RJ561</t>
  </si>
  <si>
    <t>RF950</t>
  </si>
  <si>
    <t>RY460</t>
  </si>
  <si>
    <t>AC040</t>
  </si>
  <si>
    <t>TF100</t>
  </si>
  <si>
    <t>AZ135</t>
  </si>
  <si>
    <t>TM004</t>
  </si>
  <si>
    <t>RA009</t>
  </si>
  <si>
    <t>AL800</t>
  </si>
  <si>
    <t>TZ425</t>
  </si>
  <si>
    <t>合计</t>
  </si>
  <si>
    <t>粘度</t>
  </si>
  <si>
    <t>固含</t>
  </si>
  <si>
    <t>外观</t>
  </si>
  <si>
    <t>浅色</t>
  </si>
  <si>
    <t>浅金黄</t>
  </si>
  <si>
    <t>MEK</t>
  </si>
  <si>
    <t>&lt;50</t>
  </si>
  <si>
    <t>粉末</t>
  </si>
  <si>
    <t>佳仪滑度</t>
  </si>
  <si>
    <t>50KG</t>
  </si>
  <si>
    <t>X</t>
  </si>
  <si>
    <t>少许腐蚀点</t>
  </si>
  <si>
    <t>T弯</t>
  </si>
  <si>
    <t>15mm</t>
  </si>
  <si>
    <t>电腐蚀</t>
  </si>
  <si>
    <t>3级</t>
  </si>
  <si>
    <t>附着力</t>
  </si>
  <si>
    <t>1级</t>
  </si>
  <si>
    <t>硬度</t>
  </si>
  <si>
    <t>2H</t>
  </si>
  <si>
    <t>刮伤</t>
  </si>
  <si>
    <t>BOX</t>
  </si>
  <si>
    <t>4角完好</t>
  </si>
  <si>
    <t>121*60水煮后BOX</t>
  </si>
  <si>
    <t>121℃*60min水煮</t>
  </si>
  <si>
    <t>2级</t>
  </si>
  <si>
    <t>121℃*60min蒸汽煮</t>
  </si>
  <si>
    <t>121℃*60min-3%盐</t>
  </si>
  <si>
    <t>121℃*60min-2H</t>
  </si>
  <si>
    <t>121℃*60min-3H</t>
  </si>
  <si>
    <t>121℃*60min
-三合一S</t>
  </si>
  <si>
    <t>3-4级</t>
  </si>
  <si>
    <t>低价内金黄-全合规25.8.28</t>
  </si>
  <si>
    <t>IR557</t>
  </si>
  <si>
    <t>tf100</t>
  </si>
  <si>
    <t>IA8000</t>
  </si>
  <si>
    <t>TF022</t>
  </si>
  <si>
    <t>少许点</t>
  </si>
  <si>
    <t>聚酯金黄-4</t>
  </si>
  <si>
    <t>聚酯金黄-5</t>
  </si>
  <si>
    <t>聚酯金黄-6</t>
  </si>
  <si>
    <t>50C</t>
  </si>
  <si>
    <t>15-20mm</t>
  </si>
  <si>
    <t>低价内金黄-全合规25.9.17</t>
  </si>
  <si>
    <t>808-1</t>
  </si>
  <si>
    <t>808-2</t>
  </si>
  <si>
    <t>808-3</t>
  </si>
  <si>
    <t>808-4</t>
  </si>
  <si>
    <t>3144-808</t>
  </si>
  <si>
    <t>IR909</t>
  </si>
  <si>
    <t>R170M</t>
  </si>
  <si>
    <t>粘度低</t>
  </si>
  <si>
    <t>2角完好</t>
  </si>
  <si>
    <t>低价内金黄-全合规25.9.18</t>
  </si>
  <si>
    <t>百分比</t>
  </si>
  <si>
    <t>500克</t>
  </si>
  <si>
    <t>808-5</t>
  </si>
  <si>
    <t>RF516</t>
  </si>
  <si>
    <t>低价内金黄-全合规25.9.19</t>
  </si>
  <si>
    <t>10%AC040</t>
  </si>
  <si>
    <t>2-3级</t>
  </si>
  <si>
    <t>低价内金黄-全合规25.9.28</t>
  </si>
  <si>
    <t>808-4-A</t>
  </si>
  <si>
    <t>IA800</t>
  </si>
  <si>
    <t>低价内金黄-全合规25.10.13</t>
  </si>
  <si>
    <t>3NX240122-3-义乌42%-25.11.11</t>
  </si>
  <si>
    <t>序号</t>
  </si>
  <si>
    <t>原料代码</t>
  </si>
  <si>
    <t>物料比例</t>
  </si>
  <si>
    <t>250克</t>
  </si>
  <si>
    <t>IR868</t>
  </si>
  <si>
    <t>RY075N</t>
  </si>
  <si>
    <t>补加100#</t>
  </si>
  <si>
    <t>10.2克</t>
  </si>
  <si>
    <t>134S</t>
  </si>
  <si>
    <t>按205*12min;镀锡-18#（42%；膜厚12-14克）</t>
  </si>
  <si>
    <t>涂膜外观</t>
  </si>
  <si>
    <t>金黄</t>
  </si>
  <si>
    <t>55C</t>
  </si>
  <si>
    <t>合格</t>
  </si>
  <si>
    <t>T弯平均值</t>
  </si>
  <si>
    <t>零星点状</t>
  </si>
  <si>
    <t>BOX-121/60水煮</t>
  </si>
  <si>
    <t>3-4角完好</t>
  </si>
  <si>
    <t>三圈硫酸铜</t>
  </si>
  <si>
    <t>度系数最终值</t>
  </si>
  <si>
    <t>121/60水煮</t>
  </si>
  <si>
    <t>121/60蒸汽</t>
  </si>
  <si>
    <t>126/60水煮</t>
  </si>
  <si>
    <t>126/60蒸汽</t>
  </si>
  <si>
    <t>3H</t>
  </si>
  <si>
    <t>S</t>
  </si>
  <si>
    <t>3%盐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</si>
</sst>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6" applyNumberFormat="0" applyAlignment="0" applyProtection="0">
      <alignment vertical="center"/>
    </xf>
    <xf numFmtId="0" fontId="25" fillId="7" borderId="47" applyNumberFormat="0" applyAlignment="0" applyProtection="0">
      <alignment vertical="center"/>
    </xf>
    <xf numFmtId="0" fontId="26" fillId="7" borderId="46" applyNumberFormat="0" applyAlignment="0" applyProtection="0">
      <alignment vertical="center"/>
    </xf>
    <xf numFmtId="0" fontId="27" fillId="8" borderId="48" applyNumberFormat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/>
      <protection hidden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2" fillId="0" borderId="5" xfId="0" applyFont="1" applyFill="1" applyBorder="1" applyAlignment="1" applyProtection="1">
      <alignment horizontal="center" vertical="center"/>
      <protection hidden="1"/>
    </xf>
    <xf numFmtId="0" fontId="3" fillId="0" borderId="6" xfId="0" applyFont="1" applyFill="1" applyBorder="1" applyAlignment="1" applyProtection="1">
      <alignment horizontal="center" vertical="center"/>
      <protection hidden="1"/>
    </xf>
    <xf numFmtId="0" fontId="3" fillId="0" borderId="5" xfId="0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4" fillId="0" borderId="6" xfId="0" applyFont="1" applyFill="1" applyBorder="1" applyAlignment="1" applyProtection="1">
      <alignment horizontal="center" vertical="center"/>
      <protection hidden="1"/>
    </xf>
    <xf numFmtId="0" fontId="3" fillId="0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Fill="1" applyBorder="1" applyAlignment="1" applyProtection="1">
      <alignment horizontal="center" vertical="center"/>
      <protection hidden="1"/>
    </xf>
    <xf numFmtId="0" fontId="3" fillId="0" borderId="9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10" xfId="0" applyFont="1" applyFill="1" applyBorder="1" applyAlignment="1" applyProtection="1">
      <alignment horizontal="center" vertical="center"/>
      <protection hidden="1"/>
    </xf>
    <xf numFmtId="0" fontId="3" fillId="0" borderId="11" xfId="0" applyFont="1" applyFill="1" applyBorder="1" applyAlignment="1" applyProtection="1">
      <alignment horizontal="center" vertical="center"/>
      <protection hidden="1"/>
    </xf>
    <xf numFmtId="0" fontId="3" fillId="3" borderId="12" xfId="0" applyFont="1" applyFill="1" applyBorder="1" applyAlignment="1" applyProtection="1">
      <alignment horizontal="center" vertical="center"/>
      <protection hidden="1"/>
    </xf>
    <xf numFmtId="0" fontId="3" fillId="3" borderId="13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/>
      <protection hidden="1"/>
    </xf>
    <xf numFmtId="0" fontId="3" fillId="0" borderId="14" xfId="0" applyFont="1" applyFill="1" applyBorder="1" applyAlignment="1" applyProtection="1">
      <alignment horizontal="center" vertical="center"/>
      <protection hidden="1"/>
    </xf>
    <xf numFmtId="0" fontId="3" fillId="3" borderId="15" xfId="0" applyFont="1" applyFill="1" applyBorder="1" applyAlignment="1" applyProtection="1">
      <alignment horizontal="center" vertical="center"/>
      <protection hidden="1"/>
    </xf>
    <xf numFmtId="10" fontId="3" fillId="3" borderId="16" xfId="0" applyNumberFormat="1" applyFont="1" applyFill="1" applyBorder="1" applyAlignment="1" applyProtection="1">
      <alignment horizontal="center" vertical="center"/>
      <protection hidden="1"/>
    </xf>
    <xf numFmtId="0" fontId="3" fillId="3" borderId="17" xfId="0" applyFont="1" applyFill="1" applyBorder="1" applyAlignment="1" applyProtection="1">
      <alignment horizontal="center" vertical="center"/>
      <protection hidden="1"/>
    </xf>
    <xf numFmtId="0" fontId="3" fillId="3" borderId="16" xfId="0" applyFont="1" applyFill="1" applyBorder="1" applyAlignment="1" applyProtection="1">
      <alignment horizontal="center" vertical="center"/>
      <protection hidden="1"/>
    </xf>
    <xf numFmtId="0" fontId="0" fillId="0" borderId="9" xfId="0" applyFill="1" applyBorder="1" applyAlignment="1">
      <alignment vertical="center"/>
    </xf>
    <xf numFmtId="0" fontId="5" fillId="0" borderId="18" xfId="0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5" fillId="0" borderId="19" xfId="0" applyFont="1" applyFill="1" applyBorder="1" applyAlignment="1" applyProtection="1">
      <alignment horizontal="center" vertical="center"/>
      <protection hidden="1"/>
    </xf>
    <xf numFmtId="0" fontId="5" fillId="0" borderId="20" xfId="0" applyFont="1" applyFill="1" applyBorder="1" applyAlignment="1" applyProtection="1">
      <alignment horizontal="center" vertical="center"/>
      <protection hidden="1"/>
    </xf>
    <xf numFmtId="0" fontId="5" fillId="0" borderId="6" xfId="0" applyFont="1" applyFill="1" applyBorder="1" applyAlignment="1" applyProtection="1">
      <alignment horizontal="center" vertical="center"/>
      <protection hidden="1"/>
    </xf>
    <xf numFmtId="0" fontId="5" fillId="0" borderId="13" xfId="0" applyFont="1" applyFill="1" applyBorder="1" applyAlignment="1" applyProtection="1">
      <alignment horizontal="center" vertical="center"/>
      <protection hidden="1"/>
    </xf>
    <xf numFmtId="0" fontId="5" fillId="0" borderId="5" xfId="0" applyFont="1" applyFill="1" applyBorder="1" applyAlignment="1" applyProtection="1">
      <alignment horizontal="center" vertical="center"/>
      <protection hidden="1"/>
    </xf>
    <xf numFmtId="0" fontId="6" fillId="0" borderId="4" xfId="0" applyFont="1" applyFill="1" applyBorder="1" applyAlignment="1" applyProtection="1">
      <alignment horizontal="center" vertical="center"/>
      <protection hidden="1"/>
    </xf>
    <xf numFmtId="0" fontId="6" fillId="0" borderId="5" xfId="0" applyFont="1" applyFill="1" applyBorder="1" applyAlignment="1" applyProtection="1">
      <alignment horizontal="center" vertical="center"/>
      <protection hidden="1"/>
    </xf>
    <xf numFmtId="0" fontId="5" fillId="0" borderId="21" xfId="0" applyFont="1" applyFill="1" applyBorder="1" applyAlignment="1" applyProtection="1">
      <alignment horizontal="center" vertical="center"/>
      <protection hidden="1"/>
    </xf>
    <xf numFmtId="0" fontId="3" fillId="0" borderId="21" xfId="0" applyFont="1" applyFill="1" applyBorder="1" applyAlignment="1" applyProtection="1">
      <alignment horizontal="center" vertical="center"/>
      <protection hidden="1"/>
    </xf>
    <xf numFmtId="0" fontId="5" fillId="0" borderId="16" xfId="0" applyFont="1" applyFill="1" applyBorder="1" applyAlignment="1" applyProtection="1">
      <alignment horizontal="center" vertical="center"/>
      <protection hidden="1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/>
      <protection hidden="1"/>
    </xf>
    <xf numFmtId="176" fontId="9" fillId="0" borderId="22" xfId="0" applyNumberFormat="1" applyFont="1" applyFill="1" applyBorder="1" applyAlignment="1" applyProtection="1">
      <alignment horizontal="center" vertical="center"/>
      <protection hidden="1"/>
    </xf>
    <xf numFmtId="176" fontId="9" fillId="2" borderId="22" xfId="0" applyNumberFormat="1" applyFont="1" applyFill="1" applyBorder="1" applyAlignment="1" applyProtection="1">
      <alignment horizontal="center" vertical="center"/>
      <protection hidden="1"/>
    </xf>
    <xf numFmtId="0" fontId="10" fillId="0" borderId="4" xfId="0" applyFont="1" applyFill="1" applyBorder="1" applyAlignment="1" applyProtection="1">
      <alignment horizontal="center" vertical="center"/>
      <protection hidden="1"/>
    </xf>
    <xf numFmtId="0" fontId="3" fillId="0" borderId="22" xfId="0" applyFont="1" applyFill="1" applyBorder="1" applyAlignment="1">
      <alignment horizontal="center" vertical="center"/>
    </xf>
    <xf numFmtId="176" fontId="10" fillId="0" borderId="22" xfId="0" applyNumberFormat="1" applyFont="1" applyFill="1" applyBorder="1" applyAlignment="1" applyProtection="1">
      <alignment horizontal="center" vertical="center"/>
      <protection hidden="1"/>
    </xf>
    <xf numFmtId="176" fontId="8" fillId="0" borderId="22" xfId="0" applyNumberFormat="1" applyFont="1" applyFill="1" applyBorder="1" applyAlignment="1" applyProtection="1">
      <alignment horizontal="center" vertical="center"/>
      <protection hidden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0" fontId="8" fillId="0" borderId="25" xfId="0" applyFont="1" applyFill="1" applyBorder="1" applyAlignment="1" applyProtection="1">
      <alignment horizontal="center" vertical="center"/>
      <protection hidden="1"/>
    </xf>
    <xf numFmtId="176" fontId="11" fillId="0" borderId="23" xfId="0" applyNumberFormat="1" applyFont="1" applyFill="1" applyBorder="1" applyAlignment="1" applyProtection="1">
      <alignment horizontal="center" vertical="center"/>
      <protection hidden="1"/>
    </xf>
    <xf numFmtId="176" fontId="9" fillId="0" borderId="23" xfId="0" applyNumberFormat="1" applyFont="1" applyFill="1" applyBorder="1" applyAlignment="1" applyProtection="1">
      <alignment horizontal="center" vertical="center"/>
      <protection hidden="1"/>
    </xf>
    <xf numFmtId="176" fontId="9" fillId="2" borderId="23" xfId="0" applyNumberFormat="1" applyFont="1" applyFill="1" applyBorder="1" applyAlignment="1" applyProtection="1">
      <alignment horizontal="center" vertical="center"/>
      <protection hidden="1"/>
    </xf>
    <xf numFmtId="0" fontId="0" fillId="0" borderId="22" xfId="0" applyFill="1" applyBorder="1" applyAlignment="1">
      <alignment horizontal="center" vertical="center"/>
    </xf>
    <xf numFmtId="176" fontId="12" fillId="0" borderId="22" xfId="0" applyNumberFormat="1" applyFont="1" applyFill="1" applyBorder="1" applyAlignment="1" applyProtection="1">
      <alignment horizontal="center" vertical="center"/>
      <protection hidden="1"/>
    </xf>
    <xf numFmtId="0" fontId="0" fillId="0" borderId="22" xfId="0" applyFill="1" applyBorder="1" applyAlignment="1">
      <alignment vertical="center"/>
    </xf>
    <xf numFmtId="0" fontId="13" fillId="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0" fillId="4" borderId="22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76" fontId="12" fillId="0" borderId="24" xfId="0" applyNumberFormat="1" applyFont="1" applyFill="1" applyBorder="1" applyAlignment="1" applyProtection="1">
      <alignment horizontal="center" vertical="center"/>
      <protection hidden="1"/>
    </xf>
    <xf numFmtId="0" fontId="0" fillId="0" borderId="25" xfId="0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3" fillId="4" borderId="1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 wrapText="1"/>
    </xf>
    <xf numFmtId="0" fontId="0" fillId="4" borderId="14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 vertical="center"/>
    </xf>
    <xf numFmtId="0" fontId="0" fillId="0" borderId="26" xfId="0" applyFill="1" applyBorder="1" applyAlignment="1">
      <alignment vertical="center"/>
    </xf>
    <xf numFmtId="0" fontId="14" fillId="0" borderId="2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vertical="center"/>
    </xf>
    <xf numFmtId="176" fontId="9" fillId="0" borderId="4" xfId="0" applyNumberFormat="1" applyFont="1" applyFill="1" applyBorder="1" applyAlignment="1" applyProtection="1">
      <alignment horizontal="center" vertical="center"/>
      <protection hidden="1"/>
    </xf>
    <xf numFmtId="0" fontId="0" fillId="0" borderId="29" xfId="0" applyFill="1" applyBorder="1" applyAlignment="1">
      <alignment vertical="center"/>
    </xf>
    <xf numFmtId="176" fontId="12" fillId="0" borderId="27" xfId="0" applyNumberFormat="1" applyFont="1" applyFill="1" applyBorder="1" applyAlignment="1" applyProtection="1">
      <alignment horizontal="center" vertical="center"/>
      <protection hidden="1"/>
    </xf>
    <xf numFmtId="0" fontId="0" fillId="0" borderId="14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13" fillId="4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center" vertical="center"/>
    </xf>
    <xf numFmtId="0" fontId="0" fillId="0" borderId="39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176" fontId="8" fillId="0" borderId="39" xfId="0" applyNumberFormat="1" applyFont="1" applyFill="1" applyBorder="1" applyAlignment="1">
      <alignment vertical="center"/>
    </xf>
    <xf numFmtId="176" fontId="8" fillId="2" borderId="28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 applyProtection="1">
      <alignment horizontal="center" vertical="center"/>
      <protection hidden="1"/>
    </xf>
    <xf numFmtId="0" fontId="0" fillId="0" borderId="34" xfId="0" applyFill="1" applyBorder="1" applyAlignment="1">
      <alignment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 applyProtection="1">
      <alignment horizontal="center" vertical="center"/>
      <protection hidden="1"/>
    </xf>
    <xf numFmtId="0" fontId="10" fillId="0" borderId="22" xfId="0" applyFont="1" applyFill="1" applyBorder="1" applyAlignment="1" applyProtection="1">
      <alignment horizontal="center" vertical="center"/>
      <protection hidden="1"/>
    </xf>
    <xf numFmtId="0" fontId="8" fillId="0" borderId="22" xfId="0" applyFont="1" applyFill="1" applyBorder="1" applyAlignment="1" applyProtection="1">
      <alignment horizontal="center" vertical="center"/>
      <protection hidden="1"/>
    </xf>
    <xf numFmtId="176" fontId="11" fillId="0" borderId="22" xfId="0" applyNumberFormat="1" applyFont="1" applyFill="1" applyBorder="1" applyAlignment="1" applyProtection="1">
      <alignment horizontal="center" vertical="center"/>
      <protection hidden="1"/>
    </xf>
    <xf numFmtId="0" fontId="7" fillId="0" borderId="2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/>
    </xf>
    <xf numFmtId="176" fontId="12" fillId="0" borderId="41" xfId="0" applyNumberFormat="1" applyFont="1" applyFill="1" applyBorder="1" applyAlignment="1" applyProtection="1">
      <alignment horizontal="center" vertical="center"/>
      <protection hidden="1"/>
    </xf>
    <xf numFmtId="0" fontId="14" fillId="0" borderId="22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176" fontId="11" fillId="0" borderId="26" xfId="0" applyNumberFormat="1" applyFont="1" applyFill="1" applyBorder="1" applyAlignment="1" applyProtection="1">
      <alignment horizontal="center" vertical="center"/>
      <protection hidden="1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A8" sqref="A8:C9"/>
    </sheetView>
  </sheetViews>
  <sheetFormatPr defaultColWidth="9" defaultRowHeight="13.5" outlineLevelCol="2"/>
  <cols>
    <col min="1" max="1" width="32.125" style="1" customWidth="1"/>
    <col min="2" max="2" width="18.75" style="1" customWidth="1"/>
    <col min="3" max="3" width="19.625" style="1" customWidth="1"/>
    <col min="4" max="16384" width="9" style="1"/>
  </cols>
  <sheetData>
    <row r="1" s="1" customFormat="1" spans="1:3">
      <c r="A1" s="124" t="s">
        <v>0</v>
      </c>
      <c r="B1" s="125"/>
      <c r="C1" s="125"/>
    </row>
    <row r="2" s="1" customFormat="1" ht="14.25" spans="1:3">
      <c r="A2" s="124"/>
      <c r="B2" s="125"/>
      <c r="C2" s="125"/>
    </row>
    <row r="3" s="1" customFormat="1" ht="18.75" spans="1:3">
      <c r="A3" s="40"/>
      <c r="B3" s="41" t="s">
        <v>1</v>
      </c>
      <c r="C3" s="41" t="s">
        <v>2</v>
      </c>
    </row>
    <row r="4" s="1" customFormat="1" ht="14.25" spans="1:3">
      <c r="A4" s="110" t="s">
        <v>3</v>
      </c>
      <c r="B4" s="44">
        <v>37.01</v>
      </c>
      <c r="C4" s="44">
        <v>37.01</v>
      </c>
    </row>
    <row r="5" s="1" customFormat="1" ht="14.25" spans="1:3">
      <c r="A5" s="43" t="s">
        <v>4</v>
      </c>
      <c r="B5" s="44">
        <v>28.2</v>
      </c>
      <c r="C5" s="44">
        <v>28.2</v>
      </c>
    </row>
    <row r="6" s="1" customFormat="1" ht="14.25" spans="1:3">
      <c r="A6" s="46" t="s">
        <v>5</v>
      </c>
      <c r="B6" s="47"/>
      <c r="C6" s="47">
        <v>5</v>
      </c>
    </row>
    <row r="7" s="1" customFormat="1" ht="14.25" spans="1:3">
      <c r="A7" s="46" t="s">
        <v>6</v>
      </c>
      <c r="B7" s="48">
        <v>5</v>
      </c>
      <c r="C7" s="48">
        <v>5</v>
      </c>
    </row>
    <row r="8" s="1" customFormat="1" ht="14.25" spans="1:3">
      <c r="A8" s="43" t="s">
        <v>7</v>
      </c>
      <c r="B8" s="44">
        <v>0.15</v>
      </c>
      <c r="C8" s="44">
        <v>0.15</v>
      </c>
    </row>
    <row r="9" s="1" customFormat="1" ht="14.25" spans="1:3">
      <c r="A9" s="43" t="s">
        <v>8</v>
      </c>
      <c r="B9" s="44">
        <v>1.35</v>
      </c>
      <c r="C9" s="44">
        <v>1.35</v>
      </c>
    </row>
    <row r="10" s="1" customFormat="1" ht="14.25" spans="1:3">
      <c r="A10" s="43" t="s">
        <v>8</v>
      </c>
      <c r="B10" s="44">
        <v>2</v>
      </c>
      <c r="C10" s="44">
        <v>2</v>
      </c>
    </row>
    <row r="11" s="1" customFormat="1" ht="14.25" spans="1:3">
      <c r="A11" s="43" t="s">
        <v>9</v>
      </c>
      <c r="B11" s="49">
        <v>0.15</v>
      </c>
      <c r="C11" s="49">
        <v>0.15</v>
      </c>
    </row>
    <row r="12" s="1" customFormat="1" ht="14.25" spans="1:3">
      <c r="A12" s="43" t="s">
        <v>10</v>
      </c>
      <c r="B12" s="49">
        <v>1.35</v>
      </c>
      <c r="C12" s="49">
        <v>1.35</v>
      </c>
    </row>
    <row r="13" s="1" customFormat="1" ht="14.25" spans="1:3">
      <c r="A13" s="43" t="s">
        <v>11</v>
      </c>
      <c r="B13" s="49">
        <v>0.25</v>
      </c>
      <c r="C13" s="49">
        <v>0.25</v>
      </c>
    </row>
    <row r="14" s="1" customFormat="1" ht="14.25" spans="1:3">
      <c r="A14" s="43" t="s">
        <v>12</v>
      </c>
      <c r="B14" s="49">
        <v>0.3</v>
      </c>
      <c r="C14" s="49">
        <v>0.3</v>
      </c>
    </row>
    <row r="15" s="1" customFormat="1" ht="14.25" spans="1:3">
      <c r="A15" s="43" t="s">
        <v>10</v>
      </c>
      <c r="B15" s="49">
        <v>1.2</v>
      </c>
      <c r="C15" s="49">
        <v>1.2</v>
      </c>
    </row>
    <row r="16" s="1" customFormat="1" ht="14.25" spans="1:3">
      <c r="A16" s="50" t="s">
        <v>13</v>
      </c>
      <c r="B16" s="49">
        <v>1.5</v>
      </c>
      <c r="C16" s="49">
        <v>1.5</v>
      </c>
    </row>
    <row r="17" s="1" customFormat="1" ht="14.25" spans="1:3">
      <c r="A17" s="50" t="s">
        <v>8</v>
      </c>
      <c r="B17" s="49">
        <v>18</v>
      </c>
      <c r="C17" s="49">
        <v>18</v>
      </c>
    </row>
    <row r="18" s="1" customFormat="1" ht="15" spans="1:3">
      <c r="A18" s="126" t="s">
        <v>14</v>
      </c>
      <c r="B18" s="127">
        <f>SUM(B4:B17)</f>
        <v>96.46</v>
      </c>
      <c r="C18" s="127">
        <f>SUM(C4:C17)</f>
        <v>101.46</v>
      </c>
    </row>
    <row r="19" s="1" customFormat="1" ht="18.75" spans="1:3">
      <c r="A19" s="64" t="s">
        <v>15</v>
      </c>
      <c r="B19" s="65"/>
      <c r="C19" s="65"/>
    </row>
    <row r="20" s="1" customFormat="1" ht="14.25" spans="1:3">
      <c r="A20" s="66" t="s">
        <v>16</v>
      </c>
      <c r="B20" s="67"/>
      <c r="C20" s="67"/>
    </row>
    <row r="21" s="1" customFormat="1" spans="1:3">
      <c r="A21" s="68" t="s">
        <v>17</v>
      </c>
      <c r="B21" s="69" t="s">
        <v>18</v>
      </c>
      <c r="C21" s="69" t="s">
        <v>19</v>
      </c>
    </row>
    <row r="22" s="1" customFormat="1" spans="1:3">
      <c r="A22" s="70" t="s">
        <v>20</v>
      </c>
      <c r="B22" s="59" t="s">
        <v>21</v>
      </c>
      <c r="C22" s="59">
        <v>50</v>
      </c>
    </row>
    <row r="23" s="1" customFormat="1" spans="1:3">
      <c r="A23" s="70" t="s">
        <v>22</v>
      </c>
      <c r="B23" s="59"/>
      <c r="C23" s="59"/>
    </row>
    <row r="24" s="1" customFormat="1" spans="1:3">
      <c r="A24" s="71" t="s">
        <v>23</v>
      </c>
      <c r="B24" s="59"/>
      <c r="C24" s="59"/>
    </row>
    <row r="25" s="1" customFormat="1" spans="1:3">
      <c r="A25" s="71" t="s">
        <v>24</v>
      </c>
      <c r="B25" s="59" t="s">
        <v>25</v>
      </c>
      <c r="C25" s="59" t="s">
        <v>26</v>
      </c>
    </row>
    <row r="26" s="1" customFormat="1" spans="1:3">
      <c r="A26" s="71" t="s">
        <v>27</v>
      </c>
      <c r="B26" s="59" t="s">
        <v>25</v>
      </c>
      <c r="C26" s="59" t="s">
        <v>28</v>
      </c>
    </row>
    <row r="27" s="1" customFormat="1" spans="1:3">
      <c r="A27" s="71" t="s">
        <v>29</v>
      </c>
      <c r="B27" s="59" t="s">
        <v>25</v>
      </c>
      <c r="C27" s="59" t="s">
        <v>30</v>
      </c>
    </row>
    <row r="28" s="1" customFormat="1" spans="1:3">
      <c r="A28" s="71" t="s">
        <v>31</v>
      </c>
      <c r="B28" s="59" t="s">
        <v>32</v>
      </c>
      <c r="C28" s="59" t="s">
        <v>32</v>
      </c>
    </row>
    <row r="29" s="1" customFormat="1" spans="1:3">
      <c r="A29" s="71" t="s">
        <v>33</v>
      </c>
      <c r="B29" s="59" t="s">
        <v>34</v>
      </c>
      <c r="C29" s="59" t="s">
        <v>34</v>
      </c>
    </row>
    <row r="30" s="1" customFormat="1" spans="1:3">
      <c r="A30" s="71" t="s">
        <v>35</v>
      </c>
      <c r="B30" s="59">
        <v>850</v>
      </c>
      <c r="C30" s="59">
        <v>850</v>
      </c>
    </row>
    <row r="31" s="1" customFormat="1" spans="1:3">
      <c r="A31" s="70" t="s">
        <v>36</v>
      </c>
      <c r="B31" s="59" t="s">
        <v>37</v>
      </c>
      <c r="C31" s="59" t="s">
        <v>37</v>
      </c>
    </row>
    <row r="32" s="1" customFormat="1" spans="1:3">
      <c r="A32" s="70" t="s">
        <v>38</v>
      </c>
      <c r="B32" s="59" t="s">
        <v>37</v>
      </c>
      <c r="C32" s="59" t="s">
        <v>37</v>
      </c>
    </row>
    <row r="33" s="1" customFormat="1" spans="1:3">
      <c r="A33" s="71" t="s">
        <v>39</v>
      </c>
      <c r="B33" s="63" t="s">
        <v>40</v>
      </c>
      <c r="C33" s="63" t="s">
        <v>40</v>
      </c>
    </row>
    <row r="34" s="1" customFormat="1" ht="27" spans="1:3">
      <c r="A34" s="71" t="s">
        <v>41</v>
      </c>
      <c r="B34" s="63" t="s">
        <v>40</v>
      </c>
      <c r="C34" s="63" t="s">
        <v>40</v>
      </c>
    </row>
    <row r="35" s="1" customFormat="1" ht="27" spans="1:3">
      <c r="A35" s="71" t="s">
        <v>42</v>
      </c>
      <c r="B35" s="63" t="s">
        <v>40</v>
      </c>
      <c r="C35" s="63" t="s">
        <v>40</v>
      </c>
    </row>
    <row r="36" s="1" customFormat="1" spans="1:3">
      <c r="A36" s="71" t="s">
        <v>43</v>
      </c>
      <c r="B36" s="59" t="s">
        <v>40</v>
      </c>
      <c r="C36" s="59" t="s">
        <v>40</v>
      </c>
    </row>
    <row r="37" s="1" customFormat="1" spans="1:3">
      <c r="A37" s="71" t="s">
        <v>44</v>
      </c>
      <c r="B37" s="59" t="s">
        <v>40</v>
      </c>
      <c r="C37" s="59" t="s">
        <v>40</v>
      </c>
    </row>
    <row r="38" s="1" customFormat="1" ht="27.75" spans="1:3">
      <c r="A38" s="72" t="s">
        <v>45</v>
      </c>
      <c r="B38" s="73" t="s">
        <v>46</v>
      </c>
      <c r="C38" s="73" t="s">
        <v>46</v>
      </c>
    </row>
  </sheetData>
  <mergeCells count="1">
    <mergeCell ref="A1:C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A8" sqref="A8:B9"/>
    </sheetView>
  </sheetViews>
  <sheetFormatPr defaultColWidth="9" defaultRowHeight="13.5" outlineLevelCol="2"/>
  <cols>
    <col min="1" max="1" width="15.75" style="1" customWidth="1"/>
    <col min="2" max="2" width="18" style="1" customWidth="1"/>
    <col min="3" max="3" width="20.75" style="1" customWidth="1"/>
    <col min="4" max="16384" width="9" style="1"/>
  </cols>
  <sheetData>
    <row r="1" s="1" customFormat="1" spans="1:3">
      <c r="A1" s="124" t="s">
        <v>47</v>
      </c>
      <c r="B1" s="125"/>
      <c r="C1" s="125"/>
    </row>
    <row r="2" s="1" customFormat="1" ht="14.25" spans="1:3">
      <c r="A2" s="124"/>
      <c r="B2" s="125"/>
      <c r="C2" s="125"/>
    </row>
    <row r="3" s="1" customFormat="1" ht="18.75" spans="1:3">
      <c r="A3" s="40"/>
      <c r="B3" s="41" t="s">
        <v>1</v>
      </c>
      <c r="C3" s="41" t="s">
        <v>2</v>
      </c>
    </row>
    <row r="4" s="1" customFormat="1" ht="14.25" spans="1:3">
      <c r="A4" s="43" t="s">
        <v>48</v>
      </c>
      <c r="B4" s="44">
        <v>37.01</v>
      </c>
      <c r="C4" s="44">
        <v>37.01</v>
      </c>
    </row>
    <row r="5" s="1" customFormat="1" ht="14.25" spans="1:3">
      <c r="A5" s="43" t="s">
        <v>4</v>
      </c>
      <c r="B5" s="44">
        <v>28.2</v>
      </c>
      <c r="C5" s="44">
        <v>28.2</v>
      </c>
    </row>
    <row r="6" s="1" customFormat="1" ht="14.25" spans="1:3">
      <c r="A6" s="46" t="s">
        <v>5</v>
      </c>
      <c r="B6" s="47"/>
      <c r="C6" s="47">
        <v>5</v>
      </c>
    </row>
    <row r="7" s="1" customFormat="1" ht="14.25" spans="1:3">
      <c r="A7" s="46" t="s">
        <v>6</v>
      </c>
      <c r="B7" s="48">
        <v>5</v>
      </c>
      <c r="C7" s="48">
        <v>5</v>
      </c>
    </row>
    <row r="8" s="1" customFormat="1" ht="14.25" spans="1:3">
      <c r="A8" s="43" t="s">
        <v>7</v>
      </c>
      <c r="B8" s="44">
        <v>0.15</v>
      </c>
      <c r="C8" s="44">
        <v>0.15</v>
      </c>
    </row>
    <row r="9" s="1" customFormat="1" ht="14.25" spans="1:3">
      <c r="A9" s="43" t="s">
        <v>49</v>
      </c>
      <c r="B9" s="44">
        <v>1.35</v>
      </c>
      <c r="C9" s="44">
        <v>1.35</v>
      </c>
    </row>
    <row r="10" s="1" customFormat="1" ht="14.25" spans="1:3">
      <c r="A10" s="43" t="s">
        <v>8</v>
      </c>
      <c r="B10" s="44">
        <v>2</v>
      </c>
      <c r="C10" s="44">
        <v>2</v>
      </c>
    </row>
    <row r="11" s="1" customFormat="1" ht="14.25" spans="1:3">
      <c r="A11" s="43" t="s">
        <v>9</v>
      </c>
      <c r="B11" s="49">
        <v>0.15</v>
      </c>
      <c r="C11" s="49">
        <v>0.15</v>
      </c>
    </row>
    <row r="12" s="1" customFormat="1" ht="14.25" spans="1:3">
      <c r="A12" s="43" t="s">
        <v>10</v>
      </c>
      <c r="B12" s="49">
        <v>1.35</v>
      </c>
      <c r="C12" s="49">
        <v>1.35</v>
      </c>
    </row>
    <row r="13" s="1" customFormat="1" ht="14.25" spans="1:3">
      <c r="A13" s="43" t="s">
        <v>11</v>
      </c>
      <c r="B13" s="49">
        <v>0.25</v>
      </c>
      <c r="C13" s="49">
        <v>0.25</v>
      </c>
    </row>
    <row r="14" s="1" customFormat="1" ht="14.25" spans="1:3">
      <c r="A14" s="43" t="s">
        <v>50</v>
      </c>
      <c r="B14" s="49">
        <v>1.21</v>
      </c>
      <c r="C14" s="49">
        <v>1.21</v>
      </c>
    </row>
    <row r="15" s="1" customFormat="1" ht="14.25" spans="1:3">
      <c r="A15" s="43" t="s">
        <v>51</v>
      </c>
      <c r="B15" s="49">
        <v>5.33</v>
      </c>
      <c r="C15" s="49">
        <v>5.33</v>
      </c>
    </row>
    <row r="16" s="1" customFormat="1" ht="14.25" spans="1:3">
      <c r="A16" s="50" t="s">
        <v>13</v>
      </c>
      <c r="B16" s="49">
        <v>1.5</v>
      </c>
      <c r="C16" s="49">
        <v>1.5</v>
      </c>
    </row>
    <row r="17" s="1" customFormat="1" ht="14.25" spans="1:3">
      <c r="A17" s="50" t="s">
        <v>8</v>
      </c>
      <c r="B17" s="49">
        <v>18</v>
      </c>
      <c r="C17" s="49">
        <v>18</v>
      </c>
    </row>
    <row r="18" s="1" customFormat="1" ht="15" spans="1:3">
      <c r="A18" s="126" t="s">
        <v>14</v>
      </c>
      <c r="B18" s="127">
        <f>SUM(B4:B17)</f>
        <v>101.5</v>
      </c>
      <c r="C18" s="127">
        <f>SUM(C4:C17)</f>
        <v>106.5</v>
      </c>
    </row>
    <row r="19" s="1" customFormat="1" ht="18.75" spans="1:3">
      <c r="A19" s="64" t="s">
        <v>15</v>
      </c>
      <c r="B19" s="65"/>
      <c r="C19" s="65"/>
    </row>
    <row r="20" s="1" customFormat="1" ht="14.25" spans="1:3">
      <c r="A20" s="128" t="s">
        <v>16</v>
      </c>
      <c r="B20" s="57"/>
      <c r="C20" s="57"/>
    </row>
    <row r="21" s="1" customFormat="1" ht="14.25" spans="1:3">
      <c r="A21" s="84" t="s">
        <v>17</v>
      </c>
      <c r="B21" s="85" t="s">
        <v>18</v>
      </c>
      <c r="C21" s="85" t="s">
        <v>19</v>
      </c>
    </row>
    <row r="22" s="1" customFormat="1" spans="1:3">
      <c r="A22" s="87" t="s">
        <v>20</v>
      </c>
      <c r="B22" s="69" t="s">
        <v>21</v>
      </c>
      <c r="C22" s="69" t="s">
        <v>21</v>
      </c>
    </row>
    <row r="23" s="1" customFormat="1" spans="1:3">
      <c r="A23" s="70" t="s">
        <v>22</v>
      </c>
      <c r="B23" s="59"/>
      <c r="C23" s="59"/>
    </row>
    <row r="24" s="1" customFormat="1" spans="1:3">
      <c r="A24" s="71" t="s">
        <v>23</v>
      </c>
      <c r="B24" s="59"/>
      <c r="C24" s="59"/>
    </row>
    <row r="25" s="1" customFormat="1" spans="1:3">
      <c r="A25" s="71" t="s">
        <v>24</v>
      </c>
      <c r="B25" s="59" t="s">
        <v>25</v>
      </c>
      <c r="C25" s="59" t="s">
        <v>52</v>
      </c>
    </row>
    <row r="26" s="1" customFormat="1" spans="1:3">
      <c r="A26" s="71" t="s">
        <v>27</v>
      </c>
      <c r="B26" s="59" t="s">
        <v>25</v>
      </c>
      <c r="C26" s="59" t="s">
        <v>25</v>
      </c>
    </row>
    <row r="27" s="1" customFormat="1" spans="1:3">
      <c r="A27" s="71" t="s">
        <v>29</v>
      </c>
      <c r="B27" s="59" t="s">
        <v>25</v>
      </c>
      <c r="C27" s="59" t="s">
        <v>30</v>
      </c>
    </row>
    <row r="28" s="1" customFormat="1" spans="1:3">
      <c r="A28" s="71" t="s">
        <v>31</v>
      </c>
      <c r="B28" s="59" t="s">
        <v>32</v>
      </c>
      <c r="C28" s="59" t="s">
        <v>32</v>
      </c>
    </row>
    <row r="29" s="1" customFormat="1" spans="1:3">
      <c r="A29" s="71" t="s">
        <v>33</v>
      </c>
      <c r="B29" s="59" t="s">
        <v>34</v>
      </c>
      <c r="C29" s="59" t="s">
        <v>34</v>
      </c>
    </row>
    <row r="30" s="1" customFormat="1" spans="1:3">
      <c r="A30" s="71" t="s">
        <v>35</v>
      </c>
      <c r="B30" s="59">
        <v>850</v>
      </c>
      <c r="C30" s="59">
        <v>850</v>
      </c>
    </row>
    <row r="31" s="1" customFormat="1" spans="1:3">
      <c r="A31" s="70" t="s">
        <v>36</v>
      </c>
      <c r="B31" s="59" t="s">
        <v>37</v>
      </c>
      <c r="C31" s="59" t="s">
        <v>37</v>
      </c>
    </row>
    <row r="32" s="1" customFormat="1" spans="1:3">
      <c r="A32" s="70" t="s">
        <v>38</v>
      </c>
      <c r="B32" s="59" t="s">
        <v>37</v>
      </c>
      <c r="C32" s="59" t="s">
        <v>37</v>
      </c>
    </row>
    <row r="33" s="1" customFormat="1" spans="1:3">
      <c r="A33" s="71" t="s">
        <v>39</v>
      </c>
      <c r="B33" s="63" t="s">
        <v>40</v>
      </c>
      <c r="C33" s="63" t="s">
        <v>40</v>
      </c>
    </row>
    <row r="34" s="1" customFormat="1" ht="27" spans="1:3">
      <c r="A34" s="71" t="s">
        <v>41</v>
      </c>
      <c r="B34" s="63" t="s">
        <v>40</v>
      </c>
      <c r="C34" s="63" t="s">
        <v>40</v>
      </c>
    </row>
    <row r="35" s="1" customFormat="1" ht="27" spans="1:3">
      <c r="A35" s="71" t="s">
        <v>42</v>
      </c>
      <c r="B35" s="63" t="s">
        <v>40</v>
      </c>
      <c r="C35" s="63" t="s">
        <v>40</v>
      </c>
    </row>
    <row r="36" s="1" customFormat="1" spans="1:3">
      <c r="A36" s="71" t="s">
        <v>43</v>
      </c>
      <c r="B36" s="59" t="s">
        <v>40</v>
      </c>
      <c r="C36" s="59" t="s">
        <v>40</v>
      </c>
    </row>
    <row r="37" s="1" customFormat="1" spans="1:3">
      <c r="A37" s="71" t="s">
        <v>44</v>
      </c>
      <c r="B37" s="59" t="s">
        <v>40</v>
      </c>
      <c r="C37" s="59" t="s">
        <v>40</v>
      </c>
    </row>
    <row r="38" s="1" customFormat="1" ht="27.75" spans="1:3">
      <c r="A38" s="72" t="s">
        <v>45</v>
      </c>
      <c r="B38" s="73" t="s">
        <v>46</v>
      </c>
      <c r="C38" s="73" t="s">
        <v>46</v>
      </c>
    </row>
  </sheetData>
  <mergeCells count="1">
    <mergeCell ref="A1:C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G12" sqref="G12"/>
    </sheetView>
  </sheetViews>
  <sheetFormatPr defaultColWidth="9" defaultRowHeight="13.5" outlineLevelCol="4"/>
  <cols>
    <col min="1" max="1" width="15.75" style="1" customWidth="1"/>
    <col min="2" max="4" width="13.25" style="1" customWidth="1"/>
    <col min="5" max="5" width="14.6333333333333" style="1" customWidth="1"/>
    <col min="6" max="16384" width="9" style="1"/>
  </cols>
  <sheetData>
    <row r="1" s="1" customFormat="1" spans="1:5">
      <c r="A1" s="40" t="s">
        <v>47</v>
      </c>
      <c r="B1" s="114"/>
      <c r="C1" s="114"/>
      <c r="D1" s="114"/>
      <c r="E1" s="114"/>
    </row>
    <row r="2" s="1" customFormat="1" ht="14.25" spans="1:5">
      <c r="A2" s="115"/>
      <c r="B2" s="116"/>
      <c r="C2" s="116"/>
      <c r="D2" s="116"/>
      <c r="E2" s="116"/>
    </row>
    <row r="3" s="1" customFormat="1" ht="18.75" spans="1:5">
      <c r="A3" s="117"/>
      <c r="B3" s="118" t="s">
        <v>53</v>
      </c>
      <c r="C3" s="118" t="s">
        <v>54</v>
      </c>
      <c r="D3" s="118"/>
      <c r="E3" s="118" t="s">
        <v>55</v>
      </c>
    </row>
    <row r="4" s="1" customFormat="1" ht="14.25" spans="1:5">
      <c r="A4" s="43" t="s">
        <v>3</v>
      </c>
      <c r="B4" s="44">
        <v>37.01</v>
      </c>
      <c r="C4" s="44">
        <v>37.01</v>
      </c>
      <c r="D4" s="44" t="s">
        <v>48</v>
      </c>
      <c r="E4" s="44">
        <v>37.01</v>
      </c>
    </row>
    <row r="5" s="1" customFormat="1" ht="14.25" spans="1:5">
      <c r="A5" s="43" t="s">
        <v>4</v>
      </c>
      <c r="B5" s="45">
        <v>28.2</v>
      </c>
      <c r="C5" s="45">
        <v>28.2</v>
      </c>
      <c r="D5" s="45"/>
      <c r="E5" s="45">
        <v>28.2</v>
      </c>
    </row>
    <row r="6" s="1" customFormat="1" ht="14.25" spans="1:5">
      <c r="A6" s="46" t="s">
        <v>5</v>
      </c>
      <c r="B6" s="47">
        <v>5</v>
      </c>
      <c r="C6" s="47">
        <v>10</v>
      </c>
      <c r="D6" s="47"/>
      <c r="E6" s="47">
        <v>10</v>
      </c>
    </row>
    <row r="7" s="1" customFormat="1" ht="14.25" spans="1:5">
      <c r="A7" s="46" t="s">
        <v>6</v>
      </c>
      <c r="B7" s="48">
        <v>5</v>
      </c>
      <c r="C7" s="48">
        <v>5</v>
      </c>
      <c r="D7" s="48"/>
      <c r="E7" s="48">
        <v>5</v>
      </c>
    </row>
    <row r="8" s="1" customFormat="1" ht="14.25" spans="1:5">
      <c r="A8" s="43" t="s">
        <v>7</v>
      </c>
      <c r="B8" s="44">
        <v>0.15</v>
      </c>
      <c r="C8" s="44">
        <v>0.15</v>
      </c>
      <c r="D8" s="44"/>
      <c r="E8" s="44">
        <v>0.15</v>
      </c>
    </row>
    <row r="9" s="1" customFormat="1" ht="14.25" spans="1:5">
      <c r="A9" s="43" t="s">
        <v>49</v>
      </c>
      <c r="B9" s="44">
        <v>1.35</v>
      </c>
      <c r="C9" s="44">
        <v>1.35</v>
      </c>
      <c r="D9" s="44"/>
      <c r="E9" s="44">
        <v>1.35</v>
      </c>
    </row>
    <row r="10" s="1" customFormat="1" ht="14.25" spans="1:5">
      <c r="A10" s="43" t="s">
        <v>8</v>
      </c>
      <c r="B10" s="44">
        <v>2</v>
      </c>
      <c r="C10" s="44">
        <v>2</v>
      </c>
      <c r="D10" s="44"/>
      <c r="E10" s="44">
        <v>2</v>
      </c>
    </row>
    <row r="11" s="1" customFormat="1" ht="14.25" spans="1:5">
      <c r="A11" s="43" t="s">
        <v>9</v>
      </c>
      <c r="B11" s="49">
        <v>0.15</v>
      </c>
      <c r="C11" s="49">
        <v>0.15</v>
      </c>
      <c r="D11" s="49"/>
      <c r="E11" s="49">
        <v>0.15</v>
      </c>
    </row>
    <row r="12" s="1" customFormat="1" ht="14.25" spans="1:5">
      <c r="A12" s="43" t="s">
        <v>10</v>
      </c>
      <c r="B12" s="49">
        <v>1.35</v>
      </c>
      <c r="C12" s="49">
        <v>1.35</v>
      </c>
      <c r="D12" s="49"/>
      <c r="E12" s="49">
        <v>1.35</v>
      </c>
    </row>
    <row r="13" s="1" customFormat="1" ht="14.25" spans="1:5">
      <c r="A13" s="43" t="s">
        <v>11</v>
      </c>
      <c r="B13" s="49">
        <v>0.25</v>
      </c>
      <c r="C13" s="49">
        <v>0.25</v>
      </c>
      <c r="D13" s="49"/>
      <c r="E13" s="49">
        <v>0.25</v>
      </c>
    </row>
    <row r="14" s="1" customFormat="1" ht="14.25" spans="1:5">
      <c r="A14" s="43" t="s">
        <v>50</v>
      </c>
      <c r="B14" s="49">
        <v>1.21</v>
      </c>
      <c r="C14" s="49">
        <v>1.21</v>
      </c>
      <c r="D14" s="49"/>
      <c r="E14" s="49">
        <v>1.21</v>
      </c>
    </row>
    <row r="15" s="1" customFormat="1" ht="14.25" spans="1:5">
      <c r="A15" s="43" t="s">
        <v>51</v>
      </c>
      <c r="B15" s="49">
        <v>5.33</v>
      </c>
      <c r="C15" s="49">
        <v>5.33</v>
      </c>
      <c r="D15" s="49"/>
      <c r="E15" s="49">
        <v>5.33</v>
      </c>
    </row>
    <row r="16" s="1" customFormat="1" ht="14.25" spans="1:5">
      <c r="A16" s="50" t="s">
        <v>13</v>
      </c>
      <c r="B16" s="49">
        <v>1.5</v>
      </c>
      <c r="C16" s="49">
        <v>1.5</v>
      </c>
      <c r="D16" s="49"/>
      <c r="E16" s="49">
        <v>1.5</v>
      </c>
    </row>
    <row r="17" s="1" customFormat="1" ht="14.25" spans="1:5">
      <c r="A17" s="50" t="s">
        <v>8</v>
      </c>
      <c r="B17" s="49">
        <v>18</v>
      </c>
      <c r="C17" s="49">
        <v>18</v>
      </c>
      <c r="D17" s="49"/>
      <c r="E17" s="49">
        <v>18</v>
      </c>
    </row>
    <row r="18" s="1" customFormat="1" ht="14.25" spans="1:5">
      <c r="A18" s="50" t="s">
        <v>14</v>
      </c>
      <c r="B18" s="113">
        <f>SUM(B4:B17)</f>
        <v>106.5</v>
      </c>
      <c r="C18" s="113">
        <f>SUM(C4:C17)</f>
        <v>111.5</v>
      </c>
      <c r="D18" s="113"/>
      <c r="E18" s="113">
        <f>SUM(E4:E17)</f>
        <v>111.5</v>
      </c>
    </row>
    <row r="19" s="1" customFormat="1" ht="18.75" spans="1:5">
      <c r="A19" s="119" t="s">
        <v>15</v>
      </c>
      <c r="B19" s="120"/>
      <c r="C19" s="120"/>
      <c r="D19" s="120"/>
      <c r="E19" s="120"/>
    </row>
    <row r="20" s="1" customFormat="1" ht="14.25" spans="1:5">
      <c r="A20" s="82" t="s">
        <v>16</v>
      </c>
      <c r="B20" s="74"/>
      <c r="C20" s="74"/>
      <c r="D20" s="74"/>
      <c r="E20" s="74"/>
    </row>
    <row r="21" s="1" customFormat="1" spans="1:5">
      <c r="A21" s="68" t="s">
        <v>17</v>
      </c>
      <c r="B21" s="69"/>
      <c r="C21" s="69"/>
      <c r="D21" s="69"/>
      <c r="E21" s="69"/>
    </row>
    <row r="22" s="1" customFormat="1" spans="1:5">
      <c r="A22" s="70" t="s">
        <v>20</v>
      </c>
      <c r="B22" s="59" t="s">
        <v>56</v>
      </c>
      <c r="C22" s="59" t="s">
        <v>56</v>
      </c>
      <c r="D22" s="59"/>
      <c r="E22" s="59" t="s">
        <v>56</v>
      </c>
    </row>
    <row r="23" s="1" customFormat="1" spans="1:5">
      <c r="A23" s="70" t="s">
        <v>22</v>
      </c>
      <c r="B23" s="59"/>
      <c r="C23" s="59"/>
      <c r="D23" s="59"/>
      <c r="E23" s="59"/>
    </row>
    <row r="24" s="1" customFormat="1" spans="1:5">
      <c r="A24" s="71" t="s">
        <v>23</v>
      </c>
      <c r="B24" s="59"/>
      <c r="C24" s="59"/>
      <c r="D24" s="59"/>
      <c r="E24" s="59"/>
    </row>
    <row r="25" s="1" customFormat="1" spans="1:5">
      <c r="A25" s="71" t="s">
        <v>24</v>
      </c>
      <c r="B25" s="59" t="s">
        <v>26</v>
      </c>
      <c r="C25" s="59" t="s">
        <v>26</v>
      </c>
      <c r="D25" s="59"/>
      <c r="E25" s="59" t="s">
        <v>26</v>
      </c>
    </row>
    <row r="26" s="1" customFormat="1" spans="1:5">
      <c r="A26" s="71" t="s">
        <v>27</v>
      </c>
      <c r="B26" s="59" t="s">
        <v>57</v>
      </c>
      <c r="C26" s="59" t="s">
        <v>57</v>
      </c>
      <c r="D26" s="59"/>
      <c r="E26" s="59" t="s">
        <v>57</v>
      </c>
    </row>
    <row r="27" s="1" customFormat="1" spans="1:5">
      <c r="A27" s="71" t="s">
        <v>29</v>
      </c>
      <c r="B27" s="59" t="s">
        <v>30</v>
      </c>
      <c r="C27" s="59" t="s">
        <v>30</v>
      </c>
      <c r="D27" s="59"/>
      <c r="E27" s="59" t="s">
        <v>30</v>
      </c>
    </row>
    <row r="28" s="1" customFormat="1" spans="1:5">
      <c r="A28" s="71" t="s">
        <v>31</v>
      </c>
      <c r="B28" s="59" t="s">
        <v>32</v>
      </c>
      <c r="C28" s="59" t="s">
        <v>32</v>
      </c>
      <c r="D28" s="59"/>
      <c r="E28" s="59" t="s">
        <v>30</v>
      </c>
    </row>
    <row r="29" s="1" customFormat="1" spans="1:5">
      <c r="A29" s="71" t="s">
        <v>33</v>
      </c>
      <c r="B29" s="59" t="s">
        <v>34</v>
      </c>
      <c r="C29" s="59" t="s">
        <v>34</v>
      </c>
      <c r="D29" s="59"/>
      <c r="E29" s="59" t="s">
        <v>34</v>
      </c>
    </row>
    <row r="30" s="1" customFormat="1" spans="1:5">
      <c r="A30" s="71" t="s">
        <v>35</v>
      </c>
      <c r="B30" s="59">
        <v>850</v>
      </c>
      <c r="C30" s="59">
        <v>850</v>
      </c>
      <c r="D30" s="59"/>
      <c r="E30" s="59">
        <v>850</v>
      </c>
    </row>
    <row r="31" s="1" customFormat="1" spans="1:5">
      <c r="A31" s="70" t="s">
        <v>36</v>
      </c>
      <c r="B31" s="59" t="s">
        <v>37</v>
      </c>
      <c r="C31" s="59" t="s">
        <v>37</v>
      </c>
      <c r="D31" s="59"/>
      <c r="E31" s="59" t="s">
        <v>37</v>
      </c>
    </row>
    <row r="32" s="1" customFormat="1" spans="1:5">
      <c r="A32" s="70" t="s">
        <v>38</v>
      </c>
      <c r="B32" s="59" t="s">
        <v>37</v>
      </c>
      <c r="C32" s="59" t="s">
        <v>37</v>
      </c>
      <c r="D32" s="59"/>
      <c r="E32" s="59" t="s">
        <v>37</v>
      </c>
    </row>
    <row r="33" s="1" customFormat="1" spans="1:5">
      <c r="A33" s="71" t="s">
        <v>39</v>
      </c>
      <c r="B33" s="63" t="s">
        <v>40</v>
      </c>
      <c r="C33" s="63" t="s">
        <v>40</v>
      </c>
      <c r="D33" s="121"/>
      <c r="E33" s="63" t="s">
        <v>40</v>
      </c>
    </row>
    <row r="34" s="1" customFormat="1" ht="27" spans="1:5">
      <c r="A34" s="71" t="s">
        <v>41</v>
      </c>
      <c r="B34" s="63" t="s">
        <v>40</v>
      </c>
      <c r="C34" s="63" t="s">
        <v>40</v>
      </c>
      <c r="D34" s="121"/>
      <c r="E34" s="63" t="s">
        <v>40</v>
      </c>
    </row>
    <row r="35" s="1" customFormat="1" ht="27" spans="1:5">
      <c r="A35" s="71" t="s">
        <v>42</v>
      </c>
      <c r="B35" s="63" t="s">
        <v>40</v>
      </c>
      <c r="C35" s="63" t="s">
        <v>40</v>
      </c>
      <c r="D35" s="59"/>
      <c r="E35" s="63" t="s">
        <v>40</v>
      </c>
    </row>
    <row r="36" s="1" customFormat="1" spans="1:5">
      <c r="A36" s="71" t="s">
        <v>43</v>
      </c>
      <c r="B36" s="59" t="s">
        <v>40</v>
      </c>
      <c r="C36" s="59" t="s">
        <v>40</v>
      </c>
      <c r="D36" s="122"/>
      <c r="E36" s="59" t="s">
        <v>40</v>
      </c>
    </row>
    <row r="37" s="1" customFormat="1" spans="1:5">
      <c r="A37" s="71" t="s">
        <v>44</v>
      </c>
      <c r="B37" s="59" t="s">
        <v>40</v>
      </c>
      <c r="C37" s="59" t="s">
        <v>40</v>
      </c>
      <c r="D37" s="122"/>
      <c r="E37" s="59" t="s">
        <v>40</v>
      </c>
    </row>
    <row r="38" s="1" customFormat="1" ht="27.75" spans="1:5">
      <c r="A38" s="72" t="s">
        <v>45</v>
      </c>
      <c r="B38" s="73" t="s">
        <v>46</v>
      </c>
      <c r="C38" s="73" t="s">
        <v>46</v>
      </c>
      <c r="D38" s="123"/>
      <c r="E38" s="73" t="s">
        <v>46</v>
      </c>
    </row>
  </sheetData>
  <mergeCells count="1">
    <mergeCell ref="A1:E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13" sqref="H13"/>
    </sheetView>
  </sheetViews>
  <sheetFormatPr defaultColWidth="9" defaultRowHeight="13.5" outlineLevelCol="5"/>
  <cols>
    <col min="1" max="1" width="15.75" style="1" customWidth="1"/>
    <col min="2" max="3" width="13.25" style="1" customWidth="1"/>
    <col min="4" max="4" width="11.5" style="1" customWidth="1"/>
    <col min="5" max="5" width="11.1333333333333" style="1" customWidth="1"/>
    <col min="6" max="6" width="10.8833333333333" style="1" customWidth="1"/>
    <col min="7" max="16384" width="9" style="1"/>
  </cols>
  <sheetData>
    <row r="1" s="1" customFormat="1" spans="1:6">
      <c r="A1" s="38" t="s">
        <v>58</v>
      </c>
      <c r="B1" s="38"/>
      <c r="C1" s="38"/>
      <c r="D1" s="38"/>
      <c r="E1" s="38"/>
      <c r="F1" s="38"/>
    </row>
    <row r="2" s="1" customFormat="1" spans="1:6">
      <c r="A2" s="38"/>
      <c r="B2" s="38"/>
      <c r="C2" s="38"/>
      <c r="D2" s="38"/>
      <c r="E2" s="38"/>
      <c r="F2" s="38"/>
    </row>
    <row r="3" s="1" customFormat="1" ht="18.75" spans="1:6">
      <c r="A3" s="38"/>
      <c r="B3" s="109" t="s">
        <v>59</v>
      </c>
      <c r="C3" s="109" t="s">
        <v>60</v>
      </c>
      <c r="D3" s="109" t="s">
        <v>61</v>
      </c>
      <c r="E3" s="109" t="s">
        <v>62</v>
      </c>
      <c r="F3" s="55" t="s">
        <v>63</v>
      </c>
    </row>
    <row r="4" s="1" customFormat="1" ht="14.25" spans="1:6">
      <c r="A4" s="110" t="s">
        <v>64</v>
      </c>
      <c r="B4" s="44">
        <v>37.01</v>
      </c>
      <c r="C4" s="57"/>
      <c r="D4" s="57"/>
      <c r="E4" s="44"/>
      <c r="F4" s="57"/>
    </row>
    <row r="5" s="1" customFormat="1" ht="14.25" spans="1:6">
      <c r="A5" s="110" t="s">
        <v>3</v>
      </c>
      <c r="B5" s="44"/>
      <c r="C5" s="44">
        <v>37.01</v>
      </c>
      <c r="D5" s="57"/>
      <c r="E5" s="44"/>
      <c r="F5" s="57"/>
    </row>
    <row r="6" s="1" customFormat="1" ht="14.25" spans="1:6">
      <c r="A6" s="44" t="s">
        <v>48</v>
      </c>
      <c r="B6" s="44"/>
      <c r="C6" s="44"/>
      <c r="D6" s="44">
        <v>37.01</v>
      </c>
      <c r="E6" s="44"/>
      <c r="F6" s="57"/>
    </row>
    <row r="7" s="1" customFormat="1" ht="14.25" spans="1:6">
      <c r="A7" s="44" t="s">
        <v>65</v>
      </c>
      <c r="B7" s="44"/>
      <c r="C7" s="44"/>
      <c r="D7" s="44"/>
      <c r="E7" s="44">
        <v>37.01</v>
      </c>
      <c r="F7" s="57"/>
    </row>
    <row r="8" s="1" customFormat="1" ht="14.25" spans="1:6">
      <c r="A8" s="110" t="s">
        <v>4</v>
      </c>
      <c r="B8" s="45">
        <v>28.2</v>
      </c>
      <c r="C8" s="45">
        <v>28.2</v>
      </c>
      <c r="D8" s="45">
        <v>28.2</v>
      </c>
      <c r="E8" s="45">
        <v>28.2</v>
      </c>
      <c r="F8" s="57"/>
    </row>
    <row r="9" s="1" customFormat="1" ht="14.25" spans="1:6">
      <c r="A9" s="111" t="s">
        <v>5</v>
      </c>
      <c r="B9" s="47">
        <v>10</v>
      </c>
      <c r="C9" s="47">
        <v>10</v>
      </c>
      <c r="D9" s="47">
        <v>10</v>
      </c>
      <c r="E9" s="47">
        <v>10</v>
      </c>
      <c r="F9" s="57"/>
    </row>
    <row r="10" s="1" customFormat="1" ht="14.25" spans="1:6">
      <c r="A10" s="111" t="s">
        <v>6</v>
      </c>
      <c r="B10" s="48">
        <v>5</v>
      </c>
      <c r="C10" s="48">
        <v>5</v>
      </c>
      <c r="D10" s="48">
        <v>5</v>
      </c>
      <c r="E10" s="48">
        <v>5</v>
      </c>
      <c r="F10" s="57"/>
    </row>
    <row r="11" s="1" customFormat="1" ht="14.25" spans="1:6">
      <c r="A11" s="43" t="s">
        <v>7</v>
      </c>
      <c r="B11" s="44">
        <v>0.15</v>
      </c>
      <c r="C11" s="44">
        <v>0.15</v>
      </c>
      <c r="D11" s="44">
        <v>0.15</v>
      </c>
      <c r="E11" s="44">
        <v>0.15</v>
      </c>
      <c r="F11" s="57"/>
    </row>
    <row r="12" s="1" customFormat="1" ht="14.25" spans="1:6">
      <c r="A12" s="43" t="s">
        <v>8</v>
      </c>
      <c r="B12" s="44">
        <v>1.35</v>
      </c>
      <c r="C12" s="44">
        <v>1.35</v>
      </c>
      <c r="D12" s="44">
        <v>1.35</v>
      </c>
      <c r="E12" s="44">
        <v>1.35</v>
      </c>
      <c r="F12" s="57"/>
    </row>
    <row r="13" s="1" customFormat="1" ht="14.25" spans="1:6">
      <c r="A13" s="110" t="s">
        <v>8</v>
      </c>
      <c r="B13" s="44">
        <v>2</v>
      </c>
      <c r="C13" s="44">
        <v>2</v>
      </c>
      <c r="D13" s="44">
        <v>2</v>
      </c>
      <c r="E13" s="44">
        <v>2</v>
      </c>
      <c r="F13" s="57"/>
    </row>
    <row r="14" s="1" customFormat="1" ht="14.25" spans="1:6">
      <c r="A14" s="110" t="s">
        <v>9</v>
      </c>
      <c r="B14" s="49">
        <v>0.15</v>
      </c>
      <c r="C14" s="49">
        <v>0.15</v>
      </c>
      <c r="D14" s="49">
        <v>0.15</v>
      </c>
      <c r="E14" s="49">
        <v>0.15</v>
      </c>
      <c r="F14" s="57"/>
    </row>
    <row r="15" s="1" customFormat="1" ht="14.25" spans="1:6">
      <c r="A15" s="110" t="s">
        <v>10</v>
      </c>
      <c r="B15" s="49">
        <v>1.35</v>
      </c>
      <c r="C15" s="49">
        <v>1.35</v>
      </c>
      <c r="D15" s="49">
        <v>1.35</v>
      </c>
      <c r="E15" s="49">
        <v>1.35</v>
      </c>
      <c r="F15" s="57"/>
    </row>
    <row r="16" s="1" customFormat="1" ht="14.25" spans="1:6">
      <c r="A16" s="110" t="s">
        <v>11</v>
      </c>
      <c r="B16" s="49">
        <v>0.25</v>
      </c>
      <c r="C16" s="49">
        <v>0.25</v>
      </c>
      <c r="D16" s="49">
        <v>0.25</v>
      </c>
      <c r="E16" s="49">
        <v>0.25</v>
      </c>
      <c r="F16" s="57"/>
    </row>
    <row r="17" s="1" customFormat="1" ht="14.25" spans="1:6">
      <c r="A17" s="110" t="s">
        <v>50</v>
      </c>
      <c r="B17" s="49">
        <v>1.21</v>
      </c>
      <c r="C17" s="49">
        <v>1.21</v>
      </c>
      <c r="D17" s="49">
        <v>1.21</v>
      </c>
      <c r="E17" s="49">
        <v>1.21</v>
      </c>
      <c r="F17" s="57"/>
    </row>
    <row r="18" s="1" customFormat="1" ht="14.25" spans="1:6">
      <c r="A18" s="110" t="s">
        <v>51</v>
      </c>
      <c r="B18" s="49">
        <v>5.33</v>
      </c>
      <c r="C18" s="49">
        <v>5.33</v>
      </c>
      <c r="D18" s="49">
        <v>5.33</v>
      </c>
      <c r="E18" s="49">
        <v>5.33</v>
      </c>
      <c r="F18" s="57"/>
    </row>
    <row r="19" s="1" customFormat="1" ht="14.25" spans="1:6">
      <c r="A19" s="112" t="s">
        <v>13</v>
      </c>
      <c r="B19" s="49">
        <v>1.5</v>
      </c>
      <c r="C19" s="49">
        <v>1.5</v>
      </c>
      <c r="D19" s="49">
        <v>1.5</v>
      </c>
      <c r="E19" s="49">
        <v>1.5</v>
      </c>
      <c r="F19" s="57"/>
    </row>
    <row r="20" s="1" customFormat="1" ht="14.25" spans="1:6">
      <c r="A20" s="112" t="s">
        <v>8</v>
      </c>
      <c r="B20" s="49">
        <v>18</v>
      </c>
      <c r="C20" s="49">
        <v>18</v>
      </c>
      <c r="D20" s="49">
        <v>18</v>
      </c>
      <c r="E20" s="49">
        <v>18</v>
      </c>
      <c r="F20" s="57"/>
    </row>
    <row r="21" s="1" customFormat="1" ht="14.25" spans="1:6">
      <c r="A21" s="112" t="s">
        <v>14</v>
      </c>
      <c r="B21" s="113">
        <f>SUM(B4:B20)</f>
        <v>111.5</v>
      </c>
      <c r="C21" s="113">
        <f>SUM(C5:C20)</f>
        <v>111.5</v>
      </c>
      <c r="D21" s="113">
        <f>SUM(D5:D20)</f>
        <v>111.5</v>
      </c>
      <c r="E21" s="113">
        <f>SUM(E4:E20)</f>
        <v>111.5</v>
      </c>
      <c r="F21" s="57"/>
    </row>
    <row r="22" s="1" customFormat="1" ht="18.75" spans="1:6">
      <c r="A22" s="55" t="s">
        <v>15</v>
      </c>
      <c r="B22" s="56" t="s">
        <v>66</v>
      </c>
      <c r="C22" s="56"/>
      <c r="D22" s="56"/>
      <c r="E22" s="56" t="s">
        <v>66</v>
      </c>
      <c r="F22" s="56"/>
    </row>
    <row r="23" s="1" customFormat="1" spans="1:6">
      <c r="A23" s="55" t="s">
        <v>16</v>
      </c>
      <c r="B23" s="57"/>
      <c r="C23" s="57"/>
      <c r="D23" s="57"/>
      <c r="E23" s="57"/>
      <c r="F23" s="57"/>
    </row>
    <row r="24" s="1" customFormat="1" spans="1:6">
      <c r="A24" s="58" t="s">
        <v>17</v>
      </c>
      <c r="B24" s="59" t="s">
        <v>56</v>
      </c>
      <c r="C24" s="59" t="s">
        <v>56</v>
      </c>
      <c r="D24" s="59" t="s">
        <v>56</v>
      </c>
      <c r="E24" s="59" t="s">
        <v>56</v>
      </c>
      <c r="F24" s="59"/>
    </row>
    <row r="25" s="1" customFormat="1" spans="1:6">
      <c r="A25" s="61" t="s">
        <v>20</v>
      </c>
      <c r="B25" s="59"/>
      <c r="C25" s="59"/>
      <c r="D25" s="59"/>
      <c r="E25" s="59"/>
      <c r="F25" s="59"/>
    </row>
    <row r="26" s="1" customFormat="1" spans="1:6">
      <c r="A26" s="61" t="s">
        <v>22</v>
      </c>
      <c r="B26" s="59"/>
      <c r="C26" s="59"/>
      <c r="D26" s="59"/>
      <c r="E26" s="59"/>
      <c r="F26" s="59"/>
    </row>
    <row r="27" s="1" customFormat="1" spans="1:6">
      <c r="A27" s="62" t="s">
        <v>23</v>
      </c>
      <c r="B27" s="59" t="s">
        <v>26</v>
      </c>
      <c r="C27" s="59" t="s">
        <v>26</v>
      </c>
      <c r="D27" s="59" t="s">
        <v>26</v>
      </c>
      <c r="E27" s="59" t="s">
        <v>26</v>
      </c>
      <c r="F27" s="59"/>
    </row>
    <row r="28" s="1" customFormat="1" spans="1:6">
      <c r="A28" s="62" t="s">
        <v>24</v>
      </c>
      <c r="B28" s="59" t="s">
        <v>57</v>
      </c>
      <c r="C28" s="59" t="s">
        <v>57</v>
      </c>
      <c r="D28" s="59" t="s">
        <v>57</v>
      </c>
      <c r="E28" s="59" t="s">
        <v>57</v>
      </c>
      <c r="F28" s="59"/>
    </row>
    <row r="29" s="1" customFormat="1" spans="1:6">
      <c r="A29" s="62" t="s">
        <v>27</v>
      </c>
      <c r="B29" s="59" t="s">
        <v>30</v>
      </c>
      <c r="C29" s="59" t="s">
        <v>30</v>
      </c>
      <c r="D29" s="59" t="s">
        <v>30</v>
      </c>
      <c r="E29" s="59" t="s">
        <v>30</v>
      </c>
      <c r="F29" s="59"/>
    </row>
    <row r="30" s="1" customFormat="1" spans="1:6">
      <c r="A30" s="62" t="s">
        <v>29</v>
      </c>
      <c r="B30" s="59" t="s">
        <v>32</v>
      </c>
      <c r="C30" s="59" t="s">
        <v>32</v>
      </c>
      <c r="D30" s="59" t="s">
        <v>32</v>
      </c>
      <c r="E30" s="59" t="s">
        <v>32</v>
      </c>
      <c r="F30" s="59"/>
    </row>
    <row r="31" s="1" customFormat="1" spans="1:6">
      <c r="A31" s="62" t="s">
        <v>31</v>
      </c>
      <c r="B31" s="59" t="s">
        <v>34</v>
      </c>
      <c r="C31" s="59" t="s">
        <v>34</v>
      </c>
      <c r="D31" s="59" t="s">
        <v>34</v>
      </c>
      <c r="E31" s="59" t="s">
        <v>34</v>
      </c>
      <c r="F31" s="59"/>
    </row>
    <row r="32" s="1" customFormat="1" spans="1:6">
      <c r="A32" s="62" t="s">
        <v>33</v>
      </c>
      <c r="B32" s="59">
        <v>850</v>
      </c>
      <c r="C32" s="59">
        <v>850</v>
      </c>
      <c r="D32" s="59">
        <v>850</v>
      </c>
      <c r="E32" s="59">
        <v>850</v>
      </c>
      <c r="F32" s="59"/>
    </row>
    <row r="33" s="1" customFormat="1" spans="1:6">
      <c r="A33" s="62" t="s">
        <v>35</v>
      </c>
      <c r="B33" s="59" t="s">
        <v>37</v>
      </c>
      <c r="C33" s="59" t="s">
        <v>37</v>
      </c>
      <c r="D33" s="59" t="s">
        <v>37</v>
      </c>
      <c r="E33" s="59" t="s">
        <v>37</v>
      </c>
      <c r="F33" s="59"/>
    </row>
    <row r="34" s="1" customFormat="1" spans="1:6">
      <c r="A34" s="61" t="s">
        <v>36</v>
      </c>
      <c r="B34" s="59" t="s">
        <v>37</v>
      </c>
      <c r="C34" s="59" t="s">
        <v>37</v>
      </c>
      <c r="D34" s="59" t="s">
        <v>37</v>
      </c>
      <c r="E34" s="59" t="s">
        <v>67</v>
      </c>
      <c r="F34" s="59"/>
    </row>
    <row r="35" s="1" customFormat="1" spans="1:6">
      <c r="A35" s="61" t="s">
        <v>38</v>
      </c>
      <c r="B35" s="63" t="s">
        <v>40</v>
      </c>
      <c r="C35" s="63" t="s">
        <v>40</v>
      </c>
      <c r="D35" s="63" t="s">
        <v>40</v>
      </c>
      <c r="E35" s="63" t="s">
        <v>40</v>
      </c>
      <c r="F35" s="59"/>
    </row>
    <row r="36" s="1" customFormat="1" spans="1:6">
      <c r="A36" s="62" t="s">
        <v>39</v>
      </c>
      <c r="B36" s="63" t="s">
        <v>40</v>
      </c>
      <c r="C36" s="63" t="s">
        <v>40</v>
      </c>
      <c r="D36" s="63" t="s">
        <v>40</v>
      </c>
      <c r="E36" s="63" t="s">
        <v>40</v>
      </c>
      <c r="F36" s="63"/>
    </row>
    <row r="37" s="1" customFormat="1" ht="27" spans="1:6">
      <c r="A37" s="62" t="s">
        <v>41</v>
      </c>
      <c r="B37" s="63" t="s">
        <v>40</v>
      </c>
      <c r="C37" s="63" t="s">
        <v>40</v>
      </c>
      <c r="D37" s="63" t="s">
        <v>40</v>
      </c>
      <c r="E37" s="63" t="s">
        <v>40</v>
      </c>
      <c r="F37" s="63"/>
    </row>
    <row r="38" s="1" customFormat="1" ht="27" spans="1:6">
      <c r="A38" s="62" t="s">
        <v>42</v>
      </c>
      <c r="B38" s="59" t="s">
        <v>40</v>
      </c>
      <c r="C38" s="59" t="s">
        <v>40</v>
      </c>
      <c r="D38" s="59" t="s">
        <v>40</v>
      </c>
      <c r="E38" s="59" t="s">
        <v>40</v>
      </c>
      <c r="F38" s="59"/>
    </row>
    <row r="39" s="1" customFormat="1" spans="1:6">
      <c r="A39" s="62" t="s">
        <v>43</v>
      </c>
      <c r="B39" s="59" t="s">
        <v>40</v>
      </c>
      <c r="C39" s="59" t="s">
        <v>40</v>
      </c>
      <c r="D39" s="59" t="s">
        <v>40</v>
      </c>
      <c r="E39" s="59" t="s">
        <v>40</v>
      </c>
      <c r="F39" s="59"/>
    </row>
    <row r="40" s="1" customFormat="1" spans="1:6">
      <c r="A40" s="62" t="s">
        <v>44</v>
      </c>
      <c r="B40" s="59" t="s">
        <v>40</v>
      </c>
      <c r="C40" s="59" t="s">
        <v>46</v>
      </c>
      <c r="D40" s="59" t="s">
        <v>30</v>
      </c>
      <c r="E40" s="59" t="s">
        <v>30</v>
      </c>
      <c r="F40" s="59"/>
    </row>
    <row r="41" s="1" customFormat="1" ht="27" spans="1:6">
      <c r="A41" s="62" t="s">
        <v>45</v>
      </c>
      <c r="B41" s="59" t="s">
        <v>40</v>
      </c>
      <c r="C41" s="59" t="s">
        <v>46</v>
      </c>
      <c r="D41" s="59" t="s">
        <v>30</v>
      </c>
      <c r="E41" s="59" t="s">
        <v>30</v>
      </c>
      <c r="F41" s="59"/>
    </row>
  </sheetData>
  <mergeCells count="1">
    <mergeCell ref="A1:F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J11" sqref="J11"/>
    </sheetView>
  </sheetViews>
  <sheetFormatPr defaultColWidth="9" defaultRowHeight="13.5" outlineLevelCol="6"/>
  <cols>
    <col min="1" max="1" width="15.75" style="1" customWidth="1"/>
    <col min="2" max="4" width="13.25" style="1" customWidth="1"/>
    <col min="5" max="5" width="9.25" style="1" customWidth="1"/>
    <col min="6" max="6" width="11.5" style="1" customWidth="1"/>
    <col min="7" max="7" width="10.8833333333333" style="1" customWidth="1"/>
    <col min="8" max="16384" width="9" style="1"/>
  </cols>
  <sheetData>
    <row r="1" s="1" customFormat="1" spans="1:7">
      <c r="A1" s="38" t="s">
        <v>68</v>
      </c>
      <c r="B1" s="38"/>
      <c r="C1" s="38"/>
      <c r="D1" s="38"/>
      <c r="E1" s="38"/>
      <c r="F1" s="38"/>
      <c r="G1" s="38"/>
    </row>
    <row r="2" s="1" customFormat="1" ht="14.25" spans="1:7">
      <c r="A2" s="39"/>
      <c r="B2" s="39"/>
      <c r="C2" s="39"/>
      <c r="D2" s="39"/>
      <c r="E2" s="39"/>
      <c r="F2" s="39"/>
      <c r="G2" s="39"/>
    </row>
    <row r="3" s="1" customFormat="1" ht="18.75" spans="1:7">
      <c r="A3" s="40"/>
      <c r="B3" s="41" t="s">
        <v>62</v>
      </c>
      <c r="C3" s="41" t="s">
        <v>69</v>
      </c>
      <c r="D3" s="42" t="s">
        <v>70</v>
      </c>
      <c r="E3" s="41" t="s">
        <v>71</v>
      </c>
      <c r="F3" s="41" t="s">
        <v>69</v>
      </c>
      <c r="G3" s="42" t="s">
        <v>70</v>
      </c>
    </row>
    <row r="4" s="1" customFormat="1" ht="14.25" spans="1:7">
      <c r="A4" s="43" t="s">
        <v>64</v>
      </c>
      <c r="B4" s="44">
        <v>37.01</v>
      </c>
      <c r="C4" s="44">
        <f>B4/106.5*100</f>
        <v>34.7511737089202</v>
      </c>
      <c r="D4" s="45">
        <f>C4*5</f>
        <v>173.755868544601</v>
      </c>
      <c r="E4" s="57"/>
      <c r="F4" s="101"/>
      <c r="G4" s="102"/>
    </row>
    <row r="5" s="1" customFormat="1" ht="14.25" spans="1:7">
      <c r="A5" s="79" t="s">
        <v>48</v>
      </c>
      <c r="B5" s="44"/>
      <c r="C5" s="44">
        <f>B5/106.5*100</f>
        <v>0</v>
      </c>
      <c r="D5" s="45">
        <f>C5*5</f>
        <v>0</v>
      </c>
      <c r="E5" s="44">
        <v>37.01</v>
      </c>
      <c r="F5" s="103">
        <f>E5/111.5*100</f>
        <v>33.1928251121076</v>
      </c>
      <c r="G5" s="104">
        <f>F5*5</f>
        <v>165.964125560538</v>
      </c>
    </row>
    <row r="6" s="1" customFormat="1" ht="14.25" spans="1:7">
      <c r="A6" s="43" t="s">
        <v>4</v>
      </c>
      <c r="B6" s="45">
        <v>28.2</v>
      </c>
      <c r="C6" s="44">
        <f>B6/106.5*100</f>
        <v>26.4788732394366</v>
      </c>
      <c r="D6" s="45">
        <f>C6*5</f>
        <v>132.394366197183</v>
      </c>
      <c r="E6" s="45">
        <v>28.2</v>
      </c>
      <c r="F6" s="103">
        <f>E6/111.5*100</f>
        <v>25.2914798206278</v>
      </c>
      <c r="G6" s="104">
        <f>F6*5</f>
        <v>126.457399103139</v>
      </c>
    </row>
    <row r="7" s="1" customFormat="1" ht="14.25" spans="1:7">
      <c r="A7" s="46" t="s">
        <v>72</v>
      </c>
      <c r="B7" s="47">
        <v>10</v>
      </c>
      <c r="C7" s="44">
        <f>B7/106.5*100</f>
        <v>9.38967136150235</v>
      </c>
      <c r="D7" s="45">
        <f>C7*5</f>
        <v>46.9483568075117</v>
      </c>
      <c r="E7" s="47">
        <v>10</v>
      </c>
      <c r="F7" s="103">
        <f>E7/111.5*100</f>
        <v>8.96860986547085</v>
      </c>
      <c r="G7" s="104">
        <f>F7*5</f>
        <v>44.8430493273543</v>
      </c>
    </row>
    <row r="8" s="1" customFormat="1" ht="14.25" spans="1:7">
      <c r="A8" s="46" t="s">
        <v>6</v>
      </c>
      <c r="B8" s="48">
        <v>5</v>
      </c>
      <c r="C8" s="44">
        <f>B8/106.5*100</f>
        <v>4.69483568075117</v>
      </c>
      <c r="D8" s="45">
        <f>C8*5</f>
        <v>23.4741784037559</v>
      </c>
      <c r="E8" s="48">
        <v>5</v>
      </c>
      <c r="F8" s="103">
        <f>E8/111.5*100</f>
        <v>4.48430493273543</v>
      </c>
      <c r="G8" s="104">
        <f>F8*5</f>
        <v>22.4215246636771</v>
      </c>
    </row>
    <row r="9" s="1" customFormat="1" ht="14.25" spans="1:7">
      <c r="A9" s="43" t="s">
        <v>7</v>
      </c>
      <c r="B9" s="44">
        <v>0.15</v>
      </c>
      <c r="C9" s="44">
        <f>B9/106.5*100</f>
        <v>0.140845070422535</v>
      </c>
      <c r="D9" s="45">
        <f>C9*5</f>
        <v>0.704225352112676</v>
      </c>
      <c r="E9" s="44">
        <v>0.15</v>
      </c>
      <c r="F9" s="103">
        <f>E9/111.5*100</f>
        <v>0.134529147982063</v>
      </c>
      <c r="G9" s="104">
        <f>F9*5</f>
        <v>0.672645739910314</v>
      </c>
    </row>
    <row r="10" s="1" customFormat="1" ht="14.25" spans="1:7">
      <c r="A10" s="43" t="s">
        <v>8</v>
      </c>
      <c r="B10" s="44">
        <v>1.35</v>
      </c>
      <c r="C10" s="44">
        <f>B10/106.5*100</f>
        <v>1.26760563380282</v>
      </c>
      <c r="D10" s="45">
        <f>C10*5</f>
        <v>6.33802816901408</v>
      </c>
      <c r="E10" s="44">
        <v>1.35</v>
      </c>
      <c r="F10" s="103">
        <f>E10/111.5*100</f>
        <v>1.21076233183857</v>
      </c>
      <c r="G10" s="104">
        <f>F10*5</f>
        <v>6.05381165919283</v>
      </c>
    </row>
    <row r="11" s="1" customFormat="1" ht="14.25" spans="1:7">
      <c r="A11" s="43" t="s">
        <v>8</v>
      </c>
      <c r="B11" s="44">
        <v>2</v>
      </c>
      <c r="C11" s="44">
        <f>B11/106.5*100</f>
        <v>1.87793427230047</v>
      </c>
      <c r="D11" s="45">
        <f>C11*5</f>
        <v>9.38967136150235</v>
      </c>
      <c r="E11" s="44">
        <v>2</v>
      </c>
      <c r="F11" s="103">
        <f>E11/111.5*100</f>
        <v>1.79372197309417</v>
      </c>
      <c r="G11" s="104">
        <f>F11*5</f>
        <v>8.96860986547085</v>
      </c>
    </row>
    <row r="12" s="1" customFormat="1" ht="14.25" spans="1:7">
      <c r="A12" s="43" t="s">
        <v>9</v>
      </c>
      <c r="B12" s="49">
        <v>0.15</v>
      </c>
      <c r="C12" s="44">
        <f t="shared" ref="C11:C19" si="0">B12/106.5*100</f>
        <v>0.140845070422535</v>
      </c>
      <c r="D12" s="45">
        <f>C12*5</f>
        <v>0.704225352112676</v>
      </c>
      <c r="E12" s="49">
        <v>0.15</v>
      </c>
      <c r="F12" s="103">
        <f t="shared" ref="F11:F19" si="1">E12/111.5*100</f>
        <v>0.134529147982063</v>
      </c>
      <c r="G12" s="104">
        <f t="shared" ref="G11:G19" si="2">F12*5</f>
        <v>0.672645739910314</v>
      </c>
    </row>
    <row r="13" s="1" customFormat="1" ht="14.25" spans="1:7">
      <c r="A13" s="43" t="s">
        <v>10</v>
      </c>
      <c r="B13" s="49">
        <v>1.35</v>
      </c>
      <c r="C13" s="44">
        <f t="shared" si="0"/>
        <v>1.26760563380282</v>
      </c>
      <c r="D13" s="45">
        <f t="shared" ref="D11:D19" si="3">C13*5</f>
        <v>6.33802816901408</v>
      </c>
      <c r="E13" s="49">
        <v>1.35</v>
      </c>
      <c r="F13" s="103">
        <f t="shared" si="1"/>
        <v>1.21076233183857</v>
      </c>
      <c r="G13" s="104">
        <f t="shared" si="2"/>
        <v>6.05381165919283</v>
      </c>
    </row>
    <row r="14" s="1" customFormat="1" ht="14.25" spans="1:7">
      <c r="A14" s="43" t="s">
        <v>11</v>
      </c>
      <c r="B14" s="49">
        <v>0.25</v>
      </c>
      <c r="C14" s="44">
        <f t="shared" si="0"/>
        <v>0.234741784037559</v>
      </c>
      <c r="D14" s="45">
        <f t="shared" si="3"/>
        <v>1.17370892018779</v>
      </c>
      <c r="E14" s="49">
        <v>0.25</v>
      </c>
      <c r="F14" s="103">
        <f t="shared" si="1"/>
        <v>0.224215246636771</v>
      </c>
      <c r="G14" s="104">
        <f t="shared" si="2"/>
        <v>1.12107623318386</v>
      </c>
    </row>
    <row r="15" s="1" customFormat="1" ht="14.25" spans="1:7">
      <c r="A15" s="43" t="s">
        <v>50</v>
      </c>
      <c r="B15" s="49">
        <v>1.21</v>
      </c>
      <c r="C15" s="44">
        <f t="shared" si="0"/>
        <v>1.13615023474178</v>
      </c>
      <c r="D15" s="45">
        <f t="shared" si="3"/>
        <v>5.68075117370892</v>
      </c>
      <c r="E15" s="49">
        <v>1.21</v>
      </c>
      <c r="F15" s="103">
        <f t="shared" si="1"/>
        <v>1.08520179372197</v>
      </c>
      <c r="G15" s="104">
        <f t="shared" si="2"/>
        <v>5.42600896860987</v>
      </c>
    </row>
    <row r="16" s="1" customFormat="1" ht="14.25" spans="1:7">
      <c r="A16" s="43" t="s">
        <v>51</v>
      </c>
      <c r="B16" s="49">
        <v>5.33</v>
      </c>
      <c r="C16" s="44">
        <f t="shared" si="0"/>
        <v>5.00469483568075</v>
      </c>
      <c r="D16" s="45">
        <f t="shared" si="3"/>
        <v>25.0234741784038</v>
      </c>
      <c r="E16" s="49">
        <v>5.33</v>
      </c>
      <c r="F16" s="103">
        <f t="shared" si="1"/>
        <v>4.78026905829596</v>
      </c>
      <c r="G16" s="104">
        <f t="shared" si="2"/>
        <v>23.9013452914798</v>
      </c>
    </row>
    <row r="17" s="1" customFormat="1" ht="14.25" spans="1:7">
      <c r="A17" s="50" t="s">
        <v>13</v>
      </c>
      <c r="B17" s="49">
        <v>1.5</v>
      </c>
      <c r="C17" s="44">
        <f t="shared" si="0"/>
        <v>1.40845070422535</v>
      </c>
      <c r="D17" s="45">
        <f t="shared" si="3"/>
        <v>7.04225352112676</v>
      </c>
      <c r="E17" s="49">
        <v>1.5</v>
      </c>
      <c r="F17" s="103">
        <f t="shared" si="1"/>
        <v>1.34529147982063</v>
      </c>
      <c r="G17" s="104">
        <f t="shared" si="2"/>
        <v>6.72645739910314</v>
      </c>
    </row>
    <row r="18" s="1" customFormat="1" ht="14.25" spans="1:7">
      <c r="A18" s="50" t="s">
        <v>8</v>
      </c>
      <c r="B18" s="49">
        <v>18</v>
      </c>
      <c r="C18" s="44">
        <f t="shared" si="0"/>
        <v>16.9014084507042</v>
      </c>
      <c r="D18" s="45">
        <f t="shared" si="3"/>
        <v>84.5070422535211</v>
      </c>
      <c r="E18" s="49">
        <v>18</v>
      </c>
      <c r="F18" s="103">
        <f t="shared" si="1"/>
        <v>16.1434977578475</v>
      </c>
      <c r="G18" s="104">
        <f t="shared" si="2"/>
        <v>80.7174887892377</v>
      </c>
    </row>
    <row r="19" s="1" customFormat="1" ht="15" spans="1:7">
      <c r="A19" s="51" t="s">
        <v>14</v>
      </c>
      <c r="B19" s="52">
        <f>SUM(B4:B18)</f>
        <v>111.5</v>
      </c>
      <c r="C19" s="44">
        <f t="shared" si="0"/>
        <v>104.694835680751</v>
      </c>
      <c r="D19" s="45">
        <f t="shared" si="3"/>
        <v>523.474178403756</v>
      </c>
      <c r="E19" s="52">
        <f>SUM(E5:E18)</f>
        <v>111.5</v>
      </c>
      <c r="F19" s="103">
        <f t="shared" si="1"/>
        <v>100</v>
      </c>
      <c r="G19" s="104">
        <f t="shared" si="2"/>
        <v>500</v>
      </c>
    </row>
    <row r="20" s="1" customFormat="1" ht="18.75" spans="1:7">
      <c r="A20" s="64" t="s">
        <v>15</v>
      </c>
      <c r="B20" s="65"/>
      <c r="C20" s="65"/>
      <c r="D20" s="65"/>
      <c r="E20" s="65"/>
      <c r="F20" s="105"/>
      <c r="G20" s="81"/>
    </row>
    <row r="21" s="1" customFormat="1" ht="14.25" spans="1:7">
      <c r="A21" s="66" t="s">
        <v>16</v>
      </c>
      <c r="B21" s="67"/>
      <c r="C21" s="67"/>
      <c r="D21" s="67"/>
      <c r="E21" s="67"/>
      <c r="F21" s="106"/>
      <c r="G21" s="80"/>
    </row>
    <row r="22" s="1" customFormat="1" spans="1:7">
      <c r="A22" s="68" t="s">
        <v>17</v>
      </c>
      <c r="B22" s="69"/>
      <c r="C22" s="69"/>
      <c r="D22" s="69"/>
      <c r="E22" s="69"/>
      <c r="F22" s="69"/>
      <c r="G22" s="88"/>
    </row>
    <row r="23" s="1" customFormat="1" spans="1:7">
      <c r="A23" s="70" t="s">
        <v>20</v>
      </c>
      <c r="B23" s="59"/>
      <c r="C23" s="59"/>
      <c r="D23" s="59"/>
      <c r="E23" s="59"/>
      <c r="F23" s="59"/>
      <c r="G23" s="89"/>
    </row>
    <row r="24" s="1" customFormat="1" spans="1:7">
      <c r="A24" s="70" t="s">
        <v>22</v>
      </c>
      <c r="B24" s="59"/>
      <c r="C24" s="59"/>
      <c r="D24" s="59"/>
      <c r="E24" s="59"/>
      <c r="F24" s="59"/>
      <c r="G24" s="89"/>
    </row>
    <row r="25" s="1" customFormat="1" spans="1:7">
      <c r="A25" s="71" t="s">
        <v>23</v>
      </c>
      <c r="B25" s="59"/>
      <c r="C25" s="59"/>
      <c r="D25" s="59"/>
      <c r="E25" s="59"/>
      <c r="F25" s="59"/>
      <c r="G25" s="89"/>
    </row>
    <row r="26" s="1" customFormat="1" spans="1:7">
      <c r="A26" s="71" t="s">
        <v>24</v>
      </c>
      <c r="B26" s="59"/>
      <c r="C26" s="59"/>
      <c r="D26" s="59"/>
      <c r="E26" s="59"/>
      <c r="F26" s="59"/>
      <c r="G26" s="89"/>
    </row>
    <row r="27" s="1" customFormat="1" spans="1:7">
      <c r="A27" s="71" t="s">
        <v>27</v>
      </c>
      <c r="B27" s="59"/>
      <c r="C27" s="59"/>
      <c r="D27" s="59"/>
      <c r="E27" s="59"/>
      <c r="F27" s="59"/>
      <c r="G27" s="89"/>
    </row>
    <row r="28" s="1" customFormat="1" spans="1:7">
      <c r="A28" s="71" t="s">
        <v>29</v>
      </c>
      <c r="B28" s="59"/>
      <c r="C28" s="57"/>
      <c r="D28" s="59" t="s">
        <v>30</v>
      </c>
      <c r="E28" s="59"/>
      <c r="F28" s="59"/>
      <c r="G28" s="89" t="s">
        <v>40</v>
      </c>
    </row>
    <row r="29" s="1" customFormat="1" spans="1:7">
      <c r="A29" s="71" t="s">
        <v>31</v>
      </c>
      <c r="B29" s="59"/>
      <c r="C29" s="57"/>
      <c r="D29" s="59"/>
      <c r="E29" s="59"/>
      <c r="F29" s="59"/>
      <c r="G29" s="89"/>
    </row>
    <row r="30" s="1" customFormat="1" spans="1:7">
      <c r="A30" s="71" t="s">
        <v>33</v>
      </c>
      <c r="B30" s="59"/>
      <c r="C30" s="57"/>
      <c r="D30" s="59"/>
      <c r="E30" s="59"/>
      <c r="F30" s="59"/>
      <c r="G30" s="89"/>
    </row>
    <row r="31" s="1" customFormat="1" spans="1:7">
      <c r="A31" s="71" t="s">
        <v>35</v>
      </c>
      <c r="B31" s="59"/>
      <c r="C31" s="57"/>
      <c r="D31" s="59"/>
      <c r="E31" s="59"/>
      <c r="F31" s="59"/>
      <c r="G31" s="89"/>
    </row>
    <row r="32" s="1" customFormat="1" spans="1:7">
      <c r="A32" s="70" t="s">
        <v>36</v>
      </c>
      <c r="B32" s="59"/>
      <c r="C32" s="57"/>
      <c r="D32" s="59"/>
      <c r="E32" s="59"/>
      <c r="F32" s="59"/>
      <c r="G32" s="89"/>
    </row>
    <row r="33" s="1" customFormat="1" spans="1:7">
      <c r="A33" s="70" t="s">
        <v>38</v>
      </c>
      <c r="B33" s="59"/>
      <c r="C33" s="57"/>
      <c r="D33" s="59"/>
      <c r="E33" s="59"/>
      <c r="F33" s="59"/>
      <c r="G33" s="89"/>
    </row>
    <row r="34" s="1" customFormat="1" spans="1:7">
      <c r="A34" s="71" t="s">
        <v>39</v>
      </c>
      <c r="B34" s="55"/>
      <c r="C34" s="57"/>
      <c r="D34" s="63" t="s">
        <v>40</v>
      </c>
      <c r="E34" s="63"/>
      <c r="F34" s="63"/>
      <c r="G34" s="107" t="s">
        <v>40</v>
      </c>
    </row>
    <row r="35" s="1" customFormat="1" ht="27" spans="1:7">
      <c r="A35" s="71" t="s">
        <v>41</v>
      </c>
      <c r="B35" s="63"/>
      <c r="C35" s="57"/>
      <c r="D35" s="63" t="s">
        <v>40</v>
      </c>
      <c r="E35" s="63"/>
      <c r="F35" s="63"/>
      <c r="G35" s="107" t="s">
        <v>40</v>
      </c>
    </row>
    <row r="36" s="1" customFormat="1" ht="27" spans="1:7">
      <c r="A36" s="71" t="s">
        <v>42</v>
      </c>
      <c r="B36" s="59"/>
      <c r="C36" s="57"/>
      <c r="D36" s="63" t="s">
        <v>40</v>
      </c>
      <c r="E36" s="59"/>
      <c r="F36" s="59"/>
      <c r="G36" s="107" t="s">
        <v>40</v>
      </c>
    </row>
    <row r="37" s="1" customFormat="1" spans="1:7">
      <c r="A37" s="71" t="s">
        <v>43</v>
      </c>
      <c r="B37" s="59"/>
      <c r="C37" s="57"/>
      <c r="D37" s="63" t="s">
        <v>40</v>
      </c>
      <c r="E37" s="59"/>
      <c r="F37" s="59"/>
      <c r="G37" s="107" t="s">
        <v>40</v>
      </c>
    </row>
    <row r="38" s="1" customFormat="1" spans="1:7">
      <c r="A38" s="71" t="s">
        <v>44</v>
      </c>
      <c r="B38" s="59"/>
      <c r="C38" s="57"/>
      <c r="D38" s="63" t="s">
        <v>40</v>
      </c>
      <c r="E38" s="59"/>
      <c r="F38" s="59"/>
      <c r="G38" s="107" t="s">
        <v>40</v>
      </c>
    </row>
    <row r="39" s="1" customFormat="1" ht="27.75" spans="1:7">
      <c r="A39" s="72" t="s">
        <v>45</v>
      </c>
      <c r="B39" s="73"/>
      <c r="C39" s="74"/>
      <c r="D39" s="75" t="s">
        <v>40</v>
      </c>
      <c r="E39" s="73"/>
      <c r="F39" s="73"/>
      <c r="G39" s="108" t="s">
        <v>40</v>
      </c>
    </row>
    <row r="40" spans="1:7">
      <c r="B40" s="76"/>
      <c r="C40" s="76"/>
      <c r="D40" s="76"/>
      <c r="E40" s="76"/>
      <c r="F40" s="76"/>
      <c r="G40" s="76"/>
    </row>
  </sheetData>
  <mergeCells count="1">
    <mergeCell ref="A1:G2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E32" sqref="E32"/>
    </sheetView>
  </sheetViews>
  <sheetFormatPr defaultColWidth="9" defaultRowHeight="13.5" outlineLevelCol="5"/>
  <cols>
    <col min="1" max="1" width="15.75" style="1" customWidth="1"/>
    <col min="2" max="3" width="13.25" style="1" customWidth="1"/>
    <col min="4" max="4" width="11.5" style="1" customWidth="1"/>
    <col min="5" max="5" width="11.1333333333333" style="1" customWidth="1"/>
    <col min="6" max="6" width="10.8833333333333" style="1" customWidth="1"/>
    <col min="7" max="16384" width="9" style="1"/>
  </cols>
  <sheetData>
    <row r="1" s="1" customFormat="1" spans="1:6">
      <c r="A1" s="38" t="s">
        <v>73</v>
      </c>
      <c r="B1" s="38"/>
      <c r="C1" s="38"/>
      <c r="D1" s="38"/>
      <c r="E1" s="38"/>
      <c r="F1" s="38"/>
    </row>
    <row r="2" s="1" customFormat="1" ht="14.25" spans="1:6">
      <c r="A2" s="39"/>
      <c r="B2" s="39"/>
      <c r="C2" s="39"/>
      <c r="D2" s="39"/>
      <c r="E2" s="39"/>
      <c r="F2" s="39"/>
    </row>
    <row r="3" s="1" customFormat="1" ht="18.75" spans="1:6">
      <c r="A3" s="40"/>
      <c r="B3" s="41" t="s">
        <v>59</v>
      </c>
      <c r="C3" s="41" t="s">
        <v>60</v>
      </c>
      <c r="D3" s="41"/>
      <c r="E3" s="41" t="s">
        <v>61</v>
      </c>
      <c r="F3" s="77" t="s">
        <v>63</v>
      </c>
    </row>
    <row r="4" s="1" customFormat="1" ht="14.25" spans="1:6">
      <c r="A4" s="43" t="s">
        <v>64</v>
      </c>
      <c r="B4" s="44">
        <v>37.01</v>
      </c>
      <c r="C4" s="57"/>
      <c r="D4" s="57"/>
      <c r="E4" s="44"/>
      <c r="F4" s="78"/>
    </row>
    <row r="5" s="1" customFormat="1" ht="14.25" spans="1:6">
      <c r="A5" s="43" t="s">
        <v>3</v>
      </c>
      <c r="B5" s="44"/>
      <c r="C5" s="44">
        <v>37.01</v>
      </c>
      <c r="D5" s="57"/>
      <c r="E5" s="44"/>
      <c r="F5" s="78"/>
    </row>
    <row r="6" s="1" customFormat="1" ht="14.25" spans="1:6">
      <c r="A6" s="79" t="s">
        <v>48</v>
      </c>
      <c r="B6" s="44"/>
      <c r="C6" s="44"/>
      <c r="D6" s="44">
        <v>37.01</v>
      </c>
      <c r="E6" s="44"/>
      <c r="F6" s="78"/>
    </row>
    <row r="7" s="1" customFormat="1" ht="14.25" spans="1:6">
      <c r="A7" s="79" t="s">
        <v>65</v>
      </c>
      <c r="B7" s="44"/>
      <c r="C7" s="44"/>
      <c r="D7" s="44"/>
      <c r="E7" s="44">
        <v>37.01</v>
      </c>
      <c r="F7" s="78"/>
    </row>
    <row r="8" s="1" customFormat="1" ht="14.25" spans="1:6">
      <c r="A8" s="43" t="s">
        <v>4</v>
      </c>
      <c r="B8" s="45">
        <v>28.2</v>
      </c>
      <c r="C8" s="45">
        <v>28.2</v>
      </c>
      <c r="D8" s="45"/>
      <c r="E8" s="45">
        <v>28.2</v>
      </c>
      <c r="F8" s="78"/>
    </row>
    <row r="9" s="1" customFormat="1" ht="14.25" spans="1:6">
      <c r="A9" s="46" t="s">
        <v>5</v>
      </c>
      <c r="B9" s="47">
        <v>10</v>
      </c>
      <c r="C9" s="47">
        <v>10</v>
      </c>
      <c r="D9" s="47"/>
      <c r="E9" s="47">
        <v>10</v>
      </c>
      <c r="F9" s="78"/>
    </row>
    <row r="10" s="1" customFormat="1" ht="14.25" spans="1:6">
      <c r="A10" s="46" t="s">
        <v>6</v>
      </c>
      <c r="B10" s="48">
        <v>5</v>
      </c>
      <c r="C10" s="48">
        <v>5</v>
      </c>
      <c r="D10" s="48"/>
      <c r="E10" s="48">
        <v>5</v>
      </c>
      <c r="F10" s="78"/>
    </row>
    <row r="11" s="1" customFormat="1" ht="14.25" spans="1:6">
      <c r="A11" s="43" t="s">
        <v>74</v>
      </c>
      <c r="B11" s="44">
        <v>1.5</v>
      </c>
      <c r="C11" s="44">
        <v>1.5</v>
      </c>
      <c r="D11" s="44"/>
      <c r="E11" s="44">
        <v>1.5</v>
      </c>
      <c r="F11" s="78"/>
    </row>
    <row r="12" s="1" customFormat="1" ht="14.25" spans="1:6">
      <c r="A12" s="43"/>
      <c r="B12" s="44"/>
      <c r="C12" s="44"/>
      <c r="D12" s="44"/>
      <c r="E12" s="44"/>
      <c r="F12" s="78"/>
    </row>
    <row r="13" s="1" customFormat="1" ht="13" customHeight="1" spans="1:6">
      <c r="A13" s="43" t="s">
        <v>8</v>
      </c>
      <c r="B13" s="44">
        <v>2</v>
      </c>
      <c r="C13" s="44">
        <v>2</v>
      </c>
      <c r="D13" s="44"/>
      <c r="E13" s="44">
        <v>2</v>
      </c>
      <c r="F13" s="78"/>
    </row>
    <row r="14" s="1" customFormat="1" ht="14.25" spans="1:6">
      <c r="A14" s="43" t="s">
        <v>9</v>
      </c>
      <c r="B14" s="49">
        <v>0.15</v>
      </c>
      <c r="C14" s="49">
        <v>0.15</v>
      </c>
      <c r="D14" s="49"/>
      <c r="E14" s="49">
        <v>0.15</v>
      </c>
      <c r="F14" s="78"/>
    </row>
    <row r="15" s="1" customFormat="1" ht="14.25" spans="1:6">
      <c r="A15" s="43" t="s">
        <v>10</v>
      </c>
      <c r="B15" s="49">
        <v>1.35</v>
      </c>
      <c r="C15" s="49">
        <v>1.35</v>
      </c>
      <c r="D15" s="49"/>
      <c r="E15" s="49">
        <v>1.35</v>
      </c>
      <c r="F15" s="78"/>
    </row>
    <row r="16" s="1" customFormat="1" ht="14.25" spans="1:6">
      <c r="A16" s="43" t="s">
        <v>11</v>
      </c>
      <c r="B16" s="49">
        <v>0.25</v>
      </c>
      <c r="C16" s="49">
        <v>0.25</v>
      </c>
      <c r="D16" s="49"/>
      <c r="E16" s="49">
        <v>0.25</v>
      </c>
      <c r="F16" s="78"/>
    </row>
    <row r="17" s="1" customFormat="1" ht="14.25" spans="1:6">
      <c r="A17" s="43" t="s">
        <v>50</v>
      </c>
      <c r="B17" s="49">
        <v>1.21</v>
      </c>
      <c r="C17" s="49">
        <v>1.21</v>
      </c>
      <c r="D17" s="49"/>
      <c r="E17" s="49">
        <v>1.21</v>
      </c>
      <c r="F17" s="78"/>
    </row>
    <row r="18" s="1" customFormat="1" ht="14.25" spans="1:6">
      <c r="A18" s="43" t="s">
        <v>51</v>
      </c>
      <c r="B18" s="49">
        <v>5.33</v>
      </c>
      <c r="C18" s="49">
        <v>5.33</v>
      </c>
      <c r="D18" s="49"/>
      <c r="E18" s="49">
        <v>5.33</v>
      </c>
      <c r="F18" s="78"/>
    </row>
    <row r="19" s="1" customFormat="1" ht="14.25" spans="1:6">
      <c r="A19" s="50" t="s">
        <v>13</v>
      </c>
      <c r="B19" s="49">
        <v>1.5</v>
      </c>
      <c r="C19" s="49">
        <v>1.5</v>
      </c>
      <c r="D19" s="49"/>
      <c r="E19" s="49">
        <v>1.5</v>
      </c>
      <c r="F19" s="78"/>
    </row>
    <row r="20" s="1" customFormat="1" ht="14.25" spans="1:6">
      <c r="A20" s="50" t="s">
        <v>8</v>
      </c>
      <c r="B20" s="49">
        <v>18</v>
      </c>
      <c r="C20" s="49">
        <v>18</v>
      </c>
      <c r="D20" s="49"/>
      <c r="E20" s="49">
        <v>18</v>
      </c>
      <c r="F20" s="78"/>
    </row>
    <row r="21" s="1" customFormat="1" ht="15" spans="1:6">
      <c r="A21" s="51" t="s">
        <v>14</v>
      </c>
      <c r="B21" s="52">
        <f>SUM(B4:B20)</f>
        <v>111.5</v>
      </c>
      <c r="C21" s="52">
        <f>SUM(C5:C20)</f>
        <v>111.5</v>
      </c>
      <c r="D21" s="52"/>
      <c r="E21" s="52">
        <f>SUM(E4:E20)</f>
        <v>111.5</v>
      </c>
      <c r="F21" s="80"/>
    </row>
    <row r="22" s="1" customFormat="1" ht="18.75" spans="1:6">
      <c r="A22" s="64" t="s">
        <v>15</v>
      </c>
      <c r="B22" s="65"/>
      <c r="C22" s="65"/>
      <c r="D22" s="65"/>
      <c r="E22" s="65"/>
      <c r="F22" s="81"/>
    </row>
    <row r="23" s="1" customFormat="1" ht="14.25" spans="1:6">
      <c r="A23" s="82" t="s">
        <v>16</v>
      </c>
      <c r="B23" s="74"/>
      <c r="C23" s="74"/>
      <c r="D23" s="74"/>
      <c r="E23" s="74"/>
      <c r="F23" s="83"/>
    </row>
    <row r="24" s="1" customFormat="1" ht="14.25" spans="1:6">
      <c r="A24" s="84" t="s">
        <v>17</v>
      </c>
      <c r="B24" s="85"/>
      <c r="C24" s="85"/>
      <c r="D24" s="85"/>
      <c r="E24" s="85"/>
      <c r="F24" s="86"/>
    </row>
    <row r="25" s="1" customFormat="1" spans="1:6">
      <c r="A25" s="87" t="s">
        <v>20</v>
      </c>
      <c r="B25" s="69"/>
      <c r="C25" s="69"/>
      <c r="D25" s="69"/>
      <c r="E25" s="69"/>
      <c r="F25" s="88"/>
    </row>
    <row r="26" s="1" customFormat="1" spans="1:6">
      <c r="A26" s="70" t="s">
        <v>22</v>
      </c>
      <c r="B26" s="59"/>
      <c r="C26" s="59"/>
      <c r="D26" s="59"/>
      <c r="E26" s="59"/>
      <c r="F26" s="89"/>
    </row>
    <row r="27" s="1" customFormat="1" spans="1:6">
      <c r="A27" s="71" t="s">
        <v>23</v>
      </c>
      <c r="B27" s="59"/>
      <c r="C27" s="59"/>
      <c r="D27" s="59"/>
      <c r="E27" s="59"/>
      <c r="F27" s="89"/>
    </row>
    <row r="28" s="1" customFormat="1" spans="1:6">
      <c r="A28" s="71" t="s">
        <v>24</v>
      </c>
      <c r="B28" s="59"/>
      <c r="C28" s="59"/>
      <c r="D28" s="59"/>
      <c r="E28" s="59"/>
      <c r="F28" s="89"/>
    </row>
    <row r="29" s="1" customFormat="1" spans="1:6">
      <c r="A29" s="71" t="s">
        <v>27</v>
      </c>
      <c r="B29" s="59"/>
      <c r="C29" s="59"/>
      <c r="D29" s="59"/>
      <c r="E29" s="59"/>
      <c r="F29" s="89"/>
    </row>
    <row r="30" s="1" customFormat="1" spans="1:6">
      <c r="A30" s="71" t="s">
        <v>29</v>
      </c>
      <c r="B30" s="59"/>
      <c r="C30" s="59"/>
      <c r="D30" s="59"/>
      <c r="E30" s="59"/>
      <c r="F30" s="89"/>
    </row>
    <row r="31" s="1" customFormat="1" spans="1:6">
      <c r="A31" s="71" t="s">
        <v>31</v>
      </c>
      <c r="B31" s="59"/>
      <c r="C31" s="59"/>
      <c r="D31" s="59"/>
      <c r="E31" s="59"/>
      <c r="F31" s="89"/>
    </row>
    <row r="32" s="1" customFormat="1" spans="1:6">
      <c r="A32" s="71" t="s">
        <v>33</v>
      </c>
      <c r="B32" s="59"/>
      <c r="C32" s="59"/>
      <c r="D32" s="59"/>
      <c r="E32" s="59"/>
      <c r="F32" s="89"/>
    </row>
    <row r="33" s="1" customFormat="1" spans="1:6">
      <c r="A33" s="71" t="s">
        <v>35</v>
      </c>
      <c r="B33" s="59"/>
      <c r="C33" s="59"/>
      <c r="D33" s="59"/>
      <c r="E33" s="59"/>
      <c r="F33" s="89"/>
    </row>
    <row r="34" s="1" customFormat="1" spans="1:6">
      <c r="A34" s="70" t="s">
        <v>36</v>
      </c>
      <c r="B34" s="59"/>
      <c r="C34" s="59"/>
      <c r="D34" s="59"/>
      <c r="E34" s="59"/>
      <c r="F34" s="89"/>
    </row>
    <row r="35" s="1" customFormat="1" spans="1:6">
      <c r="A35" s="70" t="s">
        <v>38</v>
      </c>
      <c r="B35" s="59"/>
      <c r="C35" s="59"/>
      <c r="D35" s="59"/>
      <c r="E35" s="59"/>
      <c r="F35" s="89"/>
    </row>
    <row r="36" s="1" customFormat="1" spans="1:6">
      <c r="A36" s="71" t="s">
        <v>39</v>
      </c>
      <c r="B36" s="90" t="s">
        <v>75</v>
      </c>
      <c r="C36" s="91"/>
      <c r="D36" s="91"/>
      <c r="E36" s="92"/>
      <c r="F36" s="93"/>
    </row>
    <row r="37" s="1" customFormat="1" ht="27" spans="1:6">
      <c r="A37" s="71" t="s">
        <v>41</v>
      </c>
      <c r="B37" s="94"/>
      <c r="C37" s="95"/>
      <c r="D37" s="95"/>
      <c r="E37" s="95"/>
      <c r="F37" s="96"/>
    </row>
    <row r="38" s="1" customFormat="1" ht="27" spans="1:6">
      <c r="A38" s="71" t="s">
        <v>42</v>
      </c>
      <c r="B38" s="59"/>
      <c r="C38" s="59"/>
      <c r="D38" s="59"/>
      <c r="E38" s="59"/>
      <c r="F38" s="89"/>
    </row>
    <row r="39" s="1" customFormat="1" spans="1:6">
      <c r="A39" s="71" t="s">
        <v>43</v>
      </c>
      <c r="B39" s="59"/>
      <c r="C39" s="59"/>
      <c r="D39" s="59"/>
      <c r="E39" s="59"/>
      <c r="F39" s="89"/>
    </row>
    <row r="40" s="1" customFormat="1" spans="1:6">
      <c r="A40" s="71" t="s">
        <v>44</v>
      </c>
      <c r="B40" s="59"/>
      <c r="C40" s="59"/>
      <c r="D40" s="59"/>
      <c r="E40" s="59"/>
      <c r="F40" s="89"/>
    </row>
    <row r="41" s="1" customFormat="1" ht="27.75" spans="1:6">
      <c r="A41" s="72" t="s">
        <v>45</v>
      </c>
      <c r="B41" s="97" t="s">
        <v>75</v>
      </c>
      <c r="C41" s="98"/>
      <c r="D41" s="98"/>
      <c r="E41" s="99"/>
      <c r="F41" s="100"/>
    </row>
  </sheetData>
  <mergeCells count="3">
    <mergeCell ref="B41:F41"/>
    <mergeCell ref="A1:F2"/>
    <mergeCell ref="B36:F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4" sqref="A4"/>
    </sheetView>
  </sheetViews>
  <sheetFormatPr defaultColWidth="9" defaultRowHeight="13.5" outlineLevelCol="3"/>
  <cols>
    <col min="1" max="1" width="15.75" style="1" customWidth="1"/>
    <col min="2" max="2" width="13.25" style="1" customWidth="1"/>
    <col min="3" max="3" width="17.875" style="1" customWidth="1"/>
    <col min="4" max="4" width="18.375" style="1" customWidth="1"/>
    <col min="5" max="16384" width="9" style="1"/>
  </cols>
  <sheetData>
    <row r="1" s="1" customFormat="1" spans="1:4">
      <c r="A1" s="38" t="s">
        <v>76</v>
      </c>
      <c r="B1" s="38"/>
      <c r="C1" s="38"/>
      <c r="D1" s="38"/>
    </row>
    <row r="2" s="1" customFormat="1" ht="14.25" spans="1:4">
      <c r="A2" s="39"/>
      <c r="B2" s="39"/>
      <c r="C2" s="39"/>
      <c r="D2" s="39"/>
    </row>
    <row r="3" s="1" customFormat="1" ht="18.75" spans="1:4">
      <c r="A3" s="40"/>
      <c r="B3" s="41" t="s">
        <v>77</v>
      </c>
      <c r="C3" s="41" t="s">
        <v>69</v>
      </c>
      <c r="D3" s="42" t="s">
        <v>70</v>
      </c>
    </row>
    <row r="4" s="1" customFormat="1" ht="14.25" spans="1:4">
      <c r="A4" s="43" t="s">
        <v>64</v>
      </c>
      <c r="B4" s="44">
        <v>37.01</v>
      </c>
      <c r="C4" s="44">
        <f>B4/110*100</f>
        <v>33.6454545454545</v>
      </c>
      <c r="D4" s="45">
        <f>C4*5</f>
        <v>168.227272727273</v>
      </c>
    </row>
    <row r="5" s="1" customFormat="1" ht="14.25" spans="1:4">
      <c r="A5" s="43" t="s">
        <v>4</v>
      </c>
      <c r="B5" s="45">
        <v>28.2</v>
      </c>
      <c r="C5" s="44">
        <f t="shared" ref="C5:C16" si="0">B5/110*100</f>
        <v>25.6363636363636</v>
      </c>
      <c r="D5" s="45">
        <f>C5*5</f>
        <v>128.181818181818</v>
      </c>
    </row>
    <row r="6" s="1" customFormat="1" ht="14.25" spans="1:4">
      <c r="A6" s="46" t="s">
        <v>72</v>
      </c>
      <c r="B6" s="47">
        <v>10</v>
      </c>
      <c r="C6" s="44">
        <f t="shared" si="0"/>
        <v>9.09090909090909</v>
      </c>
      <c r="D6" s="45">
        <f>C6*5</f>
        <v>45.4545454545455</v>
      </c>
    </row>
    <row r="7" s="1" customFormat="1" ht="14.25" spans="1:4">
      <c r="A7" s="46" t="s">
        <v>6</v>
      </c>
      <c r="B7" s="48">
        <v>5</v>
      </c>
      <c r="C7" s="44">
        <f t="shared" si="0"/>
        <v>4.54545454545455</v>
      </c>
      <c r="D7" s="45">
        <f>C7*5</f>
        <v>22.7272727272727</v>
      </c>
    </row>
    <row r="8" s="1" customFormat="1" ht="14.25" spans="1:4">
      <c r="A8" s="43" t="s">
        <v>8</v>
      </c>
      <c r="B8" s="44">
        <v>2</v>
      </c>
      <c r="C8" s="44">
        <f t="shared" si="0"/>
        <v>1.81818181818182</v>
      </c>
      <c r="D8" s="45">
        <f t="shared" ref="D8:D16" si="1">C8*5</f>
        <v>9.09090909090909</v>
      </c>
    </row>
    <row r="9" s="1" customFormat="1" ht="14.25" spans="1:4">
      <c r="A9" s="43" t="s">
        <v>9</v>
      </c>
      <c r="B9" s="49">
        <v>0.15</v>
      </c>
      <c r="C9" s="44">
        <f t="shared" si="0"/>
        <v>0.136363636363636</v>
      </c>
      <c r="D9" s="45">
        <f t="shared" si="1"/>
        <v>0.681818181818182</v>
      </c>
    </row>
    <row r="10" s="1" customFormat="1" ht="14.25" spans="1:4">
      <c r="A10" s="43" t="s">
        <v>10</v>
      </c>
      <c r="B10" s="49">
        <v>1.35</v>
      </c>
      <c r="C10" s="44">
        <f t="shared" si="0"/>
        <v>1.22727272727273</v>
      </c>
      <c r="D10" s="45">
        <f t="shared" si="1"/>
        <v>6.13636363636364</v>
      </c>
    </row>
    <row r="11" s="1" customFormat="1" ht="14.25" spans="1:4">
      <c r="A11" s="43" t="s">
        <v>11</v>
      </c>
      <c r="B11" s="49">
        <v>0.25</v>
      </c>
      <c r="C11" s="44">
        <f t="shared" si="0"/>
        <v>0.227272727272727</v>
      </c>
      <c r="D11" s="45">
        <f t="shared" si="1"/>
        <v>1.13636363636364</v>
      </c>
    </row>
    <row r="12" s="1" customFormat="1" ht="14.25" spans="1:4">
      <c r="A12" s="43" t="s">
        <v>78</v>
      </c>
      <c r="B12" s="49">
        <v>1.21</v>
      </c>
      <c r="C12" s="44">
        <f t="shared" si="0"/>
        <v>1.1</v>
      </c>
      <c r="D12" s="45">
        <f t="shared" si="1"/>
        <v>5.5</v>
      </c>
    </row>
    <row r="13" s="1" customFormat="1" ht="14.25" spans="1:4">
      <c r="A13" s="43" t="s">
        <v>51</v>
      </c>
      <c r="B13" s="49">
        <v>5.33</v>
      </c>
      <c r="C13" s="44">
        <f t="shared" si="0"/>
        <v>4.84545454545455</v>
      </c>
      <c r="D13" s="45">
        <f t="shared" si="1"/>
        <v>24.2272727272727</v>
      </c>
    </row>
    <row r="14" s="1" customFormat="1" ht="14.25" spans="1:4">
      <c r="A14" s="50" t="s">
        <v>13</v>
      </c>
      <c r="B14" s="49">
        <v>1.5</v>
      </c>
      <c r="C14" s="44">
        <f t="shared" si="0"/>
        <v>1.36363636363636</v>
      </c>
      <c r="D14" s="45">
        <f t="shared" si="1"/>
        <v>6.81818181818182</v>
      </c>
    </row>
    <row r="15" s="1" customFormat="1" ht="14.25" spans="1:4">
      <c r="A15" s="50" t="s">
        <v>8</v>
      </c>
      <c r="B15" s="49">
        <v>18</v>
      </c>
      <c r="C15" s="44">
        <f t="shared" si="0"/>
        <v>16.3636363636364</v>
      </c>
      <c r="D15" s="45">
        <f t="shared" si="1"/>
        <v>81.8181818181818</v>
      </c>
    </row>
    <row r="16" s="1" customFormat="1" ht="15" spans="1:4">
      <c r="A16" s="51" t="s">
        <v>14</v>
      </c>
      <c r="B16" s="52">
        <f>SUM(B4:B15)</f>
        <v>110</v>
      </c>
      <c r="C16" s="44">
        <f t="shared" si="0"/>
        <v>100</v>
      </c>
      <c r="D16" s="45">
        <f t="shared" si="1"/>
        <v>500</v>
      </c>
    </row>
    <row r="17" s="1" customFormat="1" ht="18.75" spans="1:4">
      <c r="A17" s="64" t="s">
        <v>15</v>
      </c>
      <c r="B17" s="65"/>
      <c r="C17" s="65"/>
      <c r="D17" s="65"/>
    </row>
    <row r="18" s="1" customFormat="1" ht="14.25" spans="1:4">
      <c r="A18" s="66" t="s">
        <v>16</v>
      </c>
      <c r="B18" s="67"/>
      <c r="C18" s="67"/>
      <c r="D18" s="67"/>
    </row>
    <row r="19" s="1" customFormat="1" spans="1:4">
      <c r="A19" s="68" t="s">
        <v>17</v>
      </c>
      <c r="B19" s="69"/>
      <c r="C19" s="69"/>
      <c r="D19" s="69"/>
    </row>
    <row r="20" s="1" customFormat="1" spans="1:4">
      <c r="A20" s="70" t="s">
        <v>20</v>
      </c>
      <c r="B20" s="59"/>
      <c r="C20" s="59"/>
      <c r="D20" s="59"/>
    </row>
    <row r="21" s="1" customFormat="1" spans="1:4">
      <c r="A21" s="70" t="s">
        <v>22</v>
      </c>
      <c r="B21" s="59"/>
      <c r="C21" s="59"/>
      <c r="D21" s="59"/>
    </row>
    <row r="22" s="1" customFormat="1" spans="1:4">
      <c r="A22" s="71" t="s">
        <v>23</v>
      </c>
      <c r="B22" s="59"/>
      <c r="C22" s="59"/>
      <c r="D22" s="59"/>
    </row>
    <row r="23" s="1" customFormat="1" spans="1:4">
      <c r="A23" s="71" t="s">
        <v>24</v>
      </c>
      <c r="B23" s="59"/>
      <c r="C23" s="59"/>
      <c r="D23" s="59"/>
    </row>
    <row r="24" s="1" customFormat="1" spans="1:4">
      <c r="A24" s="71" t="s">
        <v>27</v>
      </c>
      <c r="B24" s="59"/>
      <c r="C24" s="59"/>
      <c r="D24" s="59"/>
    </row>
    <row r="25" s="1" customFormat="1" spans="1:4">
      <c r="A25" s="71" t="s">
        <v>29</v>
      </c>
      <c r="B25" s="59"/>
      <c r="C25" s="57"/>
      <c r="D25" s="59" t="s">
        <v>30</v>
      </c>
    </row>
    <row r="26" s="1" customFormat="1" spans="1:4">
      <c r="A26" s="71" t="s">
        <v>31</v>
      </c>
      <c r="B26" s="59"/>
      <c r="C26" s="57"/>
      <c r="D26" s="59"/>
    </row>
    <row r="27" s="1" customFormat="1" spans="1:4">
      <c r="A27" s="71" t="s">
        <v>33</v>
      </c>
      <c r="B27" s="59"/>
      <c r="C27" s="57"/>
      <c r="D27" s="59"/>
    </row>
    <row r="28" s="1" customFormat="1" spans="1:4">
      <c r="A28" s="71" t="s">
        <v>35</v>
      </c>
      <c r="B28" s="59"/>
      <c r="C28" s="57"/>
      <c r="D28" s="59"/>
    </row>
    <row r="29" s="1" customFormat="1" spans="1:4">
      <c r="A29" s="70" t="s">
        <v>36</v>
      </c>
      <c r="B29" s="59"/>
      <c r="C29" s="57"/>
      <c r="D29" s="59"/>
    </row>
    <row r="30" s="1" customFormat="1" spans="1:4">
      <c r="A30" s="70" t="s">
        <v>38</v>
      </c>
      <c r="B30" s="59"/>
      <c r="C30" s="57"/>
      <c r="D30" s="59"/>
    </row>
    <row r="31" s="1" customFormat="1" spans="1:4">
      <c r="A31" s="71" t="s">
        <v>39</v>
      </c>
      <c r="B31" s="55"/>
      <c r="C31" s="57"/>
      <c r="D31" s="63" t="s">
        <v>40</v>
      </c>
    </row>
    <row r="32" s="1" customFormat="1" ht="27" spans="1:4">
      <c r="A32" s="71" t="s">
        <v>41</v>
      </c>
      <c r="B32" s="63"/>
      <c r="C32" s="57"/>
      <c r="D32" s="63" t="s">
        <v>40</v>
      </c>
    </row>
    <row r="33" s="1" customFormat="1" ht="27" spans="1:4">
      <c r="A33" s="71" t="s">
        <v>42</v>
      </c>
      <c r="B33" s="59"/>
      <c r="C33" s="57"/>
      <c r="D33" s="63" t="s">
        <v>40</v>
      </c>
    </row>
    <row r="34" s="1" customFormat="1" spans="1:4">
      <c r="A34" s="71" t="s">
        <v>43</v>
      </c>
      <c r="B34" s="59"/>
      <c r="C34" s="57"/>
      <c r="D34" s="63" t="s">
        <v>40</v>
      </c>
    </row>
    <row r="35" s="1" customFormat="1" spans="1:4">
      <c r="A35" s="71" t="s">
        <v>44</v>
      </c>
      <c r="B35" s="59"/>
      <c r="C35" s="57"/>
      <c r="D35" s="63" t="s">
        <v>40</v>
      </c>
    </row>
    <row r="36" s="1" customFormat="1" ht="27.75" spans="1:4">
      <c r="A36" s="72" t="s">
        <v>45</v>
      </c>
      <c r="B36" s="73"/>
      <c r="C36" s="74"/>
      <c r="D36" s="75" t="s">
        <v>40</v>
      </c>
    </row>
    <row r="37" s="1" customFormat="1" spans="1:4">
      <c r="B37" s="76"/>
      <c r="C37" s="76"/>
      <c r="D37" s="76"/>
    </row>
  </sheetData>
  <mergeCells count="1">
    <mergeCell ref="A1:D2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F12" sqref="F12"/>
    </sheetView>
  </sheetViews>
  <sheetFormatPr defaultColWidth="9" defaultRowHeight="13.5" outlineLevelCol="3"/>
  <cols>
    <col min="1" max="1" width="13.875" customWidth="1"/>
    <col min="2" max="2" width="13.375" customWidth="1"/>
    <col min="3" max="3" width="13.125" customWidth="1"/>
    <col min="4" max="4" width="17.375" customWidth="1"/>
  </cols>
  <sheetData>
    <row r="1" spans="1:4">
      <c r="A1" s="38" t="s">
        <v>79</v>
      </c>
      <c r="B1" s="38"/>
      <c r="C1" s="38"/>
      <c r="D1" s="38"/>
    </row>
    <row r="2" ht="14.25" spans="1:4">
      <c r="A2" s="39"/>
      <c r="B2" s="39"/>
      <c r="C2" s="39"/>
      <c r="D2" s="39"/>
    </row>
    <row r="3" ht="18.75" spans="1:4">
      <c r="A3" s="40"/>
      <c r="B3" s="41" t="s">
        <v>62</v>
      </c>
      <c r="C3" s="41" t="s">
        <v>69</v>
      </c>
      <c r="D3" s="42" t="s">
        <v>70</v>
      </c>
    </row>
    <row r="4" ht="14.25" spans="1:4">
      <c r="A4" s="43" t="s">
        <v>64</v>
      </c>
      <c r="B4" s="44">
        <v>37.01</v>
      </c>
      <c r="C4" s="44">
        <f>B4/106.5*100</f>
        <v>34.7511737089202</v>
      </c>
      <c r="D4" s="45">
        <f>C4*5</f>
        <v>173.755868544601</v>
      </c>
    </row>
    <row r="5" ht="14.25" spans="1:4">
      <c r="A5" s="43" t="s">
        <v>4</v>
      </c>
      <c r="B5" s="45">
        <v>28.2</v>
      </c>
      <c r="C5" s="44">
        <f>B5/106.5*100</f>
        <v>26.4788732394366</v>
      </c>
      <c r="D5" s="45">
        <f>C5*5</f>
        <v>132.394366197183</v>
      </c>
    </row>
    <row r="6" ht="14.25" spans="1:4">
      <c r="A6" s="46" t="s">
        <v>72</v>
      </c>
      <c r="B6" s="47">
        <v>10</v>
      </c>
      <c r="C6" s="44">
        <f>B6/106.5*100</f>
        <v>9.38967136150235</v>
      </c>
      <c r="D6" s="45">
        <f>C6*5</f>
        <v>46.9483568075117</v>
      </c>
    </row>
    <row r="7" ht="14.25" spans="1:4">
      <c r="A7" s="46" t="s">
        <v>6</v>
      </c>
      <c r="B7" s="48">
        <v>5</v>
      </c>
      <c r="C7" s="44">
        <f>B7/106.5*100</f>
        <v>4.69483568075117</v>
      </c>
      <c r="D7" s="45">
        <f>C7*5</f>
        <v>23.4741784037559</v>
      </c>
    </row>
    <row r="8" ht="14.25" spans="1:4">
      <c r="A8" s="43" t="s">
        <v>7</v>
      </c>
      <c r="B8" s="44">
        <v>0.15</v>
      </c>
      <c r="C8" s="44">
        <f t="shared" ref="C8:C15" si="0">B8/106.5*100</f>
        <v>0.140845070422535</v>
      </c>
      <c r="D8" s="45">
        <f>C8*5</f>
        <v>0.704225352112676</v>
      </c>
    </row>
    <row r="9" ht="14.25" spans="1:4">
      <c r="A9" s="43" t="s">
        <v>8</v>
      </c>
      <c r="B9" s="44">
        <v>1.35</v>
      </c>
      <c r="C9" s="44">
        <f t="shared" si="0"/>
        <v>1.26760563380282</v>
      </c>
      <c r="D9" s="45">
        <f>C9*5</f>
        <v>6.33802816901408</v>
      </c>
    </row>
    <row r="10" ht="14.25" spans="1:4">
      <c r="A10" s="43" t="s">
        <v>8</v>
      </c>
      <c r="B10" s="44">
        <v>2</v>
      </c>
      <c r="C10" s="44">
        <f t="shared" si="0"/>
        <v>1.87793427230047</v>
      </c>
      <c r="D10" s="45">
        <f>C10*5</f>
        <v>9.38967136150235</v>
      </c>
    </row>
    <row r="11" ht="14.25" spans="1:4">
      <c r="A11" s="43" t="s">
        <v>9</v>
      </c>
      <c r="B11" s="49">
        <v>0.15</v>
      </c>
      <c r="C11" s="44">
        <f t="shared" si="0"/>
        <v>0.140845070422535</v>
      </c>
      <c r="D11" s="45">
        <f>C11*5</f>
        <v>0.704225352112676</v>
      </c>
    </row>
    <row r="12" ht="14.25" spans="1:4">
      <c r="A12" s="43" t="s">
        <v>10</v>
      </c>
      <c r="B12" s="49">
        <v>1.35</v>
      </c>
      <c r="C12" s="44">
        <f t="shared" si="0"/>
        <v>1.26760563380282</v>
      </c>
      <c r="D12" s="45">
        <f>C12*5</f>
        <v>6.33802816901408</v>
      </c>
    </row>
    <row r="13" ht="14.25" spans="1:4">
      <c r="A13" s="43" t="s">
        <v>11</v>
      </c>
      <c r="B13" s="49">
        <v>0.25</v>
      </c>
      <c r="C13" s="44">
        <f t="shared" si="0"/>
        <v>0.234741784037559</v>
      </c>
      <c r="D13" s="45">
        <f t="shared" ref="D10:D18" si="1">C13*5</f>
        <v>1.17370892018779</v>
      </c>
    </row>
    <row r="14" ht="14.25" spans="1:4">
      <c r="A14" s="43" t="s">
        <v>50</v>
      </c>
      <c r="B14" s="49">
        <v>1.21</v>
      </c>
      <c r="C14" s="44">
        <f t="shared" si="0"/>
        <v>1.13615023474178</v>
      </c>
      <c r="D14" s="45">
        <f t="shared" si="1"/>
        <v>5.68075117370892</v>
      </c>
    </row>
    <row r="15" ht="14.25" spans="1:4">
      <c r="A15" s="43" t="s">
        <v>51</v>
      </c>
      <c r="B15" s="49">
        <v>5.33</v>
      </c>
      <c r="C15" s="44">
        <f t="shared" si="0"/>
        <v>5.00469483568075</v>
      </c>
      <c r="D15" s="45">
        <f t="shared" si="1"/>
        <v>25.0234741784038</v>
      </c>
    </row>
    <row r="16" ht="14.25" spans="1:4">
      <c r="A16" s="50" t="s">
        <v>13</v>
      </c>
      <c r="B16" s="49">
        <v>1.5</v>
      </c>
      <c r="C16" s="44">
        <f>B16/106.5*100</f>
        <v>1.40845070422535</v>
      </c>
      <c r="D16" s="45">
        <f t="shared" si="1"/>
        <v>7.04225352112676</v>
      </c>
    </row>
    <row r="17" ht="14.25" spans="1:4">
      <c r="A17" s="50" t="s">
        <v>8</v>
      </c>
      <c r="B17" s="49">
        <v>18</v>
      </c>
      <c r="C17" s="44">
        <f>B17/106.5*100</f>
        <v>16.9014084507042</v>
      </c>
      <c r="D17" s="45">
        <f t="shared" si="1"/>
        <v>84.5070422535211</v>
      </c>
    </row>
    <row r="18" ht="14.25" spans="1:4">
      <c r="A18" s="51" t="s">
        <v>14</v>
      </c>
      <c r="B18" s="52">
        <f>SUM(B4:B17)</f>
        <v>111.5</v>
      </c>
      <c r="C18" s="53">
        <f>B18/106.5*100</f>
        <v>104.694835680751</v>
      </c>
      <c r="D18" s="54">
        <f t="shared" si="1"/>
        <v>523.474178403756</v>
      </c>
    </row>
    <row r="19" ht="18.75" spans="1:4">
      <c r="A19" s="55" t="s">
        <v>15</v>
      </c>
      <c r="B19" s="56"/>
      <c r="C19" s="56"/>
      <c r="D19" s="56"/>
    </row>
    <row r="20" spans="1:4">
      <c r="A20" s="55" t="s">
        <v>16</v>
      </c>
      <c r="B20" s="57"/>
      <c r="C20" s="57"/>
      <c r="D20" s="57"/>
    </row>
    <row r="21" spans="1:4">
      <c r="A21" s="58" t="s">
        <v>17</v>
      </c>
      <c r="B21" s="59"/>
      <c r="C21" s="59"/>
      <c r="D21" s="60"/>
    </row>
    <row r="22" spans="1:4">
      <c r="A22" s="61" t="s">
        <v>20</v>
      </c>
      <c r="B22" s="59" t="s">
        <v>56</v>
      </c>
      <c r="C22" s="60"/>
      <c r="D22" s="59" t="s">
        <v>56</v>
      </c>
    </row>
    <row r="23" spans="1:4">
      <c r="A23" s="61" t="s">
        <v>22</v>
      </c>
      <c r="B23" s="59"/>
      <c r="C23" s="60"/>
      <c r="D23" s="59"/>
    </row>
    <row r="24" spans="1:4">
      <c r="A24" s="62" t="s">
        <v>23</v>
      </c>
      <c r="B24" s="59"/>
      <c r="C24" s="60"/>
      <c r="D24" s="59"/>
    </row>
    <row r="25" spans="1:4">
      <c r="A25" s="62" t="s">
        <v>24</v>
      </c>
      <c r="B25" s="59" t="s">
        <v>26</v>
      </c>
      <c r="C25" s="60"/>
      <c r="D25" s="59" t="s">
        <v>26</v>
      </c>
    </row>
    <row r="26" spans="1:4">
      <c r="A26" s="62" t="s">
        <v>27</v>
      </c>
      <c r="B26" s="59" t="s">
        <v>57</v>
      </c>
      <c r="C26" s="60"/>
      <c r="D26" s="59" t="s">
        <v>57</v>
      </c>
    </row>
    <row r="27" spans="1:4">
      <c r="A27" s="62" t="s">
        <v>29</v>
      </c>
      <c r="B27" s="59" t="s">
        <v>30</v>
      </c>
      <c r="C27" s="60"/>
      <c r="D27" s="59" t="s">
        <v>30</v>
      </c>
    </row>
    <row r="28" spans="1:4">
      <c r="A28" s="62" t="s">
        <v>31</v>
      </c>
      <c r="B28" s="59" t="s">
        <v>32</v>
      </c>
      <c r="C28" s="60"/>
      <c r="D28" s="59" t="s">
        <v>32</v>
      </c>
    </row>
    <row r="29" spans="1:4">
      <c r="A29" s="62" t="s">
        <v>33</v>
      </c>
      <c r="B29" s="59" t="s">
        <v>34</v>
      </c>
      <c r="C29" s="60"/>
      <c r="D29" s="59" t="s">
        <v>34</v>
      </c>
    </row>
    <row r="30" spans="1:4">
      <c r="A30" s="62" t="s">
        <v>35</v>
      </c>
      <c r="B30" s="59">
        <v>850</v>
      </c>
      <c r="C30" s="60"/>
      <c r="D30" s="59">
        <v>850</v>
      </c>
    </row>
    <row r="31" spans="1:4">
      <c r="A31" s="61" t="s">
        <v>36</v>
      </c>
      <c r="B31" s="59" t="s">
        <v>37</v>
      </c>
      <c r="C31" s="60"/>
      <c r="D31" s="59" t="s">
        <v>37</v>
      </c>
    </row>
    <row r="32" spans="1:4">
      <c r="A32" s="61" t="s">
        <v>38</v>
      </c>
      <c r="B32" s="59" t="s">
        <v>37</v>
      </c>
      <c r="C32" s="60"/>
      <c r="D32" s="59" t="s">
        <v>37</v>
      </c>
    </row>
    <row r="33" ht="27" spans="1:4">
      <c r="A33" s="62" t="s">
        <v>39</v>
      </c>
      <c r="B33" s="63" t="s">
        <v>40</v>
      </c>
      <c r="C33" s="60"/>
      <c r="D33" s="63" t="s">
        <v>40</v>
      </c>
    </row>
    <row r="34" ht="27" spans="1:4">
      <c r="A34" s="62" t="s">
        <v>41</v>
      </c>
      <c r="B34" s="63" t="s">
        <v>40</v>
      </c>
      <c r="C34" s="60"/>
      <c r="D34" s="63" t="s">
        <v>40</v>
      </c>
    </row>
    <row r="35" ht="27" spans="1:4">
      <c r="A35" s="62" t="s">
        <v>42</v>
      </c>
      <c r="B35" s="63" t="s">
        <v>40</v>
      </c>
      <c r="C35" s="60"/>
      <c r="D35" s="63" t="s">
        <v>40</v>
      </c>
    </row>
    <row r="36" ht="27" spans="1:4">
      <c r="A36" s="62" t="s">
        <v>43</v>
      </c>
      <c r="B36" s="59" t="s">
        <v>40</v>
      </c>
      <c r="C36" s="60"/>
      <c r="D36" s="59" t="s">
        <v>40</v>
      </c>
    </row>
    <row r="37" ht="27" spans="1:4">
      <c r="A37" s="62" t="s">
        <v>44</v>
      </c>
      <c r="B37" s="59" t="s">
        <v>40</v>
      </c>
      <c r="C37" s="60"/>
      <c r="D37" s="59" t="s">
        <v>40</v>
      </c>
    </row>
    <row r="38" ht="27" spans="1:4">
      <c r="A38" s="62" t="s">
        <v>45</v>
      </c>
      <c r="B38" s="59" t="s">
        <v>46</v>
      </c>
      <c r="C38" s="60"/>
      <c r="D38" s="59" t="s">
        <v>46</v>
      </c>
    </row>
  </sheetData>
  <mergeCells count="1">
    <mergeCell ref="A1:D2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B11" sqref="B11:C12"/>
    </sheetView>
  </sheetViews>
  <sheetFormatPr defaultColWidth="9" defaultRowHeight="13.5" outlineLevelCol="4"/>
  <cols>
    <col min="1" max="1" width="6.38333333333333" style="1" customWidth="1"/>
    <col min="2" max="2" width="22.6333333333333" style="1" customWidth="1"/>
    <col min="3" max="3" width="15.8833333333333" style="1" customWidth="1"/>
    <col min="4" max="4" width="17.75" style="1" customWidth="1"/>
    <col min="5" max="5" width="17.5" style="1" customWidth="1"/>
    <col min="6" max="16384" width="9" style="1"/>
  </cols>
  <sheetData>
    <row r="1" s="1" customFormat="1" ht="20.25" spans="1:5">
      <c r="A1" s="2" t="s">
        <v>80</v>
      </c>
      <c r="B1" s="3"/>
      <c r="C1" s="3"/>
      <c r="D1" s="3"/>
      <c r="E1" s="4"/>
    </row>
    <row r="2" s="1" customFormat="1" ht="14.25" spans="1:5">
      <c r="A2" s="5" t="s">
        <v>81</v>
      </c>
      <c r="B2" s="5" t="s">
        <v>82</v>
      </c>
      <c r="C2" s="5" t="s">
        <v>83</v>
      </c>
      <c r="D2" s="5" t="s">
        <v>16</v>
      </c>
      <c r="E2" s="6" t="s">
        <v>84</v>
      </c>
    </row>
    <row r="3" s="1" customFormat="1" ht="14.25" spans="1:5">
      <c r="A3" s="7">
        <v>1</v>
      </c>
      <c r="B3" s="7" t="s">
        <v>64</v>
      </c>
      <c r="C3" s="7">
        <v>35</v>
      </c>
      <c r="D3" s="7">
        <f>C3*0.4</f>
        <v>14</v>
      </c>
      <c r="E3" s="8">
        <f t="shared" ref="E3:E18" si="0">C3*2.5</f>
        <v>87.5</v>
      </c>
    </row>
    <row r="4" s="1" customFormat="1" ht="14.25" spans="1:5">
      <c r="A4" s="7">
        <v>2</v>
      </c>
      <c r="B4" s="7" t="s">
        <v>85</v>
      </c>
      <c r="C4" s="7">
        <v>10</v>
      </c>
      <c r="D4" s="7">
        <f>C4*0.4</f>
        <v>4</v>
      </c>
      <c r="E4" s="8">
        <f t="shared" si="0"/>
        <v>25</v>
      </c>
    </row>
    <row r="5" s="1" customFormat="1" ht="14.25" spans="1:5">
      <c r="A5" s="7">
        <v>3</v>
      </c>
      <c r="B5" s="7" t="s">
        <v>4</v>
      </c>
      <c r="C5" s="7">
        <v>25</v>
      </c>
      <c r="D5" s="7">
        <f t="shared" ref="D5:D7" si="1">C5*0.6</f>
        <v>15</v>
      </c>
      <c r="E5" s="8">
        <f t="shared" si="0"/>
        <v>62.5</v>
      </c>
    </row>
    <row r="6" s="1" customFormat="1" ht="14.25" spans="1:5">
      <c r="A6" s="7">
        <v>4</v>
      </c>
      <c r="B6" s="7" t="s">
        <v>72</v>
      </c>
      <c r="C6" s="7">
        <v>8.6</v>
      </c>
      <c r="D6" s="7">
        <f t="shared" si="1"/>
        <v>5.16</v>
      </c>
      <c r="E6" s="8">
        <f t="shared" si="0"/>
        <v>21.5</v>
      </c>
    </row>
    <row r="7" s="1" customFormat="1" ht="14.25" spans="1:5">
      <c r="A7" s="7">
        <v>5</v>
      </c>
      <c r="B7" s="7" t="s">
        <v>6</v>
      </c>
      <c r="C7" s="7">
        <v>4.5</v>
      </c>
      <c r="D7" s="7">
        <f t="shared" si="1"/>
        <v>2.7</v>
      </c>
      <c r="E7" s="8">
        <f t="shared" si="0"/>
        <v>11.25</v>
      </c>
    </row>
    <row r="8" s="1" customFormat="1" ht="14.25" spans="1:5">
      <c r="A8" s="7">
        <v>6</v>
      </c>
      <c r="B8" s="7" t="s">
        <v>86</v>
      </c>
      <c r="C8" s="7">
        <v>1.5</v>
      </c>
      <c r="D8" s="7">
        <f>C8*0.75</f>
        <v>1.125</v>
      </c>
      <c r="E8" s="8">
        <f t="shared" si="0"/>
        <v>3.75</v>
      </c>
    </row>
    <row r="9" s="1" customFormat="1" ht="14.25" spans="1:5">
      <c r="A9" s="7">
        <v>7</v>
      </c>
      <c r="B9" s="9" t="s">
        <v>7</v>
      </c>
      <c r="C9" s="9">
        <v>0.13</v>
      </c>
      <c r="D9" s="7"/>
      <c r="E9" s="8">
        <f t="shared" si="0"/>
        <v>0.325</v>
      </c>
    </row>
    <row r="10" s="1" customFormat="1" ht="14.25" spans="1:5">
      <c r="A10" s="7">
        <v>8</v>
      </c>
      <c r="B10" s="9" t="s">
        <v>8</v>
      </c>
      <c r="C10" s="9">
        <v>1.1</v>
      </c>
      <c r="D10" s="7"/>
      <c r="E10" s="8">
        <f t="shared" si="0"/>
        <v>2.75</v>
      </c>
    </row>
    <row r="11" s="1" customFormat="1" ht="14.25" spans="1:5">
      <c r="A11" s="7">
        <v>9</v>
      </c>
      <c r="B11" s="10" t="s">
        <v>9</v>
      </c>
      <c r="C11" s="10">
        <v>0.15</v>
      </c>
      <c r="D11" s="7"/>
      <c r="E11" s="8">
        <f t="shared" si="0"/>
        <v>0.375</v>
      </c>
    </row>
    <row r="12" s="1" customFormat="1" ht="14.25" spans="1:5">
      <c r="A12" s="7">
        <v>10</v>
      </c>
      <c r="B12" s="10" t="s">
        <v>10</v>
      </c>
      <c r="C12" s="10">
        <v>1.45</v>
      </c>
      <c r="D12" s="7"/>
      <c r="E12" s="8">
        <f t="shared" si="0"/>
        <v>3.625</v>
      </c>
    </row>
    <row r="13" s="1" customFormat="1" ht="14.25" spans="1:5">
      <c r="A13" s="7">
        <v>11</v>
      </c>
      <c r="B13" s="7" t="s">
        <v>11</v>
      </c>
      <c r="C13" s="7">
        <v>0.15</v>
      </c>
      <c r="D13" s="7"/>
      <c r="E13" s="8">
        <f t="shared" si="0"/>
        <v>0.375</v>
      </c>
    </row>
    <row r="14" s="1" customFormat="1" ht="14.25" spans="1:5">
      <c r="A14" s="7">
        <v>12</v>
      </c>
      <c r="B14" s="7" t="s">
        <v>78</v>
      </c>
      <c r="C14" s="7">
        <v>1.2</v>
      </c>
      <c r="D14" s="7">
        <f>C14*0.25</f>
        <v>0.3</v>
      </c>
      <c r="E14" s="8">
        <f t="shared" si="0"/>
        <v>3</v>
      </c>
    </row>
    <row r="15" s="1" customFormat="1" ht="14.25" spans="1:5">
      <c r="A15" s="7">
        <v>13</v>
      </c>
      <c r="B15" s="7" t="s">
        <v>51</v>
      </c>
      <c r="C15" s="7">
        <v>4</v>
      </c>
      <c r="D15" s="7"/>
      <c r="E15" s="8">
        <f t="shared" si="0"/>
        <v>10</v>
      </c>
    </row>
    <row r="16" s="1" customFormat="1" ht="14.25" spans="1:5">
      <c r="A16" s="7">
        <v>14</v>
      </c>
      <c r="B16" s="7" t="s">
        <v>13</v>
      </c>
      <c r="C16" s="7">
        <v>1</v>
      </c>
      <c r="D16" s="7"/>
      <c r="E16" s="8">
        <f t="shared" si="0"/>
        <v>2.5</v>
      </c>
    </row>
    <row r="17" s="1" customFormat="1" ht="14.25" spans="1:5">
      <c r="A17" s="7">
        <v>15</v>
      </c>
      <c r="B17" s="7" t="s">
        <v>8</v>
      </c>
      <c r="C17" s="7">
        <v>6.22</v>
      </c>
      <c r="D17" s="7"/>
      <c r="E17" s="8">
        <f t="shared" si="0"/>
        <v>15.55</v>
      </c>
    </row>
    <row r="18" s="1" customFormat="1" ht="14.25" spans="1:5">
      <c r="A18" s="11">
        <v>18</v>
      </c>
      <c r="B18" s="11" t="s">
        <v>14</v>
      </c>
      <c r="C18" s="11">
        <f>SUM(C3:C17)</f>
        <v>100</v>
      </c>
      <c r="D18" s="11">
        <f>SUM(D3:D17)</f>
        <v>42.285</v>
      </c>
      <c r="E18" s="12">
        <f t="shared" si="0"/>
        <v>250</v>
      </c>
    </row>
    <row r="19" s="1" customFormat="1" ht="15" spans="1:5">
      <c r="A19" s="13"/>
      <c r="B19" s="14" t="s">
        <v>87</v>
      </c>
      <c r="C19" s="13"/>
      <c r="D19" s="14"/>
      <c r="E19" s="15" t="s">
        <v>88</v>
      </c>
    </row>
    <row r="20" s="1" customFormat="1" ht="14.25" spans="1:5">
      <c r="A20" s="16"/>
      <c r="B20" s="17" t="s">
        <v>15</v>
      </c>
      <c r="C20" s="18" t="s">
        <v>89</v>
      </c>
      <c r="D20" s="19"/>
      <c r="E20" s="18"/>
    </row>
    <row r="21" s="1" customFormat="1" ht="15" spans="1:5">
      <c r="A21" s="20"/>
      <c r="B21" s="21" t="s">
        <v>16</v>
      </c>
      <c r="C21" s="22">
        <v>0.4015</v>
      </c>
      <c r="D21" s="23"/>
      <c r="E21" s="24"/>
    </row>
    <row r="22" s="1" customFormat="1" ht="19.5" spans="1:5">
      <c r="A22" s="25"/>
      <c r="B22" s="26" t="s">
        <v>90</v>
      </c>
      <c r="C22" s="27"/>
      <c r="D22" s="28"/>
      <c r="E22" s="29"/>
    </row>
    <row r="23" s="1" customFormat="1" ht="18.75" spans="1:5">
      <c r="A23" s="30">
        <v>1</v>
      </c>
      <c r="B23" s="7" t="s">
        <v>91</v>
      </c>
      <c r="C23" s="31" t="s">
        <v>92</v>
      </c>
      <c r="D23" s="30"/>
      <c r="E23" s="32"/>
    </row>
    <row r="24" s="1" customFormat="1" ht="18.75" spans="1:5">
      <c r="A24" s="30">
        <v>2</v>
      </c>
      <c r="B24" s="7" t="s">
        <v>20</v>
      </c>
      <c r="C24" s="32" t="s">
        <v>93</v>
      </c>
      <c r="D24" s="30"/>
      <c r="E24" s="32"/>
    </row>
    <row r="25" s="1" customFormat="1" ht="18.75" spans="1:5">
      <c r="A25" s="30">
        <v>3</v>
      </c>
      <c r="B25" s="7" t="s">
        <v>24</v>
      </c>
      <c r="C25" s="32" t="s">
        <v>94</v>
      </c>
      <c r="D25" s="30"/>
      <c r="E25" s="32"/>
    </row>
    <row r="26" s="1" customFormat="1" ht="18.75" spans="1:5">
      <c r="A26" s="30">
        <v>4</v>
      </c>
      <c r="B26" s="7" t="s">
        <v>95</v>
      </c>
      <c r="C26" s="32" t="s">
        <v>96</v>
      </c>
      <c r="D26" s="30"/>
      <c r="E26" s="32"/>
    </row>
    <row r="27" s="1" customFormat="1" ht="18.75" spans="1:5">
      <c r="A27" s="30">
        <v>5</v>
      </c>
      <c r="B27" s="7" t="s">
        <v>36</v>
      </c>
      <c r="C27" s="32" t="s">
        <v>37</v>
      </c>
      <c r="D27" s="30"/>
      <c r="E27" s="32"/>
    </row>
    <row r="28" s="1" customFormat="1" ht="18.75" spans="1:5">
      <c r="A28" s="30">
        <v>6</v>
      </c>
      <c r="B28" s="7" t="s">
        <v>97</v>
      </c>
      <c r="C28" s="32" t="s">
        <v>98</v>
      </c>
      <c r="D28" s="30"/>
      <c r="E28" s="32"/>
    </row>
    <row r="29" s="1" customFormat="1" ht="18.75" spans="1:5">
      <c r="A29" s="30">
        <v>7</v>
      </c>
      <c r="B29" s="7" t="s">
        <v>31</v>
      </c>
      <c r="C29" s="32" t="s">
        <v>32</v>
      </c>
      <c r="D29" s="30"/>
      <c r="E29" s="32"/>
    </row>
    <row r="30" s="1" customFormat="1" ht="18.75" spans="1:5">
      <c r="A30" s="30">
        <v>8</v>
      </c>
      <c r="B30" s="7" t="s">
        <v>99</v>
      </c>
      <c r="C30" s="32" t="s">
        <v>96</v>
      </c>
      <c r="D30" s="30"/>
      <c r="E30" s="32"/>
    </row>
    <row r="31" s="1" customFormat="1" ht="18.75" spans="1:5">
      <c r="A31" s="30">
        <v>9</v>
      </c>
      <c r="B31" s="7" t="s">
        <v>100</v>
      </c>
      <c r="C31" s="32">
        <v>0.06</v>
      </c>
      <c r="D31" s="30"/>
      <c r="E31" s="32"/>
    </row>
    <row r="32" s="1" customFormat="1" ht="18.75" spans="1:5">
      <c r="A32" s="30">
        <v>10</v>
      </c>
      <c r="B32" s="7" t="s">
        <v>35</v>
      </c>
      <c r="C32" s="32">
        <v>1050</v>
      </c>
      <c r="D32" s="30"/>
      <c r="E32" s="32"/>
    </row>
    <row r="33" s="1" customFormat="1" ht="18.75" spans="1:5">
      <c r="A33" s="30">
        <v>11</v>
      </c>
      <c r="B33" s="7" t="s">
        <v>33</v>
      </c>
      <c r="C33" s="32" t="s">
        <v>34</v>
      </c>
      <c r="D33" s="30"/>
      <c r="E33" s="32"/>
    </row>
    <row r="34" s="1" customFormat="1" ht="18.75" spans="1:5">
      <c r="A34" s="30">
        <v>12</v>
      </c>
      <c r="B34" s="7" t="s">
        <v>101</v>
      </c>
      <c r="C34" s="32" t="s">
        <v>40</v>
      </c>
      <c r="D34" s="30"/>
      <c r="E34" s="32"/>
    </row>
    <row r="35" s="1" customFormat="1" ht="18.75" spans="1:5">
      <c r="A35" s="30">
        <v>13</v>
      </c>
      <c r="B35" s="7" t="s">
        <v>102</v>
      </c>
      <c r="C35" s="32" t="s">
        <v>40</v>
      </c>
      <c r="D35" s="30"/>
      <c r="E35" s="32"/>
    </row>
    <row r="36" s="1" customFormat="1" ht="18.75" spans="1:5">
      <c r="A36" s="30">
        <v>14</v>
      </c>
      <c r="B36" s="7" t="s">
        <v>103</v>
      </c>
      <c r="C36" s="32" t="s">
        <v>40</v>
      </c>
      <c r="D36" s="30"/>
      <c r="E36" s="32"/>
    </row>
    <row r="37" s="1" customFormat="1" ht="18.75" spans="1:5">
      <c r="A37" s="30">
        <v>15</v>
      </c>
      <c r="B37" s="7" t="s">
        <v>104</v>
      </c>
      <c r="C37" s="32" t="s">
        <v>40</v>
      </c>
      <c r="D37" s="30"/>
      <c r="E37" s="32"/>
    </row>
    <row r="38" s="1" customFormat="1" ht="18.75" spans="1:5">
      <c r="A38" s="30">
        <v>16</v>
      </c>
      <c r="B38" s="7" t="s">
        <v>105</v>
      </c>
      <c r="C38" s="32" t="s">
        <v>40</v>
      </c>
      <c r="D38" s="30"/>
      <c r="E38" s="32"/>
    </row>
    <row r="39" s="1" customFormat="1" ht="18.75" spans="1:5">
      <c r="A39" s="30">
        <v>17</v>
      </c>
      <c r="B39" s="7" t="s">
        <v>34</v>
      </c>
      <c r="C39" s="32" t="s">
        <v>40</v>
      </c>
      <c r="D39" s="30"/>
      <c r="E39" s="32"/>
    </row>
    <row r="40" s="1" customFormat="1" ht="18.75" spans="1:5">
      <c r="A40" s="30">
        <v>18</v>
      </c>
      <c r="B40" s="7" t="s">
        <v>106</v>
      </c>
      <c r="C40" s="32" t="s">
        <v>40</v>
      </c>
      <c r="D40" s="33"/>
      <c r="E40" s="34"/>
    </row>
    <row r="41" s="1" customFormat="1" ht="19.5" spans="1:5">
      <c r="A41" s="35">
        <v>19</v>
      </c>
      <c r="B41" s="36" t="s">
        <v>107</v>
      </c>
      <c r="C41" s="37" t="s">
        <v>40</v>
      </c>
      <c r="D41" s="35"/>
      <c r="E41" s="37"/>
    </row>
  </sheetData>
  <mergeCells count="2">
    <mergeCell ref="A1:E1"/>
    <mergeCell ref="B22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25.8.20</vt:lpstr>
      <vt:lpstr>25.8.28</vt:lpstr>
      <vt:lpstr>25.8.28-1</vt:lpstr>
      <vt:lpstr>25.9.17</vt:lpstr>
      <vt:lpstr>25.9.18</vt:lpstr>
      <vt:lpstr>25.9.19</vt:lpstr>
      <vt:lpstr>25.9.28</vt:lpstr>
      <vt:lpstr>25.10.13</vt:lpstr>
      <vt:lpstr>25.11.11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王琼</dc:creator>
  <cp:lastModifiedBy>王琼</cp:lastModifiedBy>
  <dcterms:created xsi:type="dcterms:W3CDTF">2025-08-20T00:37:00Z</dcterms:created>
  <dcterms:modified xsi:type="dcterms:W3CDTF">2026-08-07T06:59:44Z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2E5267723481429AA23086DDD94D0DC2_13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