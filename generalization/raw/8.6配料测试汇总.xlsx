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涂料\七月实验数据整理\"/>
    </mc:Choice>
  </mc:AlternateContent>
  <xr:revisionPtr revIDLastSave="0" documentId="13_ncr:1_{3DC76FA4-DC77-4557-AD94-5F99D6B7AC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8.6配料测试汇总" sheetId="1" r:id="rId1"/>
    <sheet name="换算明细" sheetId="2" r:id="rId2"/>
    <sheet name="测试原始数据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51" i="1" l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Y67" i="2" l="1"/>
  <c r="S67" i="2"/>
  <c r="D67" i="2"/>
  <c r="AF67" i="2" s="1"/>
  <c r="X66" i="2"/>
  <c r="S66" i="2"/>
  <c r="AG67" i="2" s="1"/>
  <c r="D66" i="2"/>
  <c r="AF66" i="2" s="1"/>
  <c r="Q151" i="1" s="1"/>
  <c r="AG65" i="2"/>
  <c r="Y65" i="2"/>
  <c r="S65" i="2"/>
  <c r="D65" i="2"/>
  <c r="AF65" i="2" s="1"/>
  <c r="AG64" i="2"/>
  <c r="X64" i="2"/>
  <c r="S64" i="2"/>
  <c r="D64" i="2"/>
  <c r="AF64" i="2" s="1"/>
  <c r="Q150" i="1" s="1"/>
  <c r="AG63" i="2"/>
  <c r="Y63" i="2"/>
  <c r="S63" i="2"/>
  <c r="D63" i="2"/>
  <c r="AF63" i="2" s="1"/>
  <c r="AG62" i="2"/>
  <c r="X62" i="2"/>
  <c r="S62" i="2"/>
  <c r="D62" i="2"/>
  <c r="AF62" i="2" s="1"/>
  <c r="Q149" i="1" s="1"/>
  <c r="AG61" i="2"/>
  <c r="Y61" i="2"/>
  <c r="S61" i="2"/>
  <c r="D61" i="2"/>
  <c r="AF61" i="2" s="1"/>
  <c r="AG60" i="2"/>
  <c r="X60" i="2"/>
  <c r="S60" i="2"/>
  <c r="D60" i="2"/>
  <c r="AF60" i="2" s="1"/>
  <c r="Q148" i="1" s="1"/>
  <c r="AG59" i="2"/>
  <c r="Y59" i="2"/>
  <c r="S59" i="2"/>
  <c r="D59" i="2"/>
  <c r="AF59" i="2" s="1"/>
  <c r="AG58" i="2"/>
  <c r="X58" i="2"/>
  <c r="S58" i="2"/>
  <c r="D58" i="2"/>
  <c r="AF58" i="2" s="1"/>
  <c r="Q147" i="1" s="1"/>
  <c r="AG57" i="2"/>
  <c r="Y57" i="2"/>
  <c r="S57" i="2"/>
  <c r="D57" i="2"/>
  <c r="AF57" i="2" s="1"/>
  <c r="AG56" i="2"/>
  <c r="X56" i="2"/>
  <c r="S56" i="2"/>
  <c r="D56" i="2"/>
  <c r="AF56" i="2" s="1"/>
  <c r="Q146" i="1" s="1"/>
  <c r="AG55" i="2"/>
  <c r="Y55" i="2"/>
  <c r="S55" i="2"/>
  <c r="D55" i="2"/>
  <c r="AF55" i="2" s="1"/>
  <c r="AG54" i="2"/>
  <c r="X54" i="2"/>
  <c r="S54" i="2"/>
  <c r="D54" i="2"/>
  <c r="AF54" i="2" s="1"/>
  <c r="Q145" i="1" s="1"/>
  <c r="AG53" i="2"/>
  <c r="Y53" i="2"/>
  <c r="S53" i="2"/>
  <c r="D53" i="2"/>
  <c r="AF53" i="2" s="1"/>
  <c r="AG52" i="2"/>
  <c r="X52" i="2"/>
  <c r="S52" i="2"/>
  <c r="D52" i="2"/>
  <c r="AF52" i="2" s="1"/>
  <c r="Q144" i="1" s="1"/>
  <c r="AG51" i="2"/>
  <c r="Y51" i="2"/>
  <c r="S51" i="2"/>
  <c r="D51" i="2"/>
  <c r="AF51" i="2" s="1"/>
  <c r="AG50" i="2"/>
  <c r="X50" i="2"/>
  <c r="S50" i="2"/>
  <c r="D50" i="2"/>
  <c r="AF50" i="2" s="1"/>
  <c r="AG49" i="2"/>
  <c r="Y49" i="2"/>
  <c r="S49" i="2"/>
  <c r="D49" i="2"/>
  <c r="AF49" i="2" s="1"/>
  <c r="AG48" i="2"/>
  <c r="X48" i="2"/>
  <c r="S48" i="2"/>
  <c r="D48" i="2"/>
  <c r="AF48" i="2" s="1"/>
  <c r="AG47" i="2"/>
  <c r="Y47" i="2"/>
  <c r="S47" i="2"/>
  <c r="D47" i="2"/>
  <c r="AF47" i="2" s="1"/>
  <c r="Q140" i="1" s="1"/>
  <c r="AG46" i="2"/>
  <c r="X46" i="2"/>
  <c r="S46" i="2"/>
  <c r="D46" i="2"/>
  <c r="AF46" i="2" s="1"/>
  <c r="AG45" i="2"/>
  <c r="Y45" i="2"/>
  <c r="S45" i="2"/>
  <c r="D45" i="2"/>
  <c r="AF45" i="2" s="1"/>
  <c r="Q139" i="1" s="1"/>
  <c r="AG44" i="2"/>
  <c r="X44" i="2"/>
  <c r="S44" i="2"/>
  <c r="D44" i="2"/>
  <c r="AF44" i="2" s="1"/>
  <c r="AG43" i="2"/>
  <c r="Y43" i="2"/>
  <c r="S43" i="2"/>
  <c r="D43" i="2"/>
  <c r="AF43" i="2" s="1"/>
  <c r="AG42" i="2"/>
  <c r="X42" i="2"/>
  <c r="S42" i="2"/>
  <c r="D42" i="2"/>
  <c r="AF42" i="2" s="1"/>
  <c r="AG41" i="2"/>
  <c r="Y41" i="2"/>
  <c r="S41" i="2"/>
  <c r="D41" i="2"/>
  <c r="AF41" i="2" s="1"/>
  <c r="AG40" i="2"/>
  <c r="X40" i="2"/>
  <c r="S40" i="2"/>
  <c r="D40" i="2"/>
  <c r="AF40" i="2" s="1"/>
  <c r="AG39" i="2"/>
  <c r="Y39" i="2"/>
  <c r="S39" i="2"/>
  <c r="D39" i="2"/>
  <c r="AF39" i="2" s="1"/>
  <c r="Q136" i="1" s="1"/>
  <c r="AG38" i="2"/>
  <c r="X38" i="2"/>
  <c r="S38" i="2"/>
  <c r="D38" i="2"/>
  <c r="AF38" i="2" s="1"/>
  <c r="AG37" i="2"/>
  <c r="Y37" i="2"/>
  <c r="S37" i="2"/>
  <c r="D37" i="2"/>
  <c r="AF37" i="2" s="1"/>
  <c r="Q135" i="1" s="1"/>
  <c r="AG36" i="2"/>
  <c r="X36" i="2"/>
  <c r="S36" i="2"/>
  <c r="D36" i="2"/>
  <c r="AF36" i="2" s="1"/>
  <c r="AG35" i="2"/>
  <c r="Y35" i="2"/>
  <c r="S35" i="2"/>
  <c r="D35" i="2"/>
  <c r="AF35" i="2" s="1"/>
  <c r="AG34" i="2"/>
  <c r="X34" i="2"/>
  <c r="S34" i="2"/>
  <c r="D34" i="2"/>
  <c r="AF34" i="2" s="1"/>
  <c r="AG33" i="2"/>
  <c r="Y33" i="2"/>
  <c r="S33" i="2"/>
  <c r="D33" i="2"/>
  <c r="AF33" i="2" s="1"/>
  <c r="Q133" i="1" s="1"/>
  <c r="AG32" i="2"/>
  <c r="X32" i="2"/>
  <c r="S32" i="2"/>
  <c r="D32" i="2"/>
  <c r="AF32" i="2" s="1"/>
  <c r="AG31" i="2"/>
  <c r="Y31" i="2"/>
  <c r="S31" i="2"/>
  <c r="D31" i="2"/>
  <c r="AF31" i="2" s="1"/>
  <c r="Q132" i="1" s="1"/>
  <c r="AG30" i="2"/>
  <c r="X30" i="2"/>
  <c r="S30" i="2"/>
  <c r="D30" i="2"/>
  <c r="AF30" i="2" s="1"/>
  <c r="AG29" i="2"/>
  <c r="Y29" i="2"/>
  <c r="S29" i="2"/>
  <c r="D29" i="2"/>
  <c r="AF29" i="2" s="1"/>
  <c r="Q131" i="1" s="1"/>
  <c r="AG28" i="2"/>
  <c r="X28" i="2"/>
  <c r="S28" i="2"/>
  <c r="D28" i="2"/>
  <c r="AF28" i="2" s="1"/>
  <c r="AG27" i="2"/>
  <c r="Y27" i="2"/>
  <c r="S27" i="2"/>
  <c r="D27" i="2"/>
  <c r="AF27" i="2" s="1"/>
  <c r="AG26" i="2"/>
  <c r="X26" i="2"/>
  <c r="S26" i="2"/>
  <c r="D26" i="2"/>
  <c r="AF26" i="2" s="1"/>
  <c r="AG25" i="2"/>
  <c r="Y25" i="2"/>
  <c r="S25" i="2"/>
  <c r="D25" i="2"/>
  <c r="AF25" i="2" s="1"/>
  <c r="AG24" i="2"/>
  <c r="X24" i="2"/>
  <c r="S24" i="2"/>
  <c r="D24" i="2"/>
  <c r="AF24" i="2" s="1"/>
  <c r="AG23" i="2"/>
  <c r="Y23" i="2"/>
  <c r="S23" i="2"/>
  <c r="D23" i="2"/>
  <c r="AF23" i="2" s="1"/>
  <c r="AG22" i="2"/>
  <c r="X22" i="2"/>
  <c r="S22" i="2"/>
  <c r="D22" i="2"/>
  <c r="AF22" i="2" s="1"/>
  <c r="AG21" i="2"/>
  <c r="Y21" i="2"/>
  <c r="S21" i="2"/>
  <c r="D21" i="2"/>
  <c r="AF21" i="2" s="1"/>
  <c r="AG20" i="2"/>
  <c r="X20" i="2"/>
  <c r="S20" i="2"/>
  <c r="D20" i="2"/>
  <c r="AF20" i="2" s="1"/>
  <c r="Q127" i="1" s="1"/>
  <c r="AG19" i="2"/>
  <c r="Y19" i="2"/>
  <c r="S19" i="2"/>
  <c r="D19" i="2"/>
  <c r="AF19" i="2" s="1"/>
  <c r="AG18" i="2"/>
  <c r="X18" i="2"/>
  <c r="S18" i="2"/>
  <c r="D18" i="2"/>
  <c r="AF18" i="2" s="1"/>
  <c r="Q126" i="1" s="1"/>
  <c r="AG17" i="2"/>
  <c r="Y17" i="2"/>
  <c r="S17" i="2"/>
  <c r="D17" i="2"/>
  <c r="AF17" i="2" s="1"/>
  <c r="AG16" i="2"/>
  <c r="X16" i="2"/>
  <c r="S16" i="2"/>
  <c r="D16" i="2"/>
  <c r="AF16" i="2" s="1"/>
  <c r="AG15" i="2"/>
  <c r="Y15" i="2"/>
  <c r="S15" i="2"/>
  <c r="D15" i="2"/>
  <c r="AF15" i="2" s="1"/>
  <c r="AG14" i="2"/>
  <c r="X14" i="2"/>
  <c r="S14" i="2"/>
  <c r="D14" i="2"/>
  <c r="AF14" i="2" s="1"/>
  <c r="AG13" i="2"/>
  <c r="Y13" i="2"/>
  <c r="S13" i="2"/>
  <c r="D13" i="2"/>
  <c r="AF13" i="2" s="1"/>
  <c r="AG12" i="2"/>
  <c r="X12" i="2"/>
  <c r="S12" i="2"/>
  <c r="D12" i="2"/>
  <c r="AF12" i="2" s="1"/>
  <c r="Q121" i="1" s="1"/>
  <c r="AG11" i="2"/>
  <c r="Y11" i="2"/>
  <c r="S11" i="2"/>
  <c r="D11" i="2"/>
  <c r="AF11" i="2" s="1"/>
  <c r="AG10" i="2"/>
  <c r="X10" i="2"/>
  <c r="S10" i="2"/>
  <c r="D10" i="2"/>
  <c r="AF10" i="2" s="1"/>
  <c r="AG9" i="2"/>
  <c r="Y9" i="2"/>
  <c r="S9" i="2"/>
  <c r="D9" i="2"/>
  <c r="AF9" i="2" s="1"/>
  <c r="AG8" i="2"/>
  <c r="X8" i="2"/>
  <c r="S8" i="2"/>
  <c r="D8" i="2"/>
  <c r="AF8" i="2" s="1"/>
  <c r="Q119" i="1" s="1"/>
  <c r="AG7" i="2"/>
  <c r="Y7" i="2"/>
  <c r="S7" i="2"/>
  <c r="D7" i="2"/>
  <c r="AF7" i="2" s="1"/>
  <c r="AG6" i="2"/>
  <c r="X6" i="2"/>
  <c r="S6" i="2"/>
  <c r="D6" i="2"/>
  <c r="AF6" i="2" s="1"/>
  <c r="Q118" i="1" s="1"/>
  <c r="AG5" i="2"/>
  <c r="Y5" i="2"/>
  <c r="S5" i="2"/>
  <c r="D5" i="2"/>
  <c r="AF5" i="2" s="1"/>
  <c r="AG4" i="2"/>
  <c r="X4" i="2"/>
  <c r="S4" i="2"/>
  <c r="D4" i="2"/>
  <c r="AF4" i="2" s="1"/>
  <c r="Q117" i="1" s="1"/>
  <c r="AG3" i="2"/>
  <c r="Y3" i="2"/>
  <c r="S3" i="2"/>
  <c r="D3" i="2"/>
  <c r="AF3" i="2" s="1"/>
  <c r="AG2" i="2"/>
  <c r="X2" i="2"/>
  <c r="S2" i="2"/>
  <c r="D2" i="2"/>
  <c r="AF2" i="2" s="1"/>
  <c r="Q116" i="1" s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  <c r="Q122" i="1" l="1"/>
  <c r="Q128" i="1"/>
  <c r="Q137" i="1"/>
  <c r="Q143" i="1"/>
  <c r="Q141" i="1"/>
  <c r="Q142" i="1"/>
  <c r="Q125" i="1"/>
  <c r="Q123" i="1"/>
  <c r="Q124" i="1"/>
  <c r="Q129" i="1"/>
  <c r="Q120" i="1"/>
  <c r="Q130" i="1"/>
  <c r="Q138" i="1"/>
  <c r="Q134" i="1"/>
  <c r="T2" i="2"/>
  <c r="T4" i="2"/>
  <c r="T6" i="2"/>
  <c r="T8" i="2"/>
  <c r="T10" i="2"/>
  <c r="T12" i="2"/>
  <c r="E121" i="1" s="1"/>
  <c r="T14" i="2"/>
  <c r="T16" i="2"/>
  <c r="T18" i="2"/>
  <c r="E126" i="1" s="1"/>
  <c r="T20" i="2"/>
  <c r="E127" i="1" s="1"/>
  <c r="T22" i="2"/>
  <c r="E128" i="1" s="1"/>
  <c r="T24" i="2"/>
  <c r="T26" i="2"/>
  <c r="T28" i="2"/>
  <c r="T30" i="2"/>
  <c r="T32" i="2"/>
  <c r="T34" i="2"/>
  <c r="T36" i="2"/>
  <c r="T38" i="2"/>
  <c r="T40" i="2"/>
  <c r="T42" i="2"/>
  <c r="T44" i="2"/>
  <c r="T46" i="2"/>
  <c r="T48" i="2"/>
  <c r="T50" i="2"/>
  <c r="T52" i="2"/>
  <c r="T54" i="2"/>
  <c r="T56" i="2"/>
  <c r="T58" i="2"/>
  <c r="T60" i="2"/>
  <c r="T62" i="2"/>
  <c r="T64" i="2"/>
  <c r="T66" i="2"/>
  <c r="U2" i="2"/>
  <c r="U4" i="2"/>
  <c r="U6" i="2"/>
  <c r="U8" i="2"/>
  <c r="U10" i="2"/>
  <c r="F120" i="1" s="1"/>
  <c r="U12" i="2"/>
  <c r="U14" i="2"/>
  <c r="F122" i="1" s="1"/>
  <c r="U16" i="2"/>
  <c r="U18" i="2"/>
  <c r="F126" i="1" s="1"/>
  <c r="U20" i="2"/>
  <c r="F127" i="1" s="1"/>
  <c r="U22" i="2"/>
  <c r="F128" i="1" s="1"/>
  <c r="U24" i="2"/>
  <c r="U26" i="2"/>
  <c r="U28" i="2"/>
  <c r="U30" i="2"/>
  <c r="U32" i="2"/>
  <c r="U34" i="2"/>
  <c r="U36" i="2"/>
  <c r="U38" i="2"/>
  <c r="U40" i="2"/>
  <c r="U42" i="2"/>
  <c r="U44" i="2"/>
  <c r="U46" i="2"/>
  <c r="U48" i="2"/>
  <c r="U50" i="2"/>
  <c r="U52" i="2"/>
  <c r="U54" i="2"/>
  <c r="U56" i="2"/>
  <c r="U58" i="2"/>
  <c r="U60" i="2"/>
  <c r="U62" i="2"/>
  <c r="U64" i="2"/>
  <c r="U66" i="2"/>
  <c r="V2" i="2"/>
  <c r="V4" i="2"/>
  <c r="V6" i="2"/>
  <c r="G118" i="1" s="1"/>
  <c r="V8" i="2"/>
  <c r="G119" i="1" s="1"/>
  <c r="V10" i="2"/>
  <c r="V12" i="2"/>
  <c r="G121" i="1" s="1"/>
  <c r="V14" i="2"/>
  <c r="G122" i="1" s="1"/>
  <c r="V16" i="2"/>
  <c r="V18" i="2"/>
  <c r="G126" i="1" s="1"/>
  <c r="V20" i="2"/>
  <c r="G127" i="1" s="1"/>
  <c r="V22" i="2"/>
  <c r="G128" i="1" s="1"/>
  <c r="V24" i="2"/>
  <c r="V26" i="2"/>
  <c r="V28" i="2"/>
  <c r="V30" i="2"/>
  <c r="V32" i="2"/>
  <c r="V34" i="2"/>
  <c r="V36" i="2"/>
  <c r="V38" i="2"/>
  <c r="V40" i="2"/>
  <c r="V42" i="2"/>
  <c r="V44" i="2"/>
  <c r="V46" i="2"/>
  <c r="V48" i="2"/>
  <c r="V50" i="2"/>
  <c r="V52" i="2"/>
  <c r="V54" i="2"/>
  <c r="V56" i="2"/>
  <c r="V58" i="2"/>
  <c r="V60" i="2"/>
  <c r="V62" i="2"/>
  <c r="V64" i="2"/>
  <c r="V66" i="2"/>
  <c r="W2" i="2"/>
  <c r="W4" i="2"/>
  <c r="H117" i="1" s="1"/>
  <c r="W6" i="2"/>
  <c r="H118" i="1" s="1"/>
  <c r="W8" i="2"/>
  <c r="W10" i="2"/>
  <c r="H120" i="1" s="1"/>
  <c r="W12" i="2"/>
  <c r="H121" i="1" s="1"/>
  <c r="W14" i="2"/>
  <c r="H122" i="1" s="1"/>
  <c r="W16" i="2"/>
  <c r="W18" i="2"/>
  <c r="H126" i="1" s="1"/>
  <c r="W20" i="2"/>
  <c r="H127" i="1" s="1"/>
  <c r="W22" i="2"/>
  <c r="W24" i="2"/>
  <c r="W26" i="2"/>
  <c r="W28" i="2"/>
  <c r="W30" i="2"/>
  <c r="W32" i="2"/>
  <c r="W34" i="2"/>
  <c r="W36" i="2"/>
  <c r="W38" i="2"/>
  <c r="W40" i="2"/>
  <c r="W42" i="2"/>
  <c r="W44" i="2"/>
  <c r="W46" i="2"/>
  <c r="W48" i="2"/>
  <c r="W50" i="2"/>
  <c r="W52" i="2"/>
  <c r="W54" i="2"/>
  <c r="W56" i="2"/>
  <c r="W58" i="2"/>
  <c r="W60" i="2"/>
  <c r="W62" i="2"/>
  <c r="W64" i="2"/>
  <c r="H150" i="1" s="1"/>
  <c r="W66" i="2"/>
  <c r="Y2" i="2"/>
  <c r="J116" i="1" s="1"/>
  <c r="Y4" i="2"/>
  <c r="J117" i="1" s="1"/>
  <c r="Y6" i="2"/>
  <c r="J118" i="1" s="1"/>
  <c r="Y8" i="2"/>
  <c r="J119" i="1" s="1"/>
  <c r="Y10" i="2"/>
  <c r="J120" i="1" s="1"/>
  <c r="Y12" i="2"/>
  <c r="J121" i="1" s="1"/>
  <c r="Y14" i="2"/>
  <c r="J122" i="1" s="1"/>
  <c r="Y16" i="2"/>
  <c r="Y18" i="2"/>
  <c r="J126" i="1" s="1"/>
  <c r="Y20" i="2"/>
  <c r="J127" i="1" s="1"/>
  <c r="Y22" i="2"/>
  <c r="J128" i="1" s="1"/>
  <c r="Y24" i="2"/>
  <c r="Y26" i="2"/>
  <c r="J129" i="1" s="1"/>
  <c r="Y28" i="2"/>
  <c r="J130" i="1" s="1"/>
  <c r="Y30" i="2"/>
  <c r="J131" i="1" s="1"/>
  <c r="Y32" i="2"/>
  <c r="J132" i="1" s="1"/>
  <c r="Y34" i="2"/>
  <c r="J133" i="1" s="1"/>
  <c r="Y36" i="2"/>
  <c r="J134" i="1" s="1"/>
  <c r="Y38" i="2"/>
  <c r="J135" i="1" s="1"/>
  <c r="Y40" i="2"/>
  <c r="J136" i="1" s="1"/>
  <c r="Y42" i="2"/>
  <c r="J137" i="1" s="1"/>
  <c r="Y44" i="2"/>
  <c r="J138" i="1" s="1"/>
  <c r="Y46" i="2"/>
  <c r="J139" i="1" s="1"/>
  <c r="Y48" i="2"/>
  <c r="J140" i="1" s="1"/>
  <c r="Y50" i="2"/>
  <c r="Y52" i="2"/>
  <c r="J144" i="1" s="1"/>
  <c r="Y54" i="2"/>
  <c r="J145" i="1" s="1"/>
  <c r="Y56" i="2"/>
  <c r="J146" i="1" s="1"/>
  <c r="Y58" i="2"/>
  <c r="J147" i="1" s="1"/>
  <c r="Y60" i="2"/>
  <c r="J148" i="1" s="1"/>
  <c r="Y62" i="2"/>
  <c r="J149" i="1" s="1"/>
  <c r="Y64" i="2"/>
  <c r="J150" i="1" s="1"/>
  <c r="Y66" i="2"/>
  <c r="J151" i="1" s="1"/>
  <c r="Z2" i="2"/>
  <c r="K116" i="1" s="1"/>
  <c r="Z4" i="2"/>
  <c r="K117" i="1" s="1"/>
  <c r="Z6" i="2"/>
  <c r="K118" i="1" s="1"/>
  <c r="Z8" i="2"/>
  <c r="K119" i="1" s="1"/>
  <c r="Z10" i="2"/>
  <c r="K120" i="1" s="1"/>
  <c r="Z12" i="2"/>
  <c r="K121" i="1" s="1"/>
  <c r="Z14" i="2"/>
  <c r="K122" i="1" s="1"/>
  <c r="Z16" i="2"/>
  <c r="Z18" i="2"/>
  <c r="K126" i="1" s="1"/>
  <c r="Z20" i="2"/>
  <c r="Z22" i="2"/>
  <c r="Z24" i="2"/>
  <c r="Z26" i="2"/>
  <c r="Z28" i="2"/>
  <c r="Z30" i="2"/>
  <c r="Z32" i="2"/>
  <c r="Z34" i="2"/>
  <c r="Z36" i="2"/>
  <c r="Z38" i="2"/>
  <c r="Z40" i="2"/>
  <c r="Z42" i="2"/>
  <c r="Z44" i="2"/>
  <c r="Z46" i="2"/>
  <c r="Z48" i="2"/>
  <c r="Z50" i="2"/>
  <c r="Z52" i="2"/>
  <c r="Z54" i="2"/>
  <c r="Z56" i="2"/>
  <c r="Z58" i="2"/>
  <c r="Z60" i="2"/>
  <c r="K148" i="1" s="1"/>
  <c r="Z62" i="2"/>
  <c r="Z64" i="2"/>
  <c r="K150" i="1" s="1"/>
  <c r="Z66" i="2"/>
  <c r="K151" i="1" s="1"/>
  <c r="AA2" i="2"/>
  <c r="L116" i="1" s="1"/>
  <c r="AA4" i="2"/>
  <c r="L117" i="1" s="1"/>
  <c r="AA6" i="2"/>
  <c r="L118" i="1" s="1"/>
  <c r="AA8" i="2"/>
  <c r="L119" i="1" s="1"/>
  <c r="AA10" i="2"/>
  <c r="L120" i="1" s="1"/>
  <c r="AA12" i="2"/>
  <c r="L121" i="1" s="1"/>
  <c r="AA14" i="2"/>
  <c r="L122" i="1" s="1"/>
  <c r="AA16" i="2"/>
  <c r="AA18" i="2"/>
  <c r="AA20" i="2"/>
  <c r="AA22" i="2"/>
  <c r="AA24" i="2"/>
  <c r="AA26" i="2"/>
  <c r="AA28" i="2"/>
  <c r="AA30" i="2"/>
  <c r="AA32" i="2"/>
  <c r="AA34" i="2"/>
  <c r="AA36" i="2"/>
  <c r="AA38" i="2"/>
  <c r="AA40" i="2"/>
  <c r="AA42" i="2"/>
  <c r="AA44" i="2"/>
  <c r="AA46" i="2"/>
  <c r="AA48" i="2"/>
  <c r="AA50" i="2"/>
  <c r="AA52" i="2"/>
  <c r="AA54" i="2"/>
  <c r="AA56" i="2"/>
  <c r="AA58" i="2"/>
  <c r="L147" i="1" s="1"/>
  <c r="AA60" i="2"/>
  <c r="AA62" i="2"/>
  <c r="L149" i="1" s="1"/>
  <c r="AA64" i="2"/>
  <c r="L150" i="1" s="1"/>
  <c r="AA66" i="2"/>
  <c r="L151" i="1" s="1"/>
  <c r="AB2" i="2"/>
  <c r="M116" i="1" s="1"/>
  <c r="AB4" i="2"/>
  <c r="M117" i="1" s="1"/>
  <c r="AB6" i="2"/>
  <c r="M118" i="1" s="1"/>
  <c r="AB8" i="2"/>
  <c r="M119" i="1" s="1"/>
  <c r="AB10" i="2"/>
  <c r="M120" i="1" s="1"/>
  <c r="AB12" i="2"/>
  <c r="M121" i="1" s="1"/>
  <c r="AB14" i="2"/>
  <c r="M122" i="1" s="1"/>
  <c r="AB16" i="2"/>
  <c r="AB18" i="2"/>
  <c r="M126" i="1" s="1"/>
  <c r="AB20" i="2"/>
  <c r="AB22" i="2"/>
  <c r="AB24" i="2"/>
  <c r="AB26" i="2"/>
  <c r="AB28" i="2"/>
  <c r="AB30" i="2"/>
  <c r="AB32" i="2"/>
  <c r="AB34" i="2"/>
  <c r="AB36" i="2"/>
  <c r="AB38" i="2"/>
  <c r="AB40" i="2"/>
  <c r="AB42" i="2"/>
  <c r="AB44" i="2"/>
  <c r="AB46" i="2"/>
  <c r="AB48" i="2"/>
  <c r="AB50" i="2"/>
  <c r="AB52" i="2"/>
  <c r="AB54" i="2"/>
  <c r="AB56" i="2"/>
  <c r="M146" i="1" s="1"/>
  <c r="AB58" i="2"/>
  <c r="AB60" i="2"/>
  <c r="M148" i="1" s="1"/>
  <c r="AB62" i="2"/>
  <c r="M149" i="1" s="1"/>
  <c r="AB64" i="2"/>
  <c r="M150" i="1" s="1"/>
  <c r="AB66" i="2"/>
  <c r="M151" i="1" s="1"/>
  <c r="AC2" i="2"/>
  <c r="N116" i="1" s="1"/>
  <c r="AC4" i="2"/>
  <c r="N117" i="1" s="1"/>
  <c r="AC6" i="2"/>
  <c r="N118" i="1" s="1"/>
  <c r="AC8" i="2"/>
  <c r="N119" i="1" s="1"/>
  <c r="AC10" i="2"/>
  <c r="N120" i="1" s="1"/>
  <c r="AC12" i="2"/>
  <c r="N121" i="1" s="1"/>
  <c r="AC14" i="2"/>
  <c r="N122" i="1" s="1"/>
  <c r="AC16" i="2"/>
  <c r="AC18" i="2"/>
  <c r="AC20" i="2"/>
  <c r="AC22" i="2"/>
  <c r="AC24" i="2"/>
  <c r="AC26" i="2"/>
  <c r="AC28" i="2"/>
  <c r="AC30" i="2"/>
  <c r="AC32" i="2"/>
  <c r="AC34" i="2"/>
  <c r="AC36" i="2"/>
  <c r="AC38" i="2"/>
  <c r="AC40" i="2"/>
  <c r="AC42" i="2"/>
  <c r="AC44" i="2"/>
  <c r="AC46" i="2"/>
  <c r="AC48" i="2"/>
  <c r="AC50" i="2"/>
  <c r="AC52" i="2"/>
  <c r="AC54" i="2"/>
  <c r="N145" i="1" s="1"/>
  <c r="AC56" i="2"/>
  <c r="AC58" i="2"/>
  <c r="N147" i="1" s="1"/>
  <c r="AC60" i="2"/>
  <c r="N148" i="1" s="1"/>
  <c r="AC62" i="2"/>
  <c r="N149" i="1" s="1"/>
  <c r="AC64" i="2"/>
  <c r="N150" i="1" s="1"/>
  <c r="AC66" i="2"/>
  <c r="N151" i="1" s="1"/>
  <c r="AD2" i="2"/>
  <c r="O116" i="1" s="1"/>
  <c r="AD4" i="2"/>
  <c r="O117" i="1" s="1"/>
  <c r="AD6" i="2"/>
  <c r="O118" i="1" s="1"/>
  <c r="AD8" i="2"/>
  <c r="O119" i="1" s="1"/>
  <c r="AD10" i="2"/>
  <c r="O120" i="1" s="1"/>
  <c r="AD12" i="2"/>
  <c r="O121" i="1" s="1"/>
  <c r="AD14" i="2"/>
  <c r="O122" i="1" s="1"/>
  <c r="AD16" i="2"/>
  <c r="AD18" i="2"/>
  <c r="AD20" i="2"/>
  <c r="AD22" i="2"/>
  <c r="AD24" i="2"/>
  <c r="AD26" i="2"/>
  <c r="AD28" i="2"/>
  <c r="AD30" i="2"/>
  <c r="AD32" i="2"/>
  <c r="AD34" i="2"/>
  <c r="AD36" i="2"/>
  <c r="AD38" i="2"/>
  <c r="AD40" i="2"/>
  <c r="AD42" i="2"/>
  <c r="AD44" i="2"/>
  <c r="AD46" i="2"/>
  <c r="AD48" i="2"/>
  <c r="AD50" i="2"/>
  <c r="AD52" i="2"/>
  <c r="O144" i="1" s="1"/>
  <c r="AD54" i="2"/>
  <c r="AD56" i="2"/>
  <c r="O146" i="1" s="1"/>
  <c r="AD58" i="2"/>
  <c r="O147" i="1" s="1"/>
  <c r="AD60" i="2"/>
  <c r="O148" i="1" s="1"/>
  <c r="AD62" i="2"/>
  <c r="O149" i="1" s="1"/>
  <c r="AD64" i="2"/>
  <c r="O150" i="1" s="1"/>
  <c r="AD66" i="2"/>
  <c r="O151" i="1" s="1"/>
  <c r="AE2" i="2"/>
  <c r="P116" i="1" s="1"/>
  <c r="AE4" i="2"/>
  <c r="P117" i="1" s="1"/>
  <c r="AE6" i="2"/>
  <c r="P118" i="1" s="1"/>
  <c r="AE8" i="2"/>
  <c r="P119" i="1" s="1"/>
  <c r="AE10" i="2"/>
  <c r="P120" i="1" s="1"/>
  <c r="AE12" i="2"/>
  <c r="P121" i="1" s="1"/>
  <c r="AE14" i="2"/>
  <c r="AE16" i="2"/>
  <c r="AE18" i="2"/>
  <c r="AE20" i="2"/>
  <c r="AE22" i="2"/>
  <c r="AE24" i="2"/>
  <c r="AE26" i="2"/>
  <c r="AE28" i="2"/>
  <c r="AE30" i="2"/>
  <c r="AE32" i="2"/>
  <c r="AE34" i="2"/>
  <c r="AE36" i="2"/>
  <c r="AE38" i="2"/>
  <c r="AE40" i="2"/>
  <c r="AE42" i="2"/>
  <c r="AE44" i="2"/>
  <c r="AE46" i="2"/>
  <c r="AE48" i="2"/>
  <c r="AE50" i="2"/>
  <c r="AE52" i="2"/>
  <c r="AE54" i="2"/>
  <c r="P145" i="1" s="1"/>
  <c r="AE56" i="2"/>
  <c r="P146" i="1" s="1"/>
  <c r="AE58" i="2"/>
  <c r="P147" i="1" s="1"/>
  <c r="AE60" i="2"/>
  <c r="P148" i="1" s="1"/>
  <c r="AE62" i="2"/>
  <c r="P149" i="1" s="1"/>
  <c r="AE64" i="2"/>
  <c r="P150" i="1" s="1"/>
  <c r="AE66" i="2"/>
  <c r="P151" i="1" s="1"/>
  <c r="AG66" i="2"/>
  <c r="T3" i="2"/>
  <c r="T5" i="2"/>
  <c r="T7" i="2"/>
  <c r="T9" i="2"/>
  <c r="T11" i="2"/>
  <c r="T13" i="2"/>
  <c r="T15" i="2"/>
  <c r="T17" i="2"/>
  <c r="T19" i="2"/>
  <c r="T21" i="2"/>
  <c r="T23" i="2"/>
  <c r="T25" i="2"/>
  <c r="T27" i="2"/>
  <c r="E130" i="1" s="1"/>
  <c r="T29" i="2"/>
  <c r="E131" i="1" s="1"/>
  <c r="T31" i="2"/>
  <c r="E132" i="1" s="1"/>
  <c r="T33" i="2"/>
  <c r="E133" i="1" s="1"/>
  <c r="T35" i="2"/>
  <c r="E134" i="1" s="1"/>
  <c r="T37" i="2"/>
  <c r="E135" i="1" s="1"/>
  <c r="T39" i="2"/>
  <c r="E136" i="1" s="1"/>
  <c r="T41" i="2"/>
  <c r="E137" i="1" s="1"/>
  <c r="T43" i="2"/>
  <c r="E138" i="1" s="1"/>
  <c r="T45" i="2"/>
  <c r="E139" i="1" s="1"/>
  <c r="T47" i="2"/>
  <c r="E140" i="1" s="1"/>
  <c r="T49" i="2"/>
  <c r="T51" i="2"/>
  <c r="T53" i="2"/>
  <c r="T55" i="2"/>
  <c r="T57" i="2"/>
  <c r="T59" i="2"/>
  <c r="T61" i="2"/>
  <c r="T63" i="2"/>
  <c r="T65" i="2"/>
  <c r="T67" i="2"/>
  <c r="U3" i="2"/>
  <c r="U5" i="2"/>
  <c r="U7" i="2"/>
  <c r="U9" i="2"/>
  <c r="U11" i="2"/>
  <c r="U13" i="2"/>
  <c r="U15" i="2"/>
  <c r="U17" i="2"/>
  <c r="U19" i="2"/>
  <c r="U21" i="2"/>
  <c r="U23" i="2"/>
  <c r="U25" i="2"/>
  <c r="F129" i="1" s="1"/>
  <c r="U27" i="2"/>
  <c r="F130" i="1" s="1"/>
  <c r="U29" i="2"/>
  <c r="F131" i="1" s="1"/>
  <c r="U31" i="2"/>
  <c r="F132" i="1" s="1"/>
  <c r="U33" i="2"/>
  <c r="F133" i="1" s="1"/>
  <c r="U35" i="2"/>
  <c r="F134" i="1" s="1"/>
  <c r="U37" i="2"/>
  <c r="F135" i="1" s="1"/>
  <c r="U39" i="2"/>
  <c r="F136" i="1" s="1"/>
  <c r="U41" i="2"/>
  <c r="F137" i="1" s="1"/>
  <c r="U43" i="2"/>
  <c r="F138" i="1" s="1"/>
  <c r="U45" i="2"/>
  <c r="F139" i="1" s="1"/>
  <c r="U47" i="2"/>
  <c r="F140" i="1" s="1"/>
  <c r="U49" i="2"/>
  <c r="U51" i="2"/>
  <c r="U53" i="2"/>
  <c r="U55" i="2"/>
  <c r="U57" i="2"/>
  <c r="U59" i="2"/>
  <c r="U61" i="2"/>
  <c r="U63" i="2"/>
  <c r="U65" i="2"/>
  <c r="U67" i="2"/>
  <c r="V3" i="2"/>
  <c r="V5" i="2"/>
  <c r="V7" i="2"/>
  <c r="V9" i="2"/>
  <c r="V11" i="2"/>
  <c r="V13" i="2"/>
  <c r="V15" i="2"/>
  <c r="V17" i="2"/>
  <c r="V19" i="2"/>
  <c r="V21" i="2"/>
  <c r="V23" i="2"/>
  <c r="V25" i="2"/>
  <c r="G129" i="1" s="1"/>
  <c r="V27" i="2"/>
  <c r="G130" i="1" s="1"/>
  <c r="V29" i="2"/>
  <c r="G131" i="1" s="1"/>
  <c r="V31" i="2"/>
  <c r="G132" i="1" s="1"/>
  <c r="V33" i="2"/>
  <c r="G133" i="1" s="1"/>
  <c r="V35" i="2"/>
  <c r="G134" i="1" s="1"/>
  <c r="V37" i="2"/>
  <c r="G135" i="1" s="1"/>
  <c r="V39" i="2"/>
  <c r="G136" i="1" s="1"/>
  <c r="V41" i="2"/>
  <c r="G137" i="1" s="1"/>
  <c r="V43" i="2"/>
  <c r="G138" i="1" s="1"/>
  <c r="V45" i="2"/>
  <c r="G139" i="1" s="1"/>
  <c r="V47" i="2"/>
  <c r="G140" i="1" s="1"/>
  <c r="V49" i="2"/>
  <c r="V51" i="2"/>
  <c r="V53" i="2"/>
  <c r="V55" i="2"/>
  <c r="V57" i="2"/>
  <c r="V59" i="2"/>
  <c r="V61" i="2"/>
  <c r="V63" i="2"/>
  <c r="V65" i="2"/>
  <c r="V67" i="2"/>
  <c r="W3" i="2"/>
  <c r="W5" i="2"/>
  <c r="W7" i="2"/>
  <c r="W9" i="2"/>
  <c r="W11" i="2"/>
  <c r="W13" i="2"/>
  <c r="W15" i="2"/>
  <c r="W17" i="2"/>
  <c r="W19" i="2"/>
  <c r="W21" i="2"/>
  <c r="W23" i="2"/>
  <c r="W25" i="2"/>
  <c r="H129" i="1" s="1"/>
  <c r="W27" i="2"/>
  <c r="H130" i="1" s="1"/>
  <c r="W29" i="2"/>
  <c r="H131" i="1" s="1"/>
  <c r="W31" i="2"/>
  <c r="H132" i="1" s="1"/>
  <c r="W33" i="2"/>
  <c r="H133" i="1" s="1"/>
  <c r="W35" i="2"/>
  <c r="H134" i="1" s="1"/>
  <c r="W37" i="2"/>
  <c r="H135" i="1" s="1"/>
  <c r="W39" i="2"/>
  <c r="H136" i="1" s="1"/>
  <c r="W41" i="2"/>
  <c r="H137" i="1" s="1"/>
  <c r="W43" i="2"/>
  <c r="H138" i="1" s="1"/>
  <c r="W45" i="2"/>
  <c r="H139" i="1" s="1"/>
  <c r="W47" i="2"/>
  <c r="H140" i="1" s="1"/>
  <c r="W49" i="2"/>
  <c r="W51" i="2"/>
  <c r="W53" i="2"/>
  <c r="W55" i="2"/>
  <c r="W57" i="2"/>
  <c r="W59" i="2"/>
  <c r="W61" i="2"/>
  <c r="W63" i="2"/>
  <c r="W65" i="2"/>
  <c r="W67" i="2"/>
  <c r="X3" i="2"/>
  <c r="I116" i="1" s="1"/>
  <c r="X5" i="2"/>
  <c r="I117" i="1" s="1"/>
  <c r="X7" i="2"/>
  <c r="I118" i="1" s="1"/>
  <c r="X9" i="2"/>
  <c r="I119" i="1" s="1"/>
  <c r="X11" i="2"/>
  <c r="I120" i="1" s="1"/>
  <c r="X13" i="2"/>
  <c r="I121" i="1" s="1"/>
  <c r="X15" i="2"/>
  <c r="I122" i="1" s="1"/>
  <c r="X17" i="2"/>
  <c r="X19" i="2"/>
  <c r="I126" i="1" s="1"/>
  <c r="X21" i="2"/>
  <c r="I127" i="1" s="1"/>
  <c r="X23" i="2"/>
  <c r="I128" i="1" s="1"/>
  <c r="X25" i="2"/>
  <c r="I129" i="1" s="1"/>
  <c r="X27" i="2"/>
  <c r="I130" i="1" s="1"/>
  <c r="X29" i="2"/>
  <c r="I131" i="1" s="1"/>
  <c r="X31" i="2"/>
  <c r="I132" i="1" s="1"/>
  <c r="X33" i="2"/>
  <c r="I133" i="1" s="1"/>
  <c r="X35" i="2"/>
  <c r="I134" i="1" s="1"/>
  <c r="X37" i="2"/>
  <c r="I135" i="1" s="1"/>
  <c r="X39" i="2"/>
  <c r="I136" i="1" s="1"/>
  <c r="X41" i="2"/>
  <c r="I137" i="1" s="1"/>
  <c r="X43" i="2"/>
  <c r="I138" i="1" s="1"/>
  <c r="X45" i="2"/>
  <c r="I139" i="1" s="1"/>
  <c r="X47" i="2"/>
  <c r="I140" i="1" s="1"/>
  <c r="X49" i="2"/>
  <c r="X51" i="2"/>
  <c r="X53" i="2"/>
  <c r="I144" i="1" s="1"/>
  <c r="X55" i="2"/>
  <c r="I145" i="1" s="1"/>
  <c r="X57" i="2"/>
  <c r="I146" i="1" s="1"/>
  <c r="X59" i="2"/>
  <c r="I147" i="1" s="1"/>
  <c r="X61" i="2"/>
  <c r="I148" i="1" s="1"/>
  <c r="X63" i="2"/>
  <c r="I149" i="1" s="1"/>
  <c r="X65" i="2"/>
  <c r="I150" i="1" s="1"/>
  <c r="X67" i="2"/>
  <c r="I151" i="1" s="1"/>
  <c r="Z3" i="2"/>
  <c r="Z5" i="2"/>
  <c r="Z7" i="2"/>
  <c r="Z9" i="2"/>
  <c r="Z11" i="2"/>
  <c r="Z13" i="2"/>
  <c r="Z15" i="2"/>
  <c r="Z17" i="2"/>
  <c r="Z19" i="2"/>
  <c r="Z21" i="2"/>
  <c r="Z23" i="2"/>
  <c r="Z25" i="2"/>
  <c r="K129" i="1" s="1"/>
  <c r="Z27" i="2"/>
  <c r="K130" i="1" s="1"/>
  <c r="Z29" i="2"/>
  <c r="K131" i="1" s="1"/>
  <c r="Z31" i="2"/>
  <c r="K132" i="1" s="1"/>
  <c r="Z33" i="2"/>
  <c r="K133" i="1" s="1"/>
  <c r="Z35" i="2"/>
  <c r="K134" i="1" s="1"/>
  <c r="Z37" i="2"/>
  <c r="K135" i="1" s="1"/>
  <c r="Z39" i="2"/>
  <c r="K136" i="1" s="1"/>
  <c r="Z41" i="2"/>
  <c r="K137" i="1" s="1"/>
  <c r="Z43" i="2"/>
  <c r="K138" i="1" s="1"/>
  <c r="Z45" i="2"/>
  <c r="K139" i="1" s="1"/>
  <c r="Z47" i="2"/>
  <c r="K140" i="1" s="1"/>
  <c r="Z49" i="2"/>
  <c r="Z51" i="2"/>
  <c r="Z53" i="2"/>
  <c r="Z55" i="2"/>
  <c r="Z57" i="2"/>
  <c r="Z59" i="2"/>
  <c r="Z61" i="2"/>
  <c r="Z63" i="2"/>
  <c r="Z65" i="2"/>
  <c r="Z67" i="2"/>
  <c r="AA3" i="2"/>
  <c r="AA5" i="2"/>
  <c r="AA7" i="2"/>
  <c r="AA9" i="2"/>
  <c r="AA11" i="2"/>
  <c r="AA13" i="2"/>
  <c r="AA15" i="2"/>
  <c r="AA17" i="2"/>
  <c r="AA19" i="2"/>
  <c r="AA21" i="2"/>
  <c r="AA23" i="2"/>
  <c r="AA25" i="2"/>
  <c r="L129" i="1" s="1"/>
  <c r="AA27" i="2"/>
  <c r="L130" i="1" s="1"/>
  <c r="AA29" i="2"/>
  <c r="L131" i="1" s="1"/>
  <c r="AA31" i="2"/>
  <c r="L132" i="1" s="1"/>
  <c r="AA33" i="2"/>
  <c r="L133" i="1" s="1"/>
  <c r="AA35" i="2"/>
  <c r="L134" i="1" s="1"/>
  <c r="AA37" i="2"/>
  <c r="L135" i="1" s="1"/>
  <c r="AA39" i="2"/>
  <c r="L136" i="1" s="1"/>
  <c r="AA41" i="2"/>
  <c r="L137" i="1" s="1"/>
  <c r="AA43" i="2"/>
  <c r="L138" i="1" s="1"/>
  <c r="AA45" i="2"/>
  <c r="L139" i="1" s="1"/>
  <c r="AA47" i="2"/>
  <c r="L140" i="1" s="1"/>
  <c r="AA49" i="2"/>
  <c r="AA51" i="2"/>
  <c r="AA53" i="2"/>
  <c r="AA55" i="2"/>
  <c r="AA57" i="2"/>
  <c r="AA59" i="2"/>
  <c r="AA61" i="2"/>
  <c r="AA63" i="2"/>
  <c r="AA65" i="2"/>
  <c r="AA67" i="2"/>
  <c r="AB3" i="2"/>
  <c r="AB5" i="2"/>
  <c r="AB7" i="2"/>
  <c r="AB9" i="2"/>
  <c r="AB11" i="2"/>
  <c r="AB13" i="2"/>
  <c r="AB15" i="2"/>
  <c r="AB17" i="2"/>
  <c r="AB19" i="2"/>
  <c r="AB21" i="2"/>
  <c r="AB23" i="2"/>
  <c r="AB25" i="2"/>
  <c r="M129" i="1" s="1"/>
  <c r="AB27" i="2"/>
  <c r="M130" i="1" s="1"/>
  <c r="AB29" i="2"/>
  <c r="M131" i="1" s="1"/>
  <c r="AB31" i="2"/>
  <c r="M132" i="1" s="1"/>
  <c r="AB33" i="2"/>
  <c r="M133" i="1" s="1"/>
  <c r="AB35" i="2"/>
  <c r="M134" i="1" s="1"/>
  <c r="AB37" i="2"/>
  <c r="M135" i="1" s="1"/>
  <c r="AB39" i="2"/>
  <c r="M136" i="1" s="1"/>
  <c r="AB41" i="2"/>
  <c r="M137" i="1" s="1"/>
  <c r="AB43" i="2"/>
  <c r="M138" i="1" s="1"/>
  <c r="AB45" i="2"/>
  <c r="M139" i="1" s="1"/>
  <c r="AB47" i="2"/>
  <c r="M140" i="1" s="1"/>
  <c r="AB49" i="2"/>
  <c r="AB51" i="2"/>
  <c r="AB53" i="2"/>
  <c r="AB55" i="2"/>
  <c r="AB57" i="2"/>
  <c r="AB59" i="2"/>
  <c r="AB61" i="2"/>
  <c r="AB63" i="2"/>
  <c r="AB65" i="2"/>
  <c r="AB67" i="2"/>
  <c r="AC3" i="2"/>
  <c r="AC5" i="2"/>
  <c r="AC7" i="2"/>
  <c r="AC9" i="2"/>
  <c r="AC11" i="2"/>
  <c r="AC13" i="2"/>
  <c r="AC15" i="2"/>
  <c r="AC17" i="2"/>
  <c r="AC19" i="2"/>
  <c r="AC21" i="2"/>
  <c r="AC23" i="2"/>
  <c r="AC25" i="2"/>
  <c r="N129" i="1" s="1"/>
  <c r="AC27" i="2"/>
  <c r="N130" i="1" s="1"/>
  <c r="AC29" i="2"/>
  <c r="N131" i="1" s="1"/>
  <c r="AC31" i="2"/>
  <c r="N132" i="1" s="1"/>
  <c r="AC33" i="2"/>
  <c r="N133" i="1" s="1"/>
  <c r="AC35" i="2"/>
  <c r="N134" i="1" s="1"/>
  <c r="AC37" i="2"/>
  <c r="N135" i="1" s="1"/>
  <c r="AC39" i="2"/>
  <c r="N136" i="1" s="1"/>
  <c r="AC41" i="2"/>
  <c r="N137" i="1" s="1"/>
  <c r="AC43" i="2"/>
  <c r="N138" i="1" s="1"/>
  <c r="AC45" i="2"/>
  <c r="N139" i="1" s="1"/>
  <c r="AC47" i="2"/>
  <c r="N140" i="1" s="1"/>
  <c r="AC49" i="2"/>
  <c r="AC51" i="2"/>
  <c r="AC53" i="2"/>
  <c r="AC55" i="2"/>
  <c r="AC57" i="2"/>
  <c r="AC59" i="2"/>
  <c r="AC61" i="2"/>
  <c r="AC63" i="2"/>
  <c r="AC65" i="2"/>
  <c r="AC67" i="2"/>
  <c r="AD3" i="2"/>
  <c r="AD5" i="2"/>
  <c r="AD7" i="2"/>
  <c r="AD9" i="2"/>
  <c r="AD11" i="2"/>
  <c r="AD13" i="2"/>
  <c r="AD15" i="2"/>
  <c r="AD17" i="2"/>
  <c r="AD19" i="2"/>
  <c r="AD21" i="2"/>
  <c r="AD23" i="2"/>
  <c r="AD25" i="2"/>
  <c r="O129" i="1" s="1"/>
  <c r="AD27" i="2"/>
  <c r="O130" i="1" s="1"/>
  <c r="AD29" i="2"/>
  <c r="O131" i="1" s="1"/>
  <c r="AD31" i="2"/>
  <c r="O132" i="1" s="1"/>
  <c r="AD33" i="2"/>
  <c r="O133" i="1" s="1"/>
  <c r="AD35" i="2"/>
  <c r="O134" i="1" s="1"/>
  <c r="AD37" i="2"/>
  <c r="O135" i="1" s="1"/>
  <c r="AD39" i="2"/>
  <c r="O136" i="1" s="1"/>
  <c r="AD41" i="2"/>
  <c r="O137" i="1" s="1"/>
  <c r="AD43" i="2"/>
  <c r="O138" i="1" s="1"/>
  <c r="AD45" i="2"/>
  <c r="O139" i="1" s="1"/>
  <c r="AD47" i="2"/>
  <c r="O140" i="1" s="1"/>
  <c r="AD49" i="2"/>
  <c r="AD51" i="2"/>
  <c r="AD53" i="2"/>
  <c r="AD55" i="2"/>
  <c r="AD57" i="2"/>
  <c r="AD59" i="2"/>
  <c r="AD61" i="2"/>
  <c r="AD63" i="2"/>
  <c r="AD65" i="2"/>
  <c r="AD67" i="2"/>
  <c r="AE3" i="2"/>
  <c r="AE5" i="2"/>
  <c r="AE7" i="2"/>
  <c r="AE9" i="2"/>
  <c r="AE11" i="2"/>
  <c r="AE13" i="2"/>
  <c r="AE15" i="2"/>
  <c r="AE17" i="2"/>
  <c r="AE19" i="2"/>
  <c r="AE21" i="2"/>
  <c r="AE23" i="2"/>
  <c r="AE25" i="2"/>
  <c r="P129" i="1" s="1"/>
  <c r="AE27" i="2"/>
  <c r="P130" i="1" s="1"/>
  <c r="AE29" i="2"/>
  <c r="P131" i="1" s="1"/>
  <c r="AE31" i="2"/>
  <c r="P132" i="1" s="1"/>
  <c r="AE33" i="2"/>
  <c r="P133" i="1" s="1"/>
  <c r="AE35" i="2"/>
  <c r="P134" i="1" s="1"/>
  <c r="AE37" i="2"/>
  <c r="P135" i="1" s="1"/>
  <c r="AE39" i="2"/>
  <c r="P136" i="1" s="1"/>
  <c r="AE41" i="2"/>
  <c r="P137" i="1" s="1"/>
  <c r="AE43" i="2"/>
  <c r="P138" i="1" s="1"/>
  <c r="AE45" i="2"/>
  <c r="P139" i="1" s="1"/>
  <c r="AE47" i="2"/>
  <c r="P140" i="1" s="1"/>
  <c r="AE49" i="2"/>
  <c r="AE51" i="2"/>
  <c r="AE53" i="2"/>
  <c r="AE55" i="2"/>
  <c r="AE57" i="2"/>
  <c r="AE59" i="2"/>
  <c r="AE61" i="2"/>
  <c r="AE63" i="2"/>
  <c r="AE65" i="2"/>
  <c r="AE67" i="2"/>
  <c r="I143" i="1" l="1"/>
  <c r="I141" i="1"/>
  <c r="I142" i="1"/>
  <c r="F143" i="1"/>
  <c r="F141" i="1"/>
  <c r="F142" i="1"/>
  <c r="N123" i="1"/>
  <c r="N125" i="1"/>
  <c r="N124" i="1"/>
  <c r="L127" i="1"/>
  <c r="K128" i="1"/>
  <c r="H143" i="1"/>
  <c r="H141" i="1"/>
  <c r="H142" i="1"/>
  <c r="M123" i="1"/>
  <c r="M125" i="1"/>
  <c r="M124" i="1"/>
  <c r="L126" i="1"/>
  <c r="K127" i="1"/>
  <c r="P143" i="1"/>
  <c r="P141" i="1"/>
  <c r="P142" i="1"/>
  <c r="L125" i="1"/>
  <c r="L123" i="1"/>
  <c r="L124" i="1"/>
  <c r="H128" i="1"/>
  <c r="K125" i="1"/>
  <c r="K123" i="1"/>
  <c r="K124" i="1"/>
  <c r="N143" i="1"/>
  <c r="N141" i="1"/>
  <c r="N142" i="1"/>
  <c r="J123" i="1"/>
  <c r="J125" i="1"/>
  <c r="J124" i="1"/>
  <c r="H125" i="1"/>
  <c r="H123" i="1"/>
  <c r="H124" i="1"/>
  <c r="G123" i="1"/>
  <c r="G125" i="1"/>
  <c r="G124" i="1"/>
  <c r="K143" i="1"/>
  <c r="K141" i="1"/>
  <c r="K142" i="1"/>
  <c r="F125" i="1"/>
  <c r="F123" i="1"/>
  <c r="F124" i="1"/>
  <c r="E125" i="1"/>
  <c r="E123" i="1"/>
  <c r="E124" i="1"/>
  <c r="H119" i="1"/>
  <c r="G120" i="1"/>
  <c r="F121" i="1"/>
  <c r="E122" i="1"/>
  <c r="F119" i="1"/>
  <c r="E120" i="1"/>
  <c r="E143" i="1"/>
  <c r="E141" i="1"/>
  <c r="E142" i="1"/>
  <c r="P144" i="1"/>
  <c r="O145" i="1"/>
  <c r="N146" i="1"/>
  <c r="M147" i="1"/>
  <c r="L148" i="1"/>
  <c r="K149" i="1"/>
  <c r="H151" i="1"/>
  <c r="H116" i="1"/>
  <c r="G117" i="1"/>
  <c r="F118" i="1"/>
  <c r="E119" i="1"/>
  <c r="G151" i="1"/>
  <c r="G116" i="1"/>
  <c r="F117" i="1"/>
  <c r="E118" i="1"/>
  <c r="N144" i="1"/>
  <c r="M145" i="1"/>
  <c r="L146" i="1"/>
  <c r="K147" i="1"/>
  <c r="H149" i="1"/>
  <c r="G150" i="1"/>
  <c r="F151" i="1"/>
  <c r="F116" i="1"/>
  <c r="E117" i="1"/>
  <c r="L143" i="1"/>
  <c r="L141" i="1"/>
  <c r="L142" i="1"/>
  <c r="H148" i="1"/>
  <c r="G149" i="1"/>
  <c r="F150" i="1"/>
  <c r="E151" i="1"/>
  <c r="E116" i="1"/>
  <c r="M143" i="1"/>
  <c r="M141" i="1"/>
  <c r="M142" i="1"/>
  <c r="L144" i="1"/>
  <c r="K145" i="1"/>
  <c r="H147" i="1"/>
  <c r="G148" i="1"/>
  <c r="F149" i="1"/>
  <c r="E150" i="1"/>
  <c r="H146" i="1"/>
  <c r="G147" i="1"/>
  <c r="F148" i="1"/>
  <c r="E149" i="1"/>
  <c r="G146" i="1"/>
  <c r="F147" i="1"/>
  <c r="E148" i="1"/>
  <c r="G145" i="1"/>
  <c r="F146" i="1"/>
  <c r="E147" i="1"/>
  <c r="G143" i="1"/>
  <c r="G141" i="1"/>
  <c r="G142" i="1"/>
  <c r="G144" i="1"/>
  <c r="F145" i="1"/>
  <c r="E146" i="1"/>
  <c r="E145" i="1"/>
  <c r="E144" i="1"/>
  <c r="M144" i="1"/>
  <c r="J143" i="1"/>
  <c r="J141" i="1"/>
  <c r="J142" i="1"/>
  <c r="E129" i="1"/>
  <c r="L145" i="1"/>
  <c r="H145" i="1"/>
  <c r="I125" i="1"/>
  <c r="I123" i="1"/>
  <c r="I124" i="1"/>
  <c r="P128" i="1"/>
  <c r="F144" i="1"/>
  <c r="P127" i="1"/>
  <c r="O128" i="1"/>
  <c r="O143" i="1"/>
  <c r="O141" i="1"/>
  <c r="O142" i="1"/>
  <c r="K144" i="1"/>
  <c r="H144" i="1"/>
  <c r="P126" i="1"/>
  <c r="O127" i="1"/>
  <c r="N128" i="1"/>
  <c r="K146" i="1"/>
  <c r="P123" i="1"/>
  <c r="P125" i="1"/>
  <c r="P124" i="1"/>
  <c r="O126" i="1"/>
  <c r="N127" i="1"/>
  <c r="M128" i="1"/>
  <c r="P122" i="1"/>
  <c r="O125" i="1"/>
  <c r="O123" i="1"/>
  <c r="O124" i="1"/>
  <c r="N126" i="1"/>
  <c r="M127" i="1"/>
  <c r="L128" i="1"/>
</calcChain>
</file>

<file path=xl/sharedStrings.xml><?xml version="1.0" encoding="utf-8"?>
<sst xmlns="http://schemas.openxmlformats.org/spreadsheetml/2006/main" count="1244" uniqueCount="388">
  <si>
    <t>序号</t>
  </si>
  <si>
    <t>配方ID</t>
  </si>
  <si>
    <t>线棒号</t>
  </si>
  <si>
    <t>IR190(9型环氧树脂36%固含）</t>
  </si>
  <si>
    <t>RF401(PR401)</t>
  </si>
  <si>
    <t>RF160(PR33160G)</t>
  </si>
  <si>
    <t>IR809 55%(PR309 稀释55%)</t>
  </si>
  <si>
    <t>RF516（PR516）</t>
  </si>
  <si>
    <t>RF950（PR8219-50）</t>
  </si>
  <si>
    <t>RF956（PR8219-65）</t>
  </si>
  <si>
    <t>RH601（SM601RX75)</t>
  </si>
  <si>
    <t>住友55754G</t>
  </si>
  <si>
    <t>1510蜡25%工作液</t>
  </si>
  <si>
    <t>AZ088（BYK088)</t>
  </si>
  <si>
    <t>外加正丁醇</t>
  </si>
  <si>
    <t>补加混合液（乙二醇单丁醚：二甲苯=2:1）</t>
  </si>
  <si>
    <t>10%磷酸</t>
  </si>
  <si>
    <t>T弯(mm)</t>
  </si>
  <si>
    <t>MEK擦拭(次)</t>
  </si>
  <si>
    <t>水煮（等级）</t>
  </si>
  <si>
    <t>D1-1</t>
  </si>
  <si>
    <t>14#</t>
  </si>
  <si>
    <t>D1-2</t>
  </si>
  <si>
    <t>D1-3</t>
  </si>
  <si>
    <t>D1-4</t>
  </si>
  <si>
    <t>D1-5</t>
  </si>
  <si>
    <t>D1-6</t>
  </si>
  <si>
    <t>D1-7</t>
  </si>
  <si>
    <t>D1-8</t>
  </si>
  <si>
    <t>D1-9</t>
  </si>
  <si>
    <t>D1-10</t>
  </si>
  <si>
    <t>D1-11</t>
  </si>
  <si>
    <t>D1-12</t>
  </si>
  <si>
    <t>D1-13</t>
  </si>
  <si>
    <t>D1-14</t>
  </si>
  <si>
    <t>D1-15</t>
  </si>
  <si>
    <t>D1-16</t>
  </si>
  <si>
    <t>D1-17</t>
  </si>
  <si>
    <t>D1-18</t>
  </si>
  <si>
    <t>D1-19</t>
  </si>
  <si>
    <t>D1-20</t>
  </si>
  <si>
    <t>D1-21</t>
  </si>
  <si>
    <t>D1-22</t>
  </si>
  <si>
    <t>D1-23</t>
  </si>
  <si>
    <t>D1-24</t>
  </si>
  <si>
    <t>10#</t>
  </si>
  <si>
    <t>18#</t>
  </si>
  <si>
    <t>D2-1</t>
  </si>
  <si>
    <t>D2-2</t>
  </si>
  <si>
    <t>D2-3</t>
  </si>
  <si>
    <t>D2-4</t>
  </si>
  <si>
    <t>D2-5</t>
  </si>
  <si>
    <t>D2-6</t>
  </si>
  <si>
    <t>D2-7</t>
  </si>
  <si>
    <t>D2-8</t>
  </si>
  <si>
    <t>D2-9</t>
  </si>
  <si>
    <t>D2-10</t>
  </si>
  <si>
    <t>D2-11</t>
  </si>
  <si>
    <t>D2-12</t>
  </si>
  <si>
    <t>D2-13</t>
  </si>
  <si>
    <t>D2-14</t>
  </si>
  <si>
    <t>D2-15</t>
  </si>
  <si>
    <t>D2-16</t>
  </si>
  <si>
    <t>D2-17</t>
  </si>
  <si>
    <t>D2-18</t>
  </si>
  <si>
    <t>D2-19</t>
  </si>
  <si>
    <t>D2-20</t>
  </si>
  <si>
    <t>D2-21</t>
  </si>
  <si>
    <t>D2-22</t>
  </si>
  <si>
    <t>D2-23</t>
  </si>
  <si>
    <t>D2-24</t>
  </si>
  <si>
    <t>D3-1</t>
  </si>
  <si>
    <t>D3-2</t>
  </si>
  <si>
    <t>D3-3</t>
  </si>
  <si>
    <t>D3-4</t>
  </si>
  <si>
    <t>D3-5</t>
  </si>
  <si>
    <t>D3-6</t>
  </si>
  <si>
    <t>D3-7</t>
  </si>
  <si>
    <t>D3-8</t>
  </si>
  <si>
    <t>D3-9</t>
  </si>
  <si>
    <t>D3-10</t>
  </si>
  <si>
    <t>D3-11</t>
  </si>
  <si>
    <t>D3-12</t>
  </si>
  <si>
    <t>D3-13</t>
  </si>
  <si>
    <t>D3-14</t>
  </si>
  <si>
    <t>D3-15</t>
  </si>
  <si>
    <t>D3-16</t>
  </si>
  <si>
    <t>D3-17</t>
  </si>
  <si>
    <t>D3-18</t>
  </si>
  <si>
    <t>D3-19</t>
  </si>
  <si>
    <t>D3-20</t>
  </si>
  <si>
    <t>D3-21</t>
  </si>
  <si>
    <t>D3-22</t>
  </si>
  <si>
    <t>D3-23</t>
  </si>
  <si>
    <t>D3-24</t>
  </si>
  <si>
    <t>D4-1</t>
  </si>
  <si>
    <t>D4-2</t>
  </si>
  <si>
    <t>D4-3</t>
  </si>
  <si>
    <t>D4-4</t>
  </si>
  <si>
    <t>D4-5</t>
  </si>
  <si>
    <t>D4-6</t>
  </si>
  <si>
    <t>D4-7</t>
  </si>
  <si>
    <t>D4-8</t>
  </si>
  <si>
    <t>D4-9</t>
  </si>
  <si>
    <t>D4-10</t>
  </si>
  <si>
    <t>D4-11</t>
  </si>
  <si>
    <t>D4-12</t>
  </si>
  <si>
    <t>D4-13</t>
  </si>
  <si>
    <t>D4-14</t>
  </si>
  <si>
    <t>D4-15</t>
  </si>
  <si>
    <t>D4-16</t>
  </si>
  <si>
    <t>D5-1</t>
  </si>
  <si>
    <t>D5-2</t>
  </si>
  <si>
    <t>D5-3</t>
  </si>
  <si>
    <t>D5-4</t>
  </si>
  <si>
    <t>D5-5</t>
  </si>
  <si>
    <t>D5-6</t>
  </si>
  <si>
    <t>D5-7</t>
  </si>
  <si>
    <t>D5-8</t>
  </si>
  <si>
    <t>D6-1</t>
  </si>
  <si>
    <t>D6-2</t>
  </si>
  <si>
    <t>D6-3</t>
  </si>
  <si>
    <t>D6-4</t>
  </si>
  <si>
    <t>D6-5</t>
  </si>
  <si>
    <t>D6-6</t>
  </si>
  <si>
    <t>D6-7</t>
  </si>
  <si>
    <t>D6-8</t>
  </si>
  <si>
    <t>D6-9</t>
  </si>
  <si>
    <t>D6-10</t>
  </si>
  <si>
    <t>D6-11</t>
  </si>
  <si>
    <t>D6-12</t>
  </si>
  <si>
    <t>C4-1</t>
  </si>
  <si>
    <t>C4-2</t>
  </si>
  <si>
    <t>C4-3</t>
  </si>
  <si>
    <t>C4-4</t>
  </si>
  <si>
    <t>C4-5</t>
  </si>
  <si>
    <t>C4-6</t>
  </si>
  <si>
    <t>C4-7</t>
  </si>
  <si>
    <t>C4-8</t>
  </si>
  <si>
    <t>C5-1</t>
  </si>
  <si>
    <t>C5-2</t>
  </si>
  <si>
    <t>C5-3</t>
  </si>
  <si>
    <t>C5-4</t>
  </si>
  <si>
    <t>C5-5</t>
  </si>
  <si>
    <t>C5-6</t>
  </si>
  <si>
    <t>C5-7</t>
  </si>
  <si>
    <t>C5-8</t>
  </si>
  <si>
    <t>C5-9</t>
  </si>
  <si>
    <t>C5-10</t>
  </si>
  <si>
    <t>C5-11</t>
  </si>
  <si>
    <t>C5-12</t>
  </si>
  <si>
    <t>C5-13</t>
  </si>
  <si>
    <t>C5-14</t>
  </si>
  <si>
    <t>C5-15</t>
  </si>
  <si>
    <t>C5-16</t>
  </si>
  <si>
    <t>C6-1</t>
  </si>
  <si>
    <t>C6-2</t>
  </si>
  <si>
    <t>C6-3</t>
  </si>
  <si>
    <t>C6-4</t>
  </si>
  <si>
    <t>C6-5</t>
  </si>
  <si>
    <t>C6-6</t>
  </si>
  <si>
    <t>C6-7</t>
  </si>
  <si>
    <t>C6-8</t>
  </si>
  <si>
    <t>复配ID</t>
  </si>
  <si>
    <t>来源配方</t>
  </si>
  <si>
    <t>复配取样量(g)</t>
  </si>
  <si>
    <t>来源配方总质量(g)</t>
  </si>
  <si>
    <t>源IR190</t>
  </si>
  <si>
    <t>源RF401</t>
  </si>
  <si>
    <t>源RF160</t>
  </si>
  <si>
    <t>源IR809 55%</t>
  </si>
  <si>
    <t>源RF516</t>
  </si>
  <si>
    <t>源RF950</t>
  </si>
  <si>
    <t>源RF956</t>
  </si>
  <si>
    <t>源RH601</t>
  </si>
  <si>
    <t>源住友55754G</t>
  </si>
  <si>
    <t>源1510蜡25%工作液</t>
  </si>
  <si>
    <t>源AZ088</t>
  </si>
  <si>
    <t>源外加正丁醇</t>
  </si>
  <si>
    <t>源补加混合液</t>
  </si>
  <si>
    <t>源10%酸工作液</t>
  </si>
  <si>
    <t>贡献IR190</t>
  </si>
  <si>
    <t>贡献RF401</t>
  </si>
  <si>
    <t>贡献RF160</t>
  </si>
  <si>
    <t>贡献IR809 55%</t>
  </si>
  <si>
    <t>贡献RF516</t>
  </si>
  <si>
    <t>贡献RF950</t>
  </si>
  <si>
    <t>贡献RF956</t>
  </si>
  <si>
    <t>贡献RH601</t>
  </si>
  <si>
    <t>贡献住友55754G</t>
  </si>
  <si>
    <t>贡献1510蜡25%工作液</t>
  </si>
  <si>
    <t>贡献AZ088</t>
  </si>
  <si>
    <t>贡献外加正丁醇</t>
  </si>
  <si>
    <t>贡献补加混合液</t>
  </si>
  <si>
    <t>贡献10%酸工作液</t>
  </si>
  <si>
    <t>缩放系数(至IR190=66g)</t>
  </si>
  <si>
    <t>匹配键</t>
  </si>
  <si>
    <t>样本ID</t>
  </si>
  <si>
    <t>T弯平均(mm)</t>
  </si>
  <si>
    <t>来源文件</t>
  </si>
  <si>
    <t>D1-1|14#</t>
  </si>
  <si>
    <t>D1测试数据.xlsx</t>
  </si>
  <si>
    <t>D1-2|14#</t>
  </si>
  <si>
    <t>D1-3|14#</t>
  </si>
  <si>
    <t>D1-4|14#</t>
  </si>
  <si>
    <t>D1-5|14#</t>
  </si>
  <si>
    <t>300+</t>
  </si>
  <si>
    <t>D1-6|14#</t>
  </si>
  <si>
    <t>D1-7|14#</t>
  </si>
  <si>
    <t>D1-8|14#</t>
  </si>
  <si>
    <t>D1-9|14#</t>
  </si>
  <si>
    <t>D1-10|14#</t>
  </si>
  <si>
    <t>D1-11|14#</t>
  </si>
  <si>
    <t>D1-12|14#</t>
  </si>
  <si>
    <t>D1-13|14#</t>
  </si>
  <si>
    <t>D1-14|14#</t>
  </si>
  <si>
    <t>D1-15|14#</t>
  </si>
  <si>
    <t>D1-16|14#</t>
  </si>
  <si>
    <t>D1-17|14#</t>
  </si>
  <si>
    <t>D1-18|14#</t>
  </si>
  <si>
    <t>D1-19|14#</t>
  </si>
  <si>
    <t>D1-20|14#</t>
  </si>
  <si>
    <t>D1-21|14#</t>
  </si>
  <si>
    <t>D1-22|14#</t>
  </si>
  <si>
    <t>D1-23|14#</t>
  </si>
  <si>
    <t>D1-24|14#</t>
  </si>
  <si>
    <t>D1-24|10#</t>
  </si>
  <si>
    <t>D1-24|18#</t>
  </si>
  <si>
    <t>D2-1|14#</t>
  </si>
  <si>
    <t>——</t>
  </si>
  <si>
    <t>D2测试数据.xlsx</t>
  </si>
  <si>
    <t>D2-2|14#</t>
  </si>
  <si>
    <t>D2-3|14#</t>
  </si>
  <si>
    <t>D2-4|14#</t>
  </si>
  <si>
    <t>D2-5|14#</t>
  </si>
  <si>
    <t>D2-6|14#</t>
  </si>
  <si>
    <t>D2-7|14#</t>
  </si>
  <si>
    <t>D2-8|14#</t>
  </si>
  <si>
    <t>D2-9|14#</t>
  </si>
  <si>
    <t>D2-10|14#</t>
  </si>
  <si>
    <t>D2-11|14#</t>
  </si>
  <si>
    <t>D2-12|14#</t>
  </si>
  <si>
    <t>D2-13|14#</t>
  </si>
  <si>
    <t>D2-14|14#</t>
  </si>
  <si>
    <t>D2-15|14#</t>
  </si>
  <si>
    <t>D2-16|14#</t>
  </si>
  <si>
    <t>D2-17|14#</t>
  </si>
  <si>
    <t>D2-18|14#</t>
  </si>
  <si>
    <t>D2-19|14#</t>
  </si>
  <si>
    <t>D2-20|14#</t>
  </si>
  <si>
    <t>D2-21|14#</t>
  </si>
  <si>
    <t>D2-22|14#</t>
  </si>
  <si>
    <t>D2-23|14#</t>
  </si>
  <si>
    <t>D2-24|14#</t>
  </si>
  <si>
    <t>D2-24|10#</t>
  </si>
  <si>
    <t>D2-24|18#</t>
  </si>
  <si>
    <t>D3-1|14#</t>
  </si>
  <si>
    <t>D3测试数据.xlsx</t>
  </si>
  <si>
    <t>D3-2|14#</t>
  </si>
  <si>
    <t>D3-3|14#</t>
  </si>
  <si>
    <t>D3-4|14#</t>
  </si>
  <si>
    <t>D3-5|14#</t>
  </si>
  <si>
    <t>D3-6|14#</t>
  </si>
  <si>
    <t>D3-7|14#</t>
  </si>
  <si>
    <t>D3-8|14#</t>
  </si>
  <si>
    <t>D3-9|14#</t>
  </si>
  <si>
    <t>D3-10|14#</t>
  </si>
  <si>
    <t>D3-11|14#</t>
  </si>
  <si>
    <t>D3-12|14#</t>
  </si>
  <si>
    <t>D3-13|14#</t>
  </si>
  <si>
    <t>D3-14|14#</t>
  </si>
  <si>
    <t>D3-15|14#</t>
  </si>
  <si>
    <t>D3-16|14#</t>
  </si>
  <si>
    <t>D3-17|14#</t>
  </si>
  <si>
    <t>D3-18|14#</t>
  </si>
  <si>
    <t>D3-19|14#</t>
  </si>
  <si>
    <t>D3-20|14#</t>
  </si>
  <si>
    <t>D3-21|14#</t>
  </si>
  <si>
    <t>D3-22|14#</t>
  </si>
  <si>
    <t>D3-23|14#</t>
  </si>
  <si>
    <t>D3-24|14#</t>
  </si>
  <si>
    <t>D3-24|10#</t>
  </si>
  <si>
    <t>D3-24|18#</t>
  </si>
  <si>
    <t>D4-1|14#</t>
  </si>
  <si>
    <t>D4测试数据.xlsx</t>
  </si>
  <si>
    <t>D4-2|14#</t>
  </si>
  <si>
    <t>D4-3|14#</t>
  </si>
  <si>
    <t>D4-4|14#</t>
  </si>
  <si>
    <t>D4-5|14#</t>
  </si>
  <si>
    <t>D4-6|14#</t>
  </si>
  <si>
    <t>D4-7|14#</t>
  </si>
  <si>
    <t>D4-8|14#</t>
  </si>
  <si>
    <t>D4-9|14#</t>
  </si>
  <si>
    <t>D4-10|14#</t>
  </si>
  <si>
    <t>D4-11|14#</t>
  </si>
  <si>
    <t>D4-12|14#</t>
  </si>
  <si>
    <t>D4-13|14#</t>
  </si>
  <si>
    <t>D4-14|14#</t>
  </si>
  <si>
    <t>D4-15|14#</t>
  </si>
  <si>
    <t>D4-16|14#</t>
  </si>
  <si>
    <t>C4-1|14#</t>
  </si>
  <si>
    <t>C4-2|14#</t>
  </si>
  <si>
    <t>C4-3|14#</t>
  </si>
  <si>
    <t>C4-4|14#</t>
  </si>
  <si>
    <t>C4-5|14#</t>
  </si>
  <si>
    <t>C4-6|14#</t>
  </si>
  <si>
    <t>C4-7|14#</t>
  </si>
  <si>
    <t>C4-8|14#</t>
  </si>
  <si>
    <t>C4-8|10#</t>
  </si>
  <si>
    <t>C4-8|18#</t>
  </si>
  <si>
    <t>D5-1|14#</t>
  </si>
  <si>
    <t>D5测试数据.xlsx</t>
  </si>
  <si>
    <t>D5-2|14#</t>
  </si>
  <si>
    <t>D5-3|14#</t>
  </si>
  <si>
    <t>D5-4|14#</t>
  </si>
  <si>
    <t>D5-5|14#</t>
  </si>
  <si>
    <t>D5-6|14#</t>
  </si>
  <si>
    <t>D5-7|14#</t>
  </si>
  <si>
    <t>D5-8|14#</t>
  </si>
  <si>
    <t>C5-1|14#</t>
  </si>
  <si>
    <t>C5-2|14#</t>
  </si>
  <si>
    <t>C5-3|14#</t>
  </si>
  <si>
    <t>C5-4|14#</t>
  </si>
  <si>
    <t>C5-5|14#</t>
  </si>
  <si>
    <t>C5-6|14#</t>
  </si>
  <si>
    <t>C5-7|14#</t>
  </si>
  <si>
    <t>C5-8|14#</t>
  </si>
  <si>
    <t>C5-9|14#</t>
  </si>
  <si>
    <t>C5-10|14#</t>
  </si>
  <si>
    <t>C5-11|14#</t>
  </si>
  <si>
    <t>C5-12|14#</t>
  </si>
  <si>
    <t>C5-13|14#</t>
  </si>
  <si>
    <t>C5-14|14#</t>
  </si>
  <si>
    <t>C5-15|14#</t>
  </si>
  <si>
    <t>C5-16|14#</t>
  </si>
  <si>
    <t>C5-16|10#</t>
  </si>
  <si>
    <t>C5-16|18#</t>
  </si>
  <si>
    <t>D7-1</t>
    <phoneticPr fontId="6" type="noConversion"/>
  </si>
  <si>
    <t>14#</t>
    <phoneticPr fontId="6" type="noConversion"/>
  </si>
  <si>
    <t>D7-2</t>
  </si>
  <si>
    <t>D7-3</t>
  </si>
  <si>
    <t>D7-4</t>
  </si>
  <si>
    <t>300+</t>
    <phoneticPr fontId="6" type="noConversion"/>
  </si>
  <si>
    <t>D7-5</t>
  </si>
  <si>
    <t>4+</t>
    <phoneticPr fontId="6" type="noConversion"/>
  </si>
  <si>
    <t>D7-6</t>
  </si>
  <si>
    <t>D7-7</t>
  </si>
  <si>
    <t>D7-8</t>
  </si>
  <si>
    <t>D7-9</t>
  </si>
  <si>
    <t>D7-10</t>
  </si>
  <si>
    <t>D7-11</t>
  </si>
  <si>
    <t>D7-12</t>
  </si>
  <si>
    <t>D7-13</t>
  </si>
  <si>
    <t>D7-14</t>
  </si>
  <si>
    <t>D7-15</t>
  </si>
  <si>
    <t>D7-16</t>
  </si>
  <si>
    <t>D7-17</t>
  </si>
  <si>
    <t>D7-18</t>
  </si>
  <si>
    <t>D7-19</t>
  </si>
  <si>
    <t>D7-20</t>
  </si>
  <si>
    <t>D7-21</t>
  </si>
  <si>
    <t>60+</t>
    <phoneticPr fontId="5" type="noConversion"/>
  </si>
  <si>
    <t>D7-22</t>
  </si>
  <si>
    <t>D7-23</t>
  </si>
  <si>
    <t>D7-24</t>
  </si>
  <si>
    <t>D7-25</t>
  </si>
  <si>
    <t>D7-26</t>
  </si>
  <si>
    <t>200+</t>
    <phoneticPr fontId="6" type="noConversion"/>
  </si>
  <si>
    <t>D7-27</t>
  </si>
  <si>
    <t>D7-28</t>
  </si>
  <si>
    <t>D7-29</t>
  </si>
  <si>
    <t>D7-30</t>
  </si>
  <si>
    <t>D7-31</t>
  </si>
  <si>
    <t>D7-32</t>
  </si>
  <si>
    <t>D7-33</t>
  </si>
  <si>
    <t>D7-34</t>
  </si>
  <si>
    <t>D7-35</t>
  </si>
  <si>
    <t>10#</t>
    <phoneticPr fontId="6" type="noConversion"/>
  </si>
  <si>
    <t>18#</t>
    <phoneticPr fontId="6" type="noConversion"/>
  </si>
  <si>
    <t>C7-1</t>
    <phoneticPr fontId="6" type="noConversion"/>
  </si>
  <si>
    <t>C7-2</t>
  </si>
  <si>
    <t>C7-3</t>
  </si>
  <si>
    <t>C7-4</t>
  </si>
  <si>
    <t>C7-5</t>
  </si>
  <si>
    <t>C7-6</t>
  </si>
  <si>
    <t>C7-7</t>
  </si>
  <si>
    <t>C7-8</t>
  </si>
  <si>
    <t>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</si>
</sst>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"/>
  </numFmts>
  <fonts count="8" x14ac:knownFonts="1">
    <font>
      <sz val="11"/>
      <name val="Carlito"/>
    </font>
    <font>
      <b/>
      <sz val="11"/>
      <color rgb="FF244C43"/>
      <name val="宋体"/>
      <family val="3"/>
      <charset val="134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1"/>
      <name val="Carlito"/>
      <family val="2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ECE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176" fontId="1" fillId="2" borderId="0" xfId="1" applyNumberFormat="1" applyFont="1" applyFill="1" applyAlignment="1">
      <alignment horizontal="center" vertical="center"/>
    </xf>
    <xf numFmtId="176" fontId="2" fillId="0" borderId="0" xfId="1" applyNumberFormat="1" applyFont="1"/>
    <xf numFmtId="2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0" fontId="3" fillId="0" borderId="0" xfId="1" applyFont="1"/>
    <xf numFmtId="177" fontId="3" fillId="0" borderId="0" xfId="1" applyNumberFormat="1" applyFont="1"/>
    <xf numFmtId="2" fontId="3" fillId="0" borderId="0" xfId="1" applyNumberFormat="1" applyFont="1"/>
    <xf numFmtId="1" fontId="3" fillId="0" borderId="0" xfId="1" applyNumberFormat="1" applyFont="1"/>
    <xf numFmtId="0" fontId="7" fillId="0" borderId="0" xfId="0" applyFont="1" applyAlignment="1">
      <alignment horizontal="center"/>
    </xf>
    <xf numFmtId="2" fontId="7" fillId="0" borderId="0" xfId="0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&#28034;&#26009;\&#19971;&#26376;&#23454;&#39564;&#25968;&#25454;&#25972;&#29702;\8.6&#37197;&#26009;&#27979;&#35797;&#27719;&#24635;1.xlsx" TargetMode="External"/><Relationship Id="rId1" Type="http://schemas.openxmlformats.org/officeDocument/2006/relationships/externalLinkPath" Target="8.6&#37197;&#26009;&#27979;&#35797;&#27719;&#24635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6配料测试汇总"/>
      <sheetName val="换算明细"/>
      <sheetName val="测试原始数据"/>
    </sheetNames>
    <sheetDataSet>
      <sheetData sheetId="0"/>
      <sheetData sheetId="1"/>
      <sheetData sheetId="2">
        <row r="2">
          <cell r="A2" t="str">
            <v>D1-1|14#</v>
          </cell>
          <cell r="B2" t="str">
            <v>D1-1</v>
          </cell>
          <cell r="C2" t="str">
            <v>14#</v>
          </cell>
          <cell r="D2">
            <v>17.414999999999999</v>
          </cell>
          <cell r="E2">
            <v>9</v>
          </cell>
          <cell r="F2">
            <v>4</v>
          </cell>
          <cell r="G2" t="str">
            <v>D1测试数据.xlsx</v>
          </cell>
        </row>
        <row r="3">
          <cell r="A3" t="str">
            <v>D1-2|14#</v>
          </cell>
          <cell r="B3" t="str">
            <v>D1-2</v>
          </cell>
          <cell r="C3" t="str">
            <v>14#</v>
          </cell>
          <cell r="D3">
            <v>19.22</v>
          </cell>
          <cell r="E3">
            <v>161</v>
          </cell>
          <cell r="F3">
            <v>2</v>
          </cell>
          <cell r="G3" t="str">
            <v>D1测试数据.xlsx</v>
          </cell>
        </row>
        <row r="4">
          <cell r="A4" t="str">
            <v>D1-3|14#</v>
          </cell>
          <cell r="B4" t="str">
            <v>D1-3</v>
          </cell>
          <cell r="C4" t="str">
            <v>14#</v>
          </cell>
          <cell r="D4">
            <v>15.69</v>
          </cell>
          <cell r="E4">
            <v>10</v>
          </cell>
          <cell r="F4">
            <v>4</v>
          </cell>
          <cell r="G4" t="str">
            <v>D1测试数据.xlsx</v>
          </cell>
        </row>
        <row r="5">
          <cell r="A5" t="str">
            <v>D1-4|14#</v>
          </cell>
          <cell r="B5" t="str">
            <v>D1-4</v>
          </cell>
          <cell r="C5" t="str">
            <v>14#</v>
          </cell>
          <cell r="D5">
            <v>18.05</v>
          </cell>
          <cell r="E5">
            <v>98</v>
          </cell>
          <cell r="F5">
            <v>3</v>
          </cell>
          <cell r="G5" t="str">
            <v>D1测试数据.xlsx</v>
          </cell>
        </row>
        <row r="6">
          <cell r="A6" t="str">
            <v>D1-5|14#</v>
          </cell>
          <cell r="B6" t="str">
            <v>D1-5</v>
          </cell>
          <cell r="C6" t="str">
            <v>14#</v>
          </cell>
          <cell r="D6">
            <v>20.8</v>
          </cell>
          <cell r="E6" t="str">
            <v>300+</v>
          </cell>
          <cell r="F6">
            <v>3</v>
          </cell>
          <cell r="G6" t="str">
            <v>D1测试数据.xlsx</v>
          </cell>
        </row>
        <row r="7">
          <cell r="A7" t="str">
            <v>D1-6|14#</v>
          </cell>
          <cell r="B7" t="str">
            <v>D1-6</v>
          </cell>
          <cell r="C7" t="str">
            <v>14#</v>
          </cell>
          <cell r="D7">
            <v>14.364999999999998</v>
          </cell>
          <cell r="E7">
            <v>5</v>
          </cell>
          <cell r="F7">
            <v>4</v>
          </cell>
          <cell r="G7" t="str">
            <v>D1测试数据.xlsx</v>
          </cell>
        </row>
        <row r="8">
          <cell r="A8" t="str">
            <v>D1-7|14#</v>
          </cell>
          <cell r="B8" t="str">
            <v>D1-7</v>
          </cell>
          <cell r="C8" t="str">
            <v>14#</v>
          </cell>
          <cell r="D8">
            <v>16.535</v>
          </cell>
          <cell r="E8">
            <v>32</v>
          </cell>
          <cell r="F8">
            <v>4</v>
          </cell>
          <cell r="G8" t="str">
            <v>D1测试数据.xlsx</v>
          </cell>
        </row>
        <row r="9">
          <cell r="A9" t="str">
            <v>D1-8|14#</v>
          </cell>
          <cell r="B9" t="str">
            <v>D1-8</v>
          </cell>
          <cell r="C9" t="str">
            <v>14#</v>
          </cell>
          <cell r="D9">
            <v>15.225000000000001</v>
          </cell>
          <cell r="E9">
            <v>4</v>
          </cell>
          <cell r="F9">
            <v>4</v>
          </cell>
          <cell r="G9" t="str">
            <v>D1测试数据.xlsx</v>
          </cell>
        </row>
        <row r="10">
          <cell r="A10" t="str">
            <v>D1-9|14#</v>
          </cell>
          <cell r="B10" t="str">
            <v>D1-9</v>
          </cell>
          <cell r="C10" t="str">
            <v>14#</v>
          </cell>
          <cell r="D10">
            <v>22.32</v>
          </cell>
          <cell r="E10">
            <v>172</v>
          </cell>
          <cell r="F10">
            <v>2</v>
          </cell>
          <cell r="G10" t="str">
            <v>D1测试数据.xlsx</v>
          </cell>
        </row>
        <row r="11">
          <cell r="A11" t="str">
            <v>D1-10|14#</v>
          </cell>
          <cell r="B11" t="str">
            <v>D1-10</v>
          </cell>
          <cell r="C11" t="str">
            <v>14#</v>
          </cell>
          <cell r="D11">
            <v>16.09</v>
          </cell>
          <cell r="E11">
            <v>95</v>
          </cell>
          <cell r="F11">
            <v>4</v>
          </cell>
          <cell r="G11" t="str">
            <v>D1测试数据.xlsx</v>
          </cell>
        </row>
        <row r="12">
          <cell r="A12" t="str">
            <v>D1-11|14#</v>
          </cell>
          <cell r="B12" t="str">
            <v>D1-11</v>
          </cell>
          <cell r="C12" t="str">
            <v>14#</v>
          </cell>
          <cell r="D12">
            <v>17.145</v>
          </cell>
          <cell r="E12">
            <v>33</v>
          </cell>
          <cell r="F12">
            <v>2</v>
          </cell>
          <cell r="G12" t="str">
            <v>D1测试数据.xlsx</v>
          </cell>
        </row>
        <row r="13">
          <cell r="A13" t="str">
            <v>D1-12|14#</v>
          </cell>
          <cell r="B13" t="str">
            <v>D1-12</v>
          </cell>
          <cell r="C13" t="str">
            <v>14#</v>
          </cell>
          <cell r="D13">
            <v>14.46</v>
          </cell>
          <cell r="E13">
            <v>11</v>
          </cell>
          <cell r="F13">
            <v>4</v>
          </cell>
          <cell r="G13" t="str">
            <v>D1测试数据.xlsx</v>
          </cell>
        </row>
        <row r="14">
          <cell r="A14" t="str">
            <v>D1-13|14#</v>
          </cell>
          <cell r="B14" t="str">
            <v>D1-13</v>
          </cell>
          <cell r="C14" t="str">
            <v>14#</v>
          </cell>
          <cell r="D14">
            <v>15.5</v>
          </cell>
          <cell r="E14">
            <v>20</v>
          </cell>
          <cell r="F14">
            <v>4</v>
          </cell>
          <cell r="G14" t="str">
            <v>D1测试数据.xlsx</v>
          </cell>
        </row>
        <row r="15">
          <cell r="A15" t="str">
            <v>D1-14|14#</v>
          </cell>
          <cell r="B15" t="str">
            <v>D1-14</v>
          </cell>
          <cell r="C15" t="str">
            <v>14#</v>
          </cell>
          <cell r="D15">
            <v>18.25</v>
          </cell>
          <cell r="E15">
            <v>87</v>
          </cell>
          <cell r="F15">
            <v>2</v>
          </cell>
          <cell r="G15" t="str">
            <v>D1测试数据.xlsx</v>
          </cell>
        </row>
        <row r="16">
          <cell r="A16" t="str">
            <v>D1-15|14#</v>
          </cell>
          <cell r="B16" t="str">
            <v>D1-15</v>
          </cell>
          <cell r="C16" t="str">
            <v>14#</v>
          </cell>
          <cell r="D16">
            <v>15.5</v>
          </cell>
          <cell r="E16">
            <v>80</v>
          </cell>
          <cell r="F16">
            <v>3</v>
          </cell>
          <cell r="G16" t="str">
            <v>D1测试数据.xlsx</v>
          </cell>
        </row>
        <row r="17">
          <cell r="A17" t="str">
            <v>D1-16|14#</v>
          </cell>
          <cell r="B17" t="str">
            <v>D1-16</v>
          </cell>
          <cell r="C17" t="str">
            <v>14#</v>
          </cell>
          <cell r="D17">
            <v>14.45</v>
          </cell>
          <cell r="E17">
            <v>32</v>
          </cell>
          <cell r="F17">
            <v>1</v>
          </cell>
          <cell r="G17" t="str">
            <v>D1测试数据.xlsx</v>
          </cell>
        </row>
        <row r="18">
          <cell r="A18" t="str">
            <v>D1-17|14#</v>
          </cell>
          <cell r="B18" t="str">
            <v>D1-17</v>
          </cell>
          <cell r="C18" t="str">
            <v>14#</v>
          </cell>
          <cell r="D18">
            <v>21.704999999999998</v>
          </cell>
          <cell r="E18">
            <v>160</v>
          </cell>
          <cell r="F18">
            <v>3</v>
          </cell>
          <cell r="G18" t="str">
            <v>D1测试数据.xlsx</v>
          </cell>
        </row>
        <row r="19">
          <cell r="A19" t="str">
            <v>D1-18|14#</v>
          </cell>
          <cell r="B19" t="str">
            <v>D1-18</v>
          </cell>
          <cell r="C19" t="str">
            <v>14#</v>
          </cell>
          <cell r="D19">
            <v>17.664999999999999</v>
          </cell>
          <cell r="E19">
            <v>49</v>
          </cell>
          <cell r="F19">
            <v>2</v>
          </cell>
          <cell r="G19" t="str">
            <v>D1测试数据.xlsx</v>
          </cell>
        </row>
        <row r="20">
          <cell r="A20" t="str">
            <v>D1-19|14#</v>
          </cell>
          <cell r="B20" t="str">
            <v>D1-19</v>
          </cell>
          <cell r="C20" t="str">
            <v>14#</v>
          </cell>
          <cell r="D20">
            <v>19.734999999999999</v>
          </cell>
          <cell r="E20">
            <v>92</v>
          </cell>
          <cell r="F20">
            <v>4</v>
          </cell>
          <cell r="G20" t="str">
            <v>D1测试数据.xlsx</v>
          </cell>
        </row>
        <row r="21">
          <cell r="A21" t="str">
            <v>D1-20|14#</v>
          </cell>
          <cell r="B21" t="str">
            <v>D1-20</v>
          </cell>
          <cell r="C21" t="str">
            <v>14#</v>
          </cell>
          <cell r="D21">
            <v>18.835000000000001</v>
          </cell>
          <cell r="E21">
            <v>103</v>
          </cell>
          <cell r="F21">
            <v>2</v>
          </cell>
          <cell r="G21" t="str">
            <v>D1测试数据.xlsx</v>
          </cell>
        </row>
        <row r="22">
          <cell r="A22" t="str">
            <v>D1-21|14#</v>
          </cell>
          <cell r="B22" t="str">
            <v>D1-21</v>
          </cell>
          <cell r="C22" t="str">
            <v>14#</v>
          </cell>
          <cell r="D22">
            <v>16.155000000000001</v>
          </cell>
          <cell r="E22">
            <v>82</v>
          </cell>
          <cell r="F22">
            <v>2</v>
          </cell>
          <cell r="G22" t="str">
            <v>D1测试数据.xlsx</v>
          </cell>
        </row>
        <row r="23">
          <cell r="A23" t="str">
            <v>D1-22|14#</v>
          </cell>
          <cell r="B23" t="str">
            <v>D1-22</v>
          </cell>
          <cell r="C23" t="str">
            <v>14#</v>
          </cell>
          <cell r="D23">
            <v>18.920000000000002</v>
          </cell>
          <cell r="E23">
            <v>75</v>
          </cell>
          <cell r="F23">
            <v>4</v>
          </cell>
          <cell r="G23" t="str">
            <v>D1测试数据.xlsx</v>
          </cell>
        </row>
        <row r="24">
          <cell r="A24" t="str">
            <v>D1-23|14#</v>
          </cell>
          <cell r="B24" t="str">
            <v>D1-23</v>
          </cell>
          <cell r="C24" t="str">
            <v>14#</v>
          </cell>
          <cell r="D24">
            <v>19.015000000000001</v>
          </cell>
          <cell r="E24">
            <v>142</v>
          </cell>
          <cell r="F24">
            <v>3</v>
          </cell>
          <cell r="G24" t="str">
            <v>D1测试数据.xlsx</v>
          </cell>
        </row>
        <row r="25">
          <cell r="A25" t="str">
            <v>D1-24|14#</v>
          </cell>
          <cell r="B25" t="str">
            <v>D1-24</v>
          </cell>
          <cell r="C25" t="str">
            <v>14#</v>
          </cell>
          <cell r="D25">
            <v>19.78</v>
          </cell>
          <cell r="E25">
            <v>127</v>
          </cell>
          <cell r="F25">
            <v>3</v>
          </cell>
          <cell r="G25" t="str">
            <v>D1测试数据.xlsx</v>
          </cell>
        </row>
        <row r="26">
          <cell r="A26" t="str">
            <v>D1-24|10#</v>
          </cell>
          <cell r="B26" t="str">
            <v>D1-24</v>
          </cell>
          <cell r="C26" t="str">
            <v>10#</v>
          </cell>
          <cell r="D26">
            <v>20.727499999999999</v>
          </cell>
          <cell r="E26">
            <v>110</v>
          </cell>
          <cell r="F26">
            <v>2</v>
          </cell>
          <cell r="G26" t="str">
            <v>D1测试数据.xlsx</v>
          </cell>
        </row>
        <row r="27">
          <cell r="A27" t="str">
            <v>D1-24|18#</v>
          </cell>
          <cell r="B27" t="str">
            <v>D1-24</v>
          </cell>
          <cell r="C27" t="str">
            <v>18#</v>
          </cell>
          <cell r="D27">
            <v>16.72</v>
          </cell>
          <cell r="E27">
            <v>125</v>
          </cell>
          <cell r="F27">
            <v>4</v>
          </cell>
          <cell r="G27" t="str">
            <v>D1测试数据.xlsx</v>
          </cell>
        </row>
        <row r="28">
          <cell r="A28" t="str">
            <v>D2-1|14#</v>
          </cell>
          <cell r="B28" t="str">
            <v>D2-1</v>
          </cell>
          <cell r="C28" t="str">
            <v>14#</v>
          </cell>
          <cell r="D28">
            <v>19.32</v>
          </cell>
          <cell r="E28">
            <v>68</v>
          </cell>
          <cell r="F28" t="str">
            <v>——</v>
          </cell>
          <cell r="G28" t="str">
            <v>D2测试数据.xlsx</v>
          </cell>
        </row>
        <row r="29">
          <cell r="A29" t="str">
            <v>D2-2|14#</v>
          </cell>
          <cell r="B29" t="str">
            <v>D2-2</v>
          </cell>
          <cell r="C29" t="str">
            <v>14#</v>
          </cell>
          <cell r="D29">
            <v>18.95</v>
          </cell>
          <cell r="E29">
            <v>76</v>
          </cell>
          <cell r="F29" t="str">
            <v>——</v>
          </cell>
          <cell r="G29" t="str">
            <v>D2测试数据.xlsx</v>
          </cell>
        </row>
        <row r="30">
          <cell r="A30" t="str">
            <v>D2-3|14#</v>
          </cell>
          <cell r="B30" t="str">
            <v>D2-3</v>
          </cell>
          <cell r="C30" t="str">
            <v>14#</v>
          </cell>
          <cell r="D30">
            <v>20.57</v>
          </cell>
          <cell r="E30">
            <v>60</v>
          </cell>
          <cell r="F30" t="str">
            <v>——</v>
          </cell>
          <cell r="G30" t="str">
            <v>D2测试数据.xlsx</v>
          </cell>
        </row>
        <row r="31">
          <cell r="A31" t="str">
            <v>D2-4|14#</v>
          </cell>
          <cell r="B31" t="str">
            <v>D2-4</v>
          </cell>
          <cell r="C31" t="str">
            <v>14#</v>
          </cell>
          <cell r="D31">
            <v>14.695</v>
          </cell>
          <cell r="E31">
            <v>9</v>
          </cell>
          <cell r="F31" t="str">
            <v>——</v>
          </cell>
          <cell r="G31" t="str">
            <v>D2测试数据.xlsx</v>
          </cell>
        </row>
        <row r="32">
          <cell r="A32" t="str">
            <v>D2-5|14#</v>
          </cell>
          <cell r="B32" t="str">
            <v>D2-5</v>
          </cell>
          <cell r="C32" t="str">
            <v>14#</v>
          </cell>
          <cell r="D32">
            <v>14.215</v>
          </cell>
          <cell r="E32">
            <v>40</v>
          </cell>
          <cell r="F32" t="str">
            <v>——</v>
          </cell>
          <cell r="G32" t="str">
            <v>D2测试数据.xlsx</v>
          </cell>
        </row>
        <row r="33">
          <cell r="A33" t="str">
            <v>D2-6|14#</v>
          </cell>
          <cell r="B33" t="str">
            <v>D2-6</v>
          </cell>
          <cell r="C33" t="str">
            <v>14#</v>
          </cell>
          <cell r="D33">
            <v>20.335000000000001</v>
          </cell>
          <cell r="E33">
            <v>112</v>
          </cell>
          <cell r="F33" t="str">
            <v>——</v>
          </cell>
          <cell r="G33" t="str">
            <v>D2测试数据.xlsx</v>
          </cell>
        </row>
        <row r="34">
          <cell r="A34" t="str">
            <v>D2-7|14#</v>
          </cell>
          <cell r="B34" t="str">
            <v>D2-7</v>
          </cell>
          <cell r="C34" t="str">
            <v>14#</v>
          </cell>
          <cell r="D34">
            <v>12.484999999999999</v>
          </cell>
          <cell r="E34">
            <v>79</v>
          </cell>
          <cell r="F34" t="str">
            <v>——</v>
          </cell>
          <cell r="G34" t="str">
            <v>D2测试数据.xlsx</v>
          </cell>
        </row>
        <row r="35">
          <cell r="A35" t="str">
            <v>D2-8|14#</v>
          </cell>
          <cell r="B35" t="str">
            <v>D2-8</v>
          </cell>
          <cell r="C35" t="str">
            <v>14#</v>
          </cell>
          <cell r="D35">
            <v>20.9</v>
          </cell>
          <cell r="E35">
            <v>131</v>
          </cell>
          <cell r="F35" t="str">
            <v>——</v>
          </cell>
          <cell r="G35" t="str">
            <v>D2测试数据.xlsx</v>
          </cell>
        </row>
        <row r="36">
          <cell r="A36" t="str">
            <v>D2-9|14#</v>
          </cell>
          <cell r="B36" t="str">
            <v>D2-9</v>
          </cell>
          <cell r="C36" t="str">
            <v>14#</v>
          </cell>
          <cell r="D36">
            <v>15.53</v>
          </cell>
          <cell r="E36">
            <v>5</v>
          </cell>
          <cell r="F36" t="str">
            <v>——</v>
          </cell>
          <cell r="G36" t="str">
            <v>D2测试数据.xlsx</v>
          </cell>
        </row>
        <row r="37">
          <cell r="A37" t="str">
            <v>D2-10|14#</v>
          </cell>
          <cell r="B37" t="str">
            <v>D2-10</v>
          </cell>
          <cell r="C37" t="str">
            <v>14#</v>
          </cell>
          <cell r="D37">
            <v>14.995000000000001</v>
          </cell>
          <cell r="E37">
            <v>60</v>
          </cell>
          <cell r="F37" t="str">
            <v>——</v>
          </cell>
          <cell r="G37" t="str">
            <v>D2测试数据.xlsx</v>
          </cell>
        </row>
        <row r="38">
          <cell r="A38" t="str">
            <v>D2-11|14#</v>
          </cell>
          <cell r="B38" t="str">
            <v>D2-11</v>
          </cell>
          <cell r="C38" t="str">
            <v>14#</v>
          </cell>
          <cell r="D38">
            <v>17.04</v>
          </cell>
          <cell r="E38">
            <v>65</v>
          </cell>
          <cell r="F38" t="str">
            <v>——</v>
          </cell>
          <cell r="G38" t="str">
            <v>D2测试数据.xlsx</v>
          </cell>
        </row>
        <row r="39">
          <cell r="A39" t="str">
            <v>D2-12|14#</v>
          </cell>
          <cell r="B39" t="str">
            <v>D2-12</v>
          </cell>
          <cell r="C39" t="str">
            <v>14#</v>
          </cell>
          <cell r="D39">
            <v>17.89</v>
          </cell>
          <cell r="E39">
            <v>50</v>
          </cell>
          <cell r="F39" t="str">
            <v>——</v>
          </cell>
          <cell r="G39" t="str">
            <v>D2测试数据.xlsx</v>
          </cell>
        </row>
        <row r="40">
          <cell r="A40" t="str">
            <v>D2-13|14#</v>
          </cell>
          <cell r="B40" t="str">
            <v>D2-13</v>
          </cell>
          <cell r="C40" t="str">
            <v>14#</v>
          </cell>
          <cell r="D40">
            <v>16.310000000000002</v>
          </cell>
          <cell r="E40">
            <v>45</v>
          </cell>
          <cell r="F40" t="str">
            <v>——</v>
          </cell>
          <cell r="G40" t="str">
            <v>D2测试数据.xlsx</v>
          </cell>
        </row>
        <row r="41">
          <cell r="A41" t="str">
            <v>D2-14|14#</v>
          </cell>
          <cell r="B41" t="str">
            <v>D2-14</v>
          </cell>
          <cell r="C41" t="str">
            <v>14#</v>
          </cell>
          <cell r="D41">
            <v>16.98</v>
          </cell>
          <cell r="E41">
            <v>80</v>
          </cell>
          <cell r="F41" t="str">
            <v>——</v>
          </cell>
          <cell r="G41" t="str">
            <v>D2测试数据.xlsx</v>
          </cell>
        </row>
        <row r="42">
          <cell r="A42" t="str">
            <v>D2-15|14#</v>
          </cell>
          <cell r="B42" t="str">
            <v>D2-15</v>
          </cell>
          <cell r="C42" t="str">
            <v>14#</v>
          </cell>
          <cell r="D42">
            <v>19.41</v>
          </cell>
          <cell r="E42">
            <v>76</v>
          </cell>
          <cell r="F42" t="str">
            <v>——</v>
          </cell>
          <cell r="G42" t="str">
            <v>D2测试数据.xlsx</v>
          </cell>
        </row>
        <row r="43">
          <cell r="A43" t="str">
            <v>D2-16|14#</v>
          </cell>
          <cell r="B43" t="str">
            <v>D2-16</v>
          </cell>
          <cell r="C43" t="str">
            <v>14#</v>
          </cell>
          <cell r="D43">
            <v>18.619999999999997</v>
          </cell>
          <cell r="E43">
            <v>60</v>
          </cell>
          <cell r="F43" t="str">
            <v>——</v>
          </cell>
          <cell r="G43" t="str">
            <v>D2测试数据.xlsx</v>
          </cell>
        </row>
        <row r="44">
          <cell r="A44" t="str">
            <v>D2-17|14#</v>
          </cell>
          <cell r="B44" t="str">
            <v>D2-17</v>
          </cell>
          <cell r="C44" t="str">
            <v>14#</v>
          </cell>
          <cell r="D44">
            <v>18.810000000000002</v>
          </cell>
          <cell r="E44">
            <v>120</v>
          </cell>
          <cell r="F44" t="str">
            <v>——</v>
          </cell>
          <cell r="G44" t="str">
            <v>D2测试数据.xlsx</v>
          </cell>
        </row>
        <row r="45">
          <cell r="A45" t="str">
            <v>D2-18|14#</v>
          </cell>
          <cell r="B45" t="str">
            <v>D2-18</v>
          </cell>
          <cell r="C45" t="str">
            <v>14#</v>
          </cell>
          <cell r="D45">
            <v>15.824999999999999</v>
          </cell>
          <cell r="E45">
            <v>45</v>
          </cell>
          <cell r="F45" t="str">
            <v>——</v>
          </cell>
          <cell r="G45" t="str">
            <v>D2测试数据.xlsx</v>
          </cell>
        </row>
        <row r="46">
          <cell r="A46" t="str">
            <v>D2-19|14#</v>
          </cell>
          <cell r="B46" t="str">
            <v>D2-19</v>
          </cell>
          <cell r="C46" t="str">
            <v>14#</v>
          </cell>
          <cell r="D46">
            <v>19.770000000000003</v>
          </cell>
          <cell r="E46">
            <v>67</v>
          </cell>
          <cell r="F46" t="str">
            <v>——</v>
          </cell>
          <cell r="G46" t="str">
            <v>D2测试数据.xlsx</v>
          </cell>
        </row>
        <row r="47">
          <cell r="A47" t="str">
            <v>D2-20|14#</v>
          </cell>
          <cell r="B47" t="str">
            <v>D2-20</v>
          </cell>
          <cell r="C47" t="str">
            <v>14#</v>
          </cell>
          <cell r="D47">
            <v>16.594999999999999</v>
          </cell>
          <cell r="E47">
            <v>40</v>
          </cell>
          <cell r="F47" t="str">
            <v>——</v>
          </cell>
          <cell r="G47" t="str">
            <v>D2测试数据.xlsx</v>
          </cell>
        </row>
        <row r="48">
          <cell r="A48" t="str">
            <v>D2-21|14#</v>
          </cell>
          <cell r="B48" t="str">
            <v>D2-21</v>
          </cell>
          <cell r="C48" t="str">
            <v>14#</v>
          </cell>
          <cell r="D48">
            <v>20.490000000000002</v>
          </cell>
          <cell r="E48">
            <v>85</v>
          </cell>
          <cell r="F48" t="str">
            <v>——</v>
          </cell>
          <cell r="G48" t="str">
            <v>D2测试数据.xlsx</v>
          </cell>
        </row>
        <row r="49">
          <cell r="A49" t="str">
            <v>D2-22|14#</v>
          </cell>
          <cell r="B49" t="str">
            <v>D2-22</v>
          </cell>
          <cell r="C49" t="str">
            <v>14#</v>
          </cell>
          <cell r="D49">
            <v>20.255000000000003</v>
          </cell>
          <cell r="E49">
            <v>183</v>
          </cell>
          <cell r="F49" t="str">
            <v>——</v>
          </cell>
          <cell r="G49" t="str">
            <v>D2测试数据.xlsx</v>
          </cell>
        </row>
        <row r="50">
          <cell r="A50" t="str">
            <v>D2-23|14#</v>
          </cell>
          <cell r="B50" t="str">
            <v>D2-23</v>
          </cell>
          <cell r="C50" t="str">
            <v>14#</v>
          </cell>
          <cell r="D50">
            <v>16.445</v>
          </cell>
          <cell r="E50">
            <v>16</v>
          </cell>
          <cell r="F50" t="str">
            <v>——</v>
          </cell>
          <cell r="G50" t="str">
            <v>D2测试数据.xlsx</v>
          </cell>
        </row>
        <row r="51">
          <cell r="A51" t="str">
            <v>D2-24|14#</v>
          </cell>
          <cell r="B51" t="str">
            <v>D2-24</v>
          </cell>
          <cell r="C51" t="str">
            <v>14#</v>
          </cell>
          <cell r="D51">
            <v>17.59</v>
          </cell>
          <cell r="E51">
            <v>78</v>
          </cell>
          <cell r="F51" t="str">
            <v>——</v>
          </cell>
          <cell r="G51" t="str">
            <v>D2测试数据.xlsx</v>
          </cell>
        </row>
        <row r="52">
          <cell r="A52" t="str">
            <v>D2-24|10#</v>
          </cell>
          <cell r="B52" t="str">
            <v>D2-24</v>
          </cell>
          <cell r="C52" t="str">
            <v>10#</v>
          </cell>
          <cell r="D52">
            <v>18.453333333333333</v>
          </cell>
          <cell r="E52">
            <v>60</v>
          </cell>
          <cell r="F52" t="str">
            <v>——</v>
          </cell>
          <cell r="G52" t="str">
            <v>D2测试数据.xlsx</v>
          </cell>
        </row>
        <row r="53">
          <cell r="A53" t="str">
            <v>D2-24|18#</v>
          </cell>
          <cell r="B53" t="str">
            <v>D2-24</v>
          </cell>
          <cell r="C53" t="str">
            <v>18#</v>
          </cell>
          <cell r="D53">
            <v>14.743333333333334</v>
          </cell>
          <cell r="E53">
            <v>63</v>
          </cell>
          <cell r="F53" t="str">
            <v>——</v>
          </cell>
          <cell r="G53" t="str">
            <v>D2测试数据.xlsx</v>
          </cell>
        </row>
        <row r="54">
          <cell r="A54" t="str">
            <v>D3-1|14#</v>
          </cell>
          <cell r="B54" t="str">
            <v>D3-1</v>
          </cell>
          <cell r="C54" t="str">
            <v>14#</v>
          </cell>
          <cell r="D54">
            <v>15.67</v>
          </cell>
          <cell r="E54">
            <v>8</v>
          </cell>
          <cell r="F54" t="str">
            <v>——</v>
          </cell>
          <cell r="G54" t="str">
            <v>D3测试数据.xlsx</v>
          </cell>
        </row>
        <row r="55">
          <cell r="A55" t="str">
            <v>D3-2|14#</v>
          </cell>
          <cell r="B55" t="str">
            <v>D3-2</v>
          </cell>
          <cell r="C55" t="str">
            <v>14#</v>
          </cell>
          <cell r="D55">
            <v>13.9</v>
          </cell>
          <cell r="E55">
            <v>152</v>
          </cell>
          <cell r="F55" t="str">
            <v>——</v>
          </cell>
          <cell r="G55" t="str">
            <v>D3测试数据.xlsx</v>
          </cell>
        </row>
        <row r="56">
          <cell r="A56" t="str">
            <v>D3-3|14#</v>
          </cell>
          <cell r="B56" t="str">
            <v>D3-3</v>
          </cell>
          <cell r="C56" t="str">
            <v>14#</v>
          </cell>
          <cell r="D56">
            <v>19.649999999999999</v>
          </cell>
          <cell r="E56">
            <v>97</v>
          </cell>
          <cell r="F56" t="str">
            <v>——</v>
          </cell>
          <cell r="G56" t="str">
            <v>D3测试数据.xlsx</v>
          </cell>
        </row>
        <row r="57">
          <cell r="A57" t="str">
            <v>D3-4|14#</v>
          </cell>
          <cell r="B57" t="str">
            <v>D3-4</v>
          </cell>
          <cell r="C57" t="str">
            <v>14#</v>
          </cell>
          <cell r="D57">
            <v>18.024999999999999</v>
          </cell>
          <cell r="E57">
            <v>25</v>
          </cell>
          <cell r="F57" t="str">
            <v>——</v>
          </cell>
          <cell r="G57" t="str">
            <v>D3测试数据.xlsx</v>
          </cell>
        </row>
        <row r="58">
          <cell r="A58" t="str">
            <v>D3-5|14#</v>
          </cell>
          <cell r="B58" t="str">
            <v>D3-5</v>
          </cell>
          <cell r="C58" t="str">
            <v>14#</v>
          </cell>
          <cell r="D58">
            <v>15.815000000000001</v>
          </cell>
          <cell r="E58">
            <v>10</v>
          </cell>
          <cell r="F58" t="str">
            <v>——</v>
          </cell>
          <cell r="G58" t="str">
            <v>D3测试数据.xlsx</v>
          </cell>
        </row>
        <row r="59">
          <cell r="A59" t="str">
            <v>D3-6|14#</v>
          </cell>
          <cell r="B59" t="str">
            <v>D3-6</v>
          </cell>
          <cell r="C59" t="str">
            <v>14#</v>
          </cell>
          <cell r="D59">
            <v>19.88</v>
          </cell>
          <cell r="E59">
            <v>114</v>
          </cell>
          <cell r="F59" t="str">
            <v>——</v>
          </cell>
          <cell r="G59" t="str">
            <v>D3测试数据.xlsx</v>
          </cell>
        </row>
        <row r="60">
          <cell r="A60" t="str">
            <v>D3-7|14#</v>
          </cell>
          <cell r="B60" t="str">
            <v>D3-7</v>
          </cell>
          <cell r="C60" t="str">
            <v>14#</v>
          </cell>
          <cell r="D60">
            <v>15.055</v>
          </cell>
          <cell r="E60">
            <v>12</v>
          </cell>
          <cell r="F60" t="str">
            <v>——</v>
          </cell>
          <cell r="G60" t="str">
            <v>D3测试数据.xlsx</v>
          </cell>
        </row>
        <row r="61">
          <cell r="A61" t="str">
            <v>D3-8|14#</v>
          </cell>
          <cell r="B61" t="str">
            <v>D3-8</v>
          </cell>
          <cell r="C61" t="str">
            <v>14#</v>
          </cell>
          <cell r="D61">
            <v>14.8</v>
          </cell>
          <cell r="E61">
            <v>70</v>
          </cell>
          <cell r="F61" t="str">
            <v>——</v>
          </cell>
          <cell r="G61" t="str">
            <v>D3测试数据.xlsx</v>
          </cell>
        </row>
        <row r="62">
          <cell r="A62" t="str">
            <v>D3-9|14#</v>
          </cell>
          <cell r="B62" t="str">
            <v>D3-9</v>
          </cell>
          <cell r="C62" t="str">
            <v>14#</v>
          </cell>
          <cell r="D62">
            <v>18.05</v>
          </cell>
          <cell r="E62">
            <v>67</v>
          </cell>
          <cell r="F62" t="str">
            <v>——</v>
          </cell>
          <cell r="G62" t="str">
            <v>D3测试数据.xlsx</v>
          </cell>
        </row>
        <row r="63">
          <cell r="A63" t="str">
            <v>D3-10|14#</v>
          </cell>
          <cell r="B63" t="str">
            <v>D3-10</v>
          </cell>
          <cell r="C63" t="str">
            <v>14#</v>
          </cell>
          <cell r="D63">
            <v>21.4</v>
          </cell>
          <cell r="E63">
            <v>177</v>
          </cell>
          <cell r="F63" t="str">
            <v>——</v>
          </cell>
          <cell r="G63" t="str">
            <v>D3测试数据.xlsx</v>
          </cell>
        </row>
        <row r="64">
          <cell r="A64" t="str">
            <v>D3-11|14#</v>
          </cell>
          <cell r="B64" t="str">
            <v>D3-11</v>
          </cell>
          <cell r="C64" t="str">
            <v>14#</v>
          </cell>
          <cell r="D64">
            <v>17.549999999999997</v>
          </cell>
          <cell r="E64">
            <v>123</v>
          </cell>
          <cell r="F64" t="str">
            <v>——</v>
          </cell>
          <cell r="G64" t="str">
            <v>D3测试数据.xlsx</v>
          </cell>
        </row>
        <row r="65">
          <cell r="A65" t="str">
            <v>D3-12|14#</v>
          </cell>
          <cell r="B65" t="str">
            <v>D3-12</v>
          </cell>
          <cell r="C65" t="str">
            <v>14#</v>
          </cell>
          <cell r="D65">
            <v>25.774999999999999</v>
          </cell>
          <cell r="E65">
            <v>300</v>
          </cell>
          <cell r="F65" t="str">
            <v>——</v>
          </cell>
          <cell r="G65" t="str">
            <v>D3测试数据.xlsx</v>
          </cell>
        </row>
        <row r="66">
          <cell r="A66" t="str">
            <v>D3-13|14#</v>
          </cell>
          <cell r="B66" t="str">
            <v>D3-13</v>
          </cell>
          <cell r="C66" t="str">
            <v>14#</v>
          </cell>
          <cell r="D66">
            <v>19.04</v>
          </cell>
          <cell r="E66">
            <v>92</v>
          </cell>
          <cell r="F66" t="str">
            <v>——</v>
          </cell>
          <cell r="G66" t="str">
            <v>D3测试数据.xlsx</v>
          </cell>
        </row>
        <row r="67">
          <cell r="A67" t="str">
            <v>D3-14|14#</v>
          </cell>
          <cell r="B67" t="str">
            <v>D3-14</v>
          </cell>
          <cell r="C67" t="str">
            <v>14#</v>
          </cell>
          <cell r="D67">
            <v>22.27</v>
          </cell>
          <cell r="E67">
            <v>300</v>
          </cell>
          <cell r="F67" t="str">
            <v>——</v>
          </cell>
          <cell r="G67" t="str">
            <v>D3测试数据.xlsx</v>
          </cell>
        </row>
        <row r="68">
          <cell r="A68" t="str">
            <v>D3-15|14#</v>
          </cell>
          <cell r="B68" t="str">
            <v>D3-15</v>
          </cell>
          <cell r="C68" t="str">
            <v>14#</v>
          </cell>
          <cell r="D68">
            <v>22.75</v>
          </cell>
          <cell r="E68">
            <v>300</v>
          </cell>
          <cell r="F68" t="str">
            <v>——</v>
          </cell>
          <cell r="G68" t="str">
            <v>D3测试数据.xlsx</v>
          </cell>
        </row>
        <row r="69">
          <cell r="A69" t="str">
            <v>D3-16|14#</v>
          </cell>
          <cell r="B69" t="str">
            <v>D3-16</v>
          </cell>
          <cell r="C69" t="str">
            <v>14#</v>
          </cell>
          <cell r="D69">
            <v>22.695</v>
          </cell>
          <cell r="E69">
            <v>300</v>
          </cell>
          <cell r="F69" t="str">
            <v>——</v>
          </cell>
          <cell r="G69" t="str">
            <v>D3测试数据.xlsx</v>
          </cell>
        </row>
        <row r="70">
          <cell r="A70" t="str">
            <v>D3-17|14#</v>
          </cell>
          <cell r="B70" t="str">
            <v>D3-17</v>
          </cell>
          <cell r="C70" t="str">
            <v>14#</v>
          </cell>
          <cell r="D70">
            <v>20.895</v>
          </cell>
          <cell r="E70">
            <v>135</v>
          </cell>
          <cell r="F70" t="str">
            <v>——</v>
          </cell>
          <cell r="G70" t="str">
            <v>D3测试数据.xlsx</v>
          </cell>
        </row>
        <row r="71">
          <cell r="A71" t="str">
            <v>D3-18|14#</v>
          </cell>
          <cell r="B71" t="str">
            <v>D3-18</v>
          </cell>
          <cell r="C71" t="str">
            <v>14#</v>
          </cell>
          <cell r="D71">
            <v>23.615000000000002</v>
          </cell>
          <cell r="E71">
            <v>300</v>
          </cell>
          <cell r="F71" t="str">
            <v>——</v>
          </cell>
          <cell r="G71" t="str">
            <v>D3测试数据.xlsx</v>
          </cell>
        </row>
        <row r="72">
          <cell r="A72" t="str">
            <v>D3-19|14#</v>
          </cell>
          <cell r="B72" t="str">
            <v>D3-19</v>
          </cell>
          <cell r="C72" t="str">
            <v>14#</v>
          </cell>
          <cell r="D72">
            <v>17.29</v>
          </cell>
          <cell r="E72">
            <v>62</v>
          </cell>
          <cell r="F72" t="str">
            <v>——</v>
          </cell>
          <cell r="G72" t="str">
            <v>D3测试数据.xlsx</v>
          </cell>
        </row>
        <row r="73">
          <cell r="A73" t="str">
            <v>D3-20|14#</v>
          </cell>
          <cell r="B73" t="str">
            <v>D3-20</v>
          </cell>
          <cell r="C73" t="str">
            <v>14#</v>
          </cell>
          <cell r="D73">
            <v>21.009999999999998</v>
          </cell>
          <cell r="E73">
            <v>300</v>
          </cell>
          <cell r="F73" t="str">
            <v>——</v>
          </cell>
          <cell r="G73" t="str">
            <v>D3测试数据.xlsx</v>
          </cell>
        </row>
        <row r="74">
          <cell r="A74" t="str">
            <v>D3-21|14#</v>
          </cell>
          <cell r="B74" t="str">
            <v>D3-21</v>
          </cell>
          <cell r="C74" t="str">
            <v>14#</v>
          </cell>
          <cell r="D74">
            <v>20.145</v>
          </cell>
          <cell r="E74">
            <v>129</v>
          </cell>
          <cell r="F74" t="str">
            <v>——</v>
          </cell>
          <cell r="G74" t="str">
            <v>D3测试数据.xlsx</v>
          </cell>
        </row>
        <row r="75">
          <cell r="A75" t="str">
            <v>D3-22|14#</v>
          </cell>
          <cell r="B75" t="str">
            <v>D3-22</v>
          </cell>
          <cell r="C75" t="str">
            <v>14#</v>
          </cell>
          <cell r="D75">
            <v>20.085000000000001</v>
          </cell>
          <cell r="E75">
            <v>15</v>
          </cell>
          <cell r="F75" t="str">
            <v>——</v>
          </cell>
          <cell r="G75" t="str">
            <v>D3测试数据.xlsx</v>
          </cell>
        </row>
        <row r="76">
          <cell r="A76" t="str">
            <v>D3-23|14#</v>
          </cell>
          <cell r="B76" t="str">
            <v>D3-23</v>
          </cell>
          <cell r="C76" t="str">
            <v>14#</v>
          </cell>
          <cell r="D76">
            <v>19.645000000000003</v>
          </cell>
          <cell r="E76">
            <v>300</v>
          </cell>
          <cell r="F76" t="str">
            <v>——</v>
          </cell>
          <cell r="G76" t="str">
            <v>D3测试数据.xlsx</v>
          </cell>
        </row>
        <row r="77">
          <cell r="A77" t="str">
            <v>D3-24|14#</v>
          </cell>
          <cell r="B77" t="str">
            <v>D3-24</v>
          </cell>
          <cell r="C77" t="str">
            <v>14#</v>
          </cell>
          <cell r="D77">
            <v>18.84</v>
          </cell>
          <cell r="E77">
            <v>34</v>
          </cell>
          <cell r="F77" t="str">
            <v>——</v>
          </cell>
          <cell r="G77" t="str">
            <v>D3测试数据.xlsx</v>
          </cell>
        </row>
        <row r="78">
          <cell r="A78" t="str">
            <v>D3-24|10#</v>
          </cell>
          <cell r="B78" t="str">
            <v>D3-24</v>
          </cell>
          <cell r="C78" t="str">
            <v>10#</v>
          </cell>
          <cell r="D78">
            <v>19.559999999999999</v>
          </cell>
          <cell r="E78">
            <v>67</v>
          </cell>
          <cell r="F78" t="str">
            <v>——</v>
          </cell>
          <cell r="G78" t="str">
            <v>D3测试数据.xlsx</v>
          </cell>
        </row>
        <row r="79">
          <cell r="A79" t="str">
            <v>D3-24|18#</v>
          </cell>
          <cell r="B79" t="str">
            <v>D3-24</v>
          </cell>
          <cell r="C79" t="str">
            <v>18#</v>
          </cell>
          <cell r="D79">
            <v>17.27</v>
          </cell>
          <cell r="E79">
            <v>26</v>
          </cell>
          <cell r="F79" t="str">
            <v>——</v>
          </cell>
          <cell r="G79" t="str">
            <v>D3测试数据.xlsx</v>
          </cell>
        </row>
        <row r="80">
          <cell r="A80" t="str">
            <v>D4-1|14#</v>
          </cell>
          <cell r="B80" t="str">
            <v>D4-1</v>
          </cell>
          <cell r="C80" t="str">
            <v>14#</v>
          </cell>
          <cell r="D80">
            <v>21.765000000000001</v>
          </cell>
          <cell r="E80">
            <v>300</v>
          </cell>
          <cell r="F80" t="str">
            <v>——</v>
          </cell>
          <cell r="G80" t="str">
            <v>D4测试数据.xlsx</v>
          </cell>
        </row>
        <row r="81">
          <cell r="A81" t="str">
            <v>D4-2|14#</v>
          </cell>
          <cell r="B81" t="str">
            <v>D4-2</v>
          </cell>
          <cell r="C81" t="str">
            <v>14#</v>
          </cell>
          <cell r="D81">
            <v>17.079999999999998</v>
          </cell>
          <cell r="E81">
            <v>115</v>
          </cell>
          <cell r="F81" t="str">
            <v>——</v>
          </cell>
          <cell r="G81" t="str">
            <v>D4测试数据.xlsx</v>
          </cell>
        </row>
        <row r="82">
          <cell r="A82" t="str">
            <v>D4-3|14#</v>
          </cell>
          <cell r="B82" t="str">
            <v>D4-3</v>
          </cell>
          <cell r="C82" t="str">
            <v>14#</v>
          </cell>
          <cell r="D82">
            <v>17.75</v>
          </cell>
          <cell r="E82">
            <v>89</v>
          </cell>
          <cell r="F82" t="str">
            <v>——</v>
          </cell>
          <cell r="G82" t="str">
            <v>D4测试数据.xlsx</v>
          </cell>
        </row>
        <row r="83">
          <cell r="A83" t="str">
            <v>D4-4|14#</v>
          </cell>
          <cell r="B83" t="str">
            <v>D4-4</v>
          </cell>
          <cell r="C83" t="str">
            <v>14#</v>
          </cell>
          <cell r="D83">
            <v>20.45</v>
          </cell>
          <cell r="E83">
            <v>131</v>
          </cell>
          <cell r="F83" t="str">
            <v>——</v>
          </cell>
          <cell r="G83" t="str">
            <v>D4测试数据.xlsx</v>
          </cell>
        </row>
        <row r="84">
          <cell r="A84" t="str">
            <v>D4-5|14#</v>
          </cell>
          <cell r="B84" t="str">
            <v>D4-5</v>
          </cell>
          <cell r="C84" t="str">
            <v>14#</v>
          </cell>
          <cell r="D84">
            <v>17.16</v>
          </cell>
          <cell r="E84">
            <v>86</v>
          </cell>
          <cell r="F84" t="str">
            <v>——</v>
          </cell>
          <cell r="G84" t="str">
            <v>D4测试数据.xlsx</v>
          </cell>
        </row>
        <row r="85">
          <cell r="A85" t="str">
            <v>D4-6|14#</v>
          </cell>
          <cell r="B85" t="str">
            <v>D4-6</v>
          </cell>
          <cell r="C85" t="str">
            <v>14#</v>
          </cell>
          <cell r="D85">
            <v>18.02</v>
          </cell>
          <cell r="E85">
            <v>300</v>
          </cell>
          <cell r="F85" t="str">
            <v>——</v>
          </cell>
          <cell r="G85" t="str">
            <v>D4测试数据.xlsx</v>
          </cell>
        </row>
        <row r="86">
          <cell r="A86" t="str">
            <v>D4-7|14#</v>
          </cell>
          <cell r="B86" t="str">
            <v>D4-7</v>
          </cell>
          <cell r="C86" t="str">
            <v>14#</v>
          </cell>
          <cell r="D86">
            <v>20.574999999999999</v>
          </cell>
          <cell r="E86">
            <v>200</v>
          </cell>
          <cell r="F86" t="str">
            <v>——</v>
          </cell>
          <cell r="G86" t="str">
            <v>D4测试数据.xlsx</v>
          </cell>
        </row>
        <row r="87">
          <cell r="A87" t="str">
            <v>D4-8|14#</v>
          </cell>
          <cell r="B87" t="str">
            <v>D4-8</v>
          </cell>
          <cell r="C87" t="str">
            <v>14#</v>
          </cell>
          <cell r="D87">
            <v>19.924999999999997</v>
          </cell>
          <cell r="E87">
            <v>300</v>
          </cell>
          <cell r="F87" t="str">
            <v>——</v>
          </cell>
          <cell r="G87" t="str">
            <v>D4测试数据.xlsx</v>
          </cell>
        </row>
        <row r="88">
          <cell r="A88" t="str">
            <v>D4-9|14#</v>
          </cell>
          <cell r="B88" t="str">
            <v>D4-9</v>
          </cell>
          <cell r="C88" t="str">
            <v>14#</v>
          </cell>
          <cell r="D88">
            <v>21.384999999999998</v>
          </cell>
          <cell r="E88">
            <v>300</v>
          </cell>
          <cell r="F88" t="str">
            <v>——</v>
          </cell>
          <cell r="G88" t="str">
            <v>D4测试数据.xlsx</v>
          </cell>
        </row>
        <row r="89">
          <cell r="A89" t="str">
            <v>D4-10|14#</v>
          </cell>
          <cell r="B89" t="str">
            <v>D4-10</v>
          </cell>
          <cell r="C89" t="str">
            <v>14#</v>
          </cell>
          <cell r="D89">
            <v>23.189999999999998</v>
          </cell>
          <cell r="E89">
            <v>300</v>
          </cell>
          <cell r="F89" t="str">
            <v>——</v>
          </cell>
          <cell r="G89" t="str">
            <v>D4测试数据.xlsx</v>
          </cell>
        </row>
        <row r="90">
          <cell r="A90" t="str">
            <v>D4-11|14#</v>
          </cell>
          <cell r="B90" t="str">
            <v>D4-11</v>
          </cell>
          <cell r="C90" t="str">
            <v>14#</v>
          </cell>
          <cell r="D90">
            <v>16.759999999999998</v>
          </cell>
          <cell r="E90">
            <v>135</v>
          </cell>
          <cell r="F90" t="str">
            <v>——</v>
          </cell>
          <cell r="G90" t="str">
            <v>D4测试数据.xlsx</v>
          </cell>
        </row>
        <row r="91">
          <cell r="A91" t="str">
            <v>D4-12|14#</v>
          </cell>
          <cell r="B91" t="str">
            <v>D4-12</v>
          </cell>
          <cell r="C91" t="str">
            <v>14#</v>
          </cell>
          <cell r="D91">
            <v>21.64</v>
          </cell>
          <cell r="E91">
            <v>300</v>
          </cell>
          <cell r="F91" t="str">
            <v>——</v>
          </cell>
          <cell r="G91" t="str">
            <v>D4测试数据.xlsx</v>
          </cell>
        </row>
        <row r="92">
          <cell r="A92" t="str">
            <v>D4-13|14#</v>
          </cell>
          <cell r="B92" t="str">
            <v>D4-13</v>
          </cell>
          <cell r="C92" t="str">
            <v>14#</v>
          </cell>
          <cell r="D92">
            <v>17.695</v>
          </cell>
          <cell r="E92">
            <v>150</v>
          </cell>
          <cell r="F92" t="str">
            <v>——</v>
          </cell>
          <cell r="G92" t="str">
            <v>D4测试数据.xlsx</v>
          </cell>
        </row>
        <row r="93">
          <cell r="A93" t="str">
            <v>D4-14|14#</v>
          </cell>
          <cell r="B93" t="str">
            <v>D4-14</v>
          </cell>
          <cell r="C93" t="str">
            <v>14#</v>
          </cell>
          <cell r="D93">
            <v>19.155000000000001</v>
          </cell>
          <cell r="E93">
            <v>300</v>
          </cell>
          <cell r="F93" t="str">
            <v>——</v>
          </cell>
          <cell r="G93" t="str">
            <v>D4测试数据.xlsx</v>
          </cell>
        </row>
        <row r="94">
          <cell r="A94" t="str">
            <v>D4-15|14#</v>
          </cell>
          <cell r="B94" t="str">
            <v>D4-15</v>
          </cell>
          <cell r="C94" t="str">
            <v>14#</v>
          </cell>
          <cell r="D94">
            <v>17.420000000000002</v>
          </cell>
          <cell r="E94">
            <v>81</v>
          </cell>
          <cell r="F94" t="str">
            <v>——</v>
          </cell>
          <cell r="G94" t="str">
            <v>D4测试数据.xlsx</v>
          </cell>
        </row>
        <row r="95">
          <cell r="A95" t="str">
            <v>D4-16|14#</v>
          </cell>
          <cell r="B95" t="str">
            <v>D4-16</v>
          </cell>
          <cell r="C95" t="str">
            <v>14#</v>
          </cell>
          <cell r="D95">
            <v>18.045000000000002</v>
          </cell>
          <cell r="E95">
            <v>48</v>
          </cell>
          <cell r="F95" t="str">
            <v>——</v>
          </cell>
          <cell r="G95" t="str">
            <v>D4测试数据.xlsx</v>
          </cell>
        </row>
        <row r="96">
          <cell r="A96" t="str">
            <v>C4-1|14#</v>
          </cell>
          <cell r="B96" t="str">
            <v>C4-1</v>
          </cell>
          <cell r="C96" t="str">
            <v>14#</v>
          </cell>
          <cell r="D96">
            <v>18.61</v>
          </cell>
          <cell r="E96">
            <v>128</v>
          </cell>
          <cell r="F96" t="str">
            <v>——</v>
          </cell>
          <cell r="G96" t="str">
            <v>D4测试数据.xlsx</v>
          </cell>
        </row>
        <row r="97">
          <cell r="A97" t="str">
            <v>C4-2|14#</v>
          </cell>
          <cell r="B97" t="str">
            <v>C4-2</v>
          </cell>
          <cell r="C97" t="str">
            <v>14#</v>
          </cell>
          <cell r="D97">
            <v>17.96</v>
          </cell>
          <cell r="E97">
            <v>92</v>
          </cell>
          <cell r="F97" t="str">
            <v>——</v>
          </cell>
          <cell r="G97" t="str">
            <v>D4测试数据.xlsx</v>
          </cell>
        </row>
        <row r="98">
          <cell r="A98" t="str">
            <v>C4-3|14#</v>
          </cell>
          <cell r="B98" t="str">
            <v>C4-3</v>
          </cell>
          <cell r="C98" t="str">
            <v>14#</v>
          </cell>
          <cell r="D98">
            <v>20.015000000000001</v>
          </cell>
          <cell r="E98">
            <v>98</v>
          </cell>
          <cell r="F98" t="str">
            <v>——</v>
          </cell>
          <cell r="G98" t="str">
            <v>D4测试数据.xlsx</v>
          </cell>
        </row>
        <row r="99">
          <cell r="A99" t="str">
            <v>C4-4|14#</v>
          </cell>
          <cell r="B99" t="str">
            <v>C4-4</v>
          </cell>
          <cell r="C99" t="str">
            <v>14#</v>
          </cell>
          <cell r="D99">
            <v>19.799999999999997</v>
          </cell>
          <cell r="E99">
            <v>107</v>
          </cell>
          <cell r="F99" t="str">
            <v>——</v>
          </cell>
          <cell r="G99" t="str">
            <v>D4测试数据.xlsx</v>
          </cell>
        </row>
        <row r="100">
          <cell r="A100" t="str">
            <v>C4-5|14#</v>
          </cell>
          <cell r="B100" t="str">
            <v>C4-5</v>
          </cell>
          <cell r="C100" t="str">
            <v>14#</v>
          </cell>
          <cell r="D100">
            <v>18.675000000000001</v>
          </cell>
          <cell r="E100">
            <v>200</v>
          </cell>
          <cell r="F100" t="str">
            <v>——</v>
          </cell>
          <cell r="G100" t="str">
            <v>D4测试数据.xlsx</v>
          </cell>
        </row>
        <row r="101">
          <cell r="A101" t="str">
            <v>C4-6|14#</v>
          </cell>
          <cell r="B101" t="str">
            <v>C4-6</v>
          </cell>
          <cell r="C101" t="str">
            <v>14#</v>
          </cell>
          <cell r="D101">
            <v>20.645000000000003</v>
          </cell>
          <cell r="E101">
            <v>300</v>
          </cell>
          <cell r="F101" t="str">
            <v>——</v>
          </cell>
          <cell r="G101" t="str">
            <v>D4测试数据.xlsx</v>
          </cell>
        </row>
        <row r="102">
          <cell r="A102" t="str">
            <v>C4-7|14#</v>
          </cell>
          <cell r="B102" t="str">
            <v>C4-7</v>
          </cell>
          <cell r="C102" t="str">
            <v>14#</v>
          </cell>
          <cell r="D102">
            <v>19.27</v>
          </cell>
          <cell r="E102">
            <v>300</v>
          </cell>
          <cell r="F102" t="str">
            <v>——</v>
          </cell>
          <cell r="G102" t="str">
            <v>D4测试数据.xlsx</v>
          </cell>
        </row>
        <row r="103">
          <cell r="A103" t="str">
            <v>C4-8|14#</v>
          </cell>
          <cell r="B103" t="str">
            <v>C4-8</v>
          </cell>
          <cell r="C103" t="str">
            <v>14#</v>
          </cell>
          <cell r="D103">
            <v>20.28</v>
          </cell>
          <cell r="E103">
            <v>300</v>
          </cell>
          <cell r="F103" t="str">
            <v>——</v>
          </cell>
          <cell r="G103" t="str">
            <v>D4测试数据.xlsx</v>
          </cell>
        </row>
        <row r="104">
          <cell r="A104" t="str">
            <v>C4-8|10#</v>
          </cell>
          <cell r="B104" t="str">
            <v>C4-8</v>
          </cell>
          <cell r="C104" t="str">
            <v>10#</v>
          </cell>
          <cell r="D104">
            <v>22.536666666666665</v>
          </cell>
          <cell r="E104">
            <v>300</v>
          </cell>
          <cell r="F104" t="str">
            <v>——</v>
          </cell>
          <cell r="G104" t="str">
            <v>D4测试数据.xlsx</v>
          </cell>
        </row>
        <row r="105">
          <cell r="A105" t="str">
            <v>C4-8|18#</v>
          </cell>
          <cell r="B105" t="str">
            <v>C4-8</v>
          </cell>
          <cell r="C105" t="str">
            <v>18#</v>
          </cell>
          <cell r="D105">
            <v>22.483333333333334</v>
          </cell>
          <cell r="E105">
            <v>300</v>
          </cell>
          <cell r="F105" t="str">
            <v>——</v>
          </cell>
          <cell r="G105" t="str">
            <v>D4测试数据.xlsx</v>
          </cell>
        </row>
        <row r="106">
          <cell r="A106" t="str">
            <v>D5-1|14#</v>
          </cell>
          <cell r="B106" t="str">
            <v>D5-1</v>
          </cell>
          <cell r="C106" t="str">
            <v>14#</v>
          </cell>
          <cell r="D106">
            <v>17.619999999999997</v>
          </cell>
          <cell r="E106">
            <v>90</v>
          </cell>
          <cell r="F106" t="str">
            <v>——</v>
          </cell>
          <cell r="G106" t="str">
            <v>D5测试数据.xlsx</v>
          </cell>
        </row>
        <row r="107">
          <cell r="A107" t="str">
            <v>D5-2|14#</v>
          </cell>
          <cell r="B107" t="str">
            <v>D5-2</v>
          </cell>
          <cell r="C107" t="str">
            <v>14#</v>
          </cell>
          <cell r="D107">
            <v>16.579999999999998</v>
          </cell>
          <cell r="E107">
            <v>101</v>
          </cell>
          <cell r="F107" t="str">
            <v>——</v>
          </cell>
          <cell r="G107" t="str">
            <v>D5测试数据.xlsx</v>
          </cell>
        </row>
        <row r="108">
          <cell r="A108" t="str">
            <v>D5-3|14#</v>
          </cell>
          <cell r="B108" t="str">
            <v>D5-3</v>
          </cell>
          <cell r="C108" t="str">
            <v>14#</v>
          </cell>
          <cell r="D108">
            <v>16.704999999999998</v>
          </cell>
          <cell r="E108">
            <v>55</v>
          </cell>
          <cell r="F108" t="str">
            <v>——</v>
          </cell>
          <cell r="G108" t="str">
            <v>D5测试数据.xlsx</v>
          </cell>
        </row>
        <row r="109">
          <cell r="A109" t="str">
            <v>D5-4|14#</v>
          </cell>
          <cell r="B109" t="str">
            <v>D5-4</v>
          </cell>
          <cell r="C109" t="str">
            <v>14#</v>
          </cell>
          <cell r="D109">
            <v>17.64</v>
          </cell>
          <cell r="E109">
            <v>35</v>
          </cell>
          <cell r="F109" t="str">
            <v>——</v>
          </cell>
          <cell r="G109" t="str">
            <v>D5测试数据.xlsx</v>
          </cell>
        </row>
        <row r="110">
          <cell r="A110" t="str">
            <v>D5-5|14#</v>
          </cell>
          <cell r="B110" t="str">
            <v>D5-5</v>
          </cell>
          <cell r="C110" t="str">
            <v>14#</v>
          </cell>
          <cell r="D110">
            <v>19.170000000000002</v>
          </cell>
          <cell r="E110">
            <v>175</v>
          </cell>
          <cell r="F110" t="str">
            <v>——</v>
          </cell>
          <cell r="G110" t="str">
            <v>D5测试数据.xlsx</v>
          </cell>
        </row>
        <row r="111">
          <cell r="A111" t="str">
            <v>D5-6|14#</v>
          </cell>
          <cell r="B111" t="str">
            <v>D5-6</v>
          </cell>
          <cell r="C111" t="str">
            <v>14#</v>
          </cell>
          <cell r="D111">
            <v>18.87</v>
          </cell>
          <cell r="E111">
            <v>300</v>
          </cell>
          <cell r="F111" t="str">
            <v>——</v>
          </cell>
          <cell r="G111" t="str">
            <v>D5测试数据.xlsx</v>
          </cell>
        </row>
        <row r="112">
          <cell r="A112" t="str">
            <v>D5-7|14#</v>
          </cell>
          <cell r="B112" t="str">
            <v>D5-7</v>
          </cell>
          <cell r="C112" t="str">
            <v>14#</v>
          </cell>
          <cell r="D112">
            <v>19.02</v>
          </cell>
          <cell r="E112">
            <v>175</v>
          </cell>
          <cell r="F112" t="str">
            <v>——</v>
          </cell>
          <cell r="G112" t="str">
            <v>D5测试数据.xlsx</v>
          </cell>
        </row>
        <row r="113">
          <cell r="A113" t="str">
            <v>D5-8|14#</v>
          </cell>
          <cell r="B113" t="str">
            <v>D5-8</v>
          </cell>
          <cell r="C113" t="str">
            <v>14#</v>
          </cell>
          <cell r="D113">
            <v>17.630000000000003</v>
          </cell>
          <cell r="E113">
            <v>45</v>
          </cell>
          <cell r="F113" t="str">
            <v>——</v>
          </cell>
          <cell r="G113" t="str">
            <v>D5测试数据.xlsx</v>
          </cell>
        </row>
        <row r="114">
          <cell r="A114" t="str">
            <v>C5-1|14#</v>
          </cell>
          <cell r="B114" t="str">
            <v>C5-1</v>
          </cell>
          <cell r="C114" t="str">
            <v>14#</v>
          </cell>
          <cell r="D114">
            <v>17.545000000000002</v>
          </cell>
          <cell r="E114">
            <v>78</v>
          </cell>
          <cell r="F114" t="str">
            <v>——</v>
          </cell>
          <cell r="G114" t="str">
            <v>D5测试数据.xlsx</v>
          </cell>
        </row>
        <row r="115">
          <cell r="A115" t="str">
            <v>C5-2|14#</v>
          </cell>
          <cell r="B115" t="str">
            <v>C5-2</v>
          </cell>
          <cell r="C115" t="str">
            <v>14#</v>
          </cell>
          <cell r="D115">
            <v>17.925000000000001</v>
          </cell>
          <cell r="E115">
            <v>94</v>
          </cell>
          <cell r="F115" t="str">
            <v>——</v>
          </cell>
          <cell r="G115" t="str">
            <v>D5测试数据.xlsx</v>
          </cell>
        </row>
        <row r="116">
          <cell r="A116" t="str">
            <v>C5-3|14#</v>
          </cell>
          <cell r="B116" t="str">
            <v>C5-3</v>
          </cell>
          <cell r="C116" t="str">
            <v>14#</v>
          </cell>
          <cell r="D116">
            <v>18</v>
          </cell>
          <cell r="E116">
            <v>150</v>
          </cell>
          <cell r="F116" t="str">
            <v>——</v>
          </cell>
          <cell r="G116" t="str">
            <v>D5测试数据.xlsx</v>
          </cell>
        </row>
        <row r="117">
          <cell r="A117" t="str">
            <v>C5-4|14#</v>
          </cell>
          <cell r="B117" t="str">
            <v>C5-4</v>
          </cell>
          <cell r="C117" t="str">
            <v>14#</v>
          </cell>
          <cell r="D117">
            <v>17.725000000000001</v>
          </cell>
          <cell r="E117">
            <v>64</v>
          </cell>
          <cell r="F117" t="str">
            <v>——</v>
          </cell>
          <cell r="G117" t="str">
            <v>D5测试数据.xlsx</v>
          </cell>
        </row>
        <row r="118">
          <cell r="A118" t="str">
            <v>C5-5|14#</v>
          </cell>
          <cell r="B118" t="str">
            <v>C5-5</v>
          </cell>
          <cell r="C118" t="str">
            <v>14#</v>
          </cell>
          <cell r="D118">
            <v>21.594999999999999</v>
          </cell>
          <cell r="E118">
            <v>57</v>
          </cell>
          <cell r="F118" t="str">
            <v>——</v>
          </cell>
          <cell r="G118" t="str">
            <v>D5测试数据.xlsx</v>
          </cell>
        </row>
        <row r="119">
          <cell r="A119" t="str">
            <v>C5-6|14#</v>
          </cell>
          <cell r="B119" t="str">
            <v>C5-6</v>
          </cell>
          <cell r="C119" t="str">
            <v>14#</v>
          </cell>
          <cell r="D119">
            <v>18.454999999999998</v>
          </cell>
          <cell r="E119">
            <v>62</v>
          </cell>
          <cell r="F119" t="str">
            <v>——</v>
          </cell>
          <cell r="G119" t="str">
            <v>D5测试数据.xlsx</v>
          </cell>
        </row>
        <row r="120">
          <cell r="A120" t="str">
            <v>C5-7|14#</v>
          </cell>
          <cell r="B120" t="str">
            <v>C5-7</v>
          </cell>
          <cell r="C120" t="str">
            <v>14#</v>
          </cell>
          <cell r="D120">
            <v>18.524999999999999</v>
          </cell>
          <cell r="E120">
            <v>35</v>
          </cell>
          <cell r="F120" t="str">
            <v>——</v>
          </cell>
          <cell r="G120" t="str">
            <v>D5测试数据.xlsx</v>
          </cell>
        </row>
        <row r="121">
          <cell r="A121" t="str">
            <v>C5-8|14#</v>
          </cell>
          <cell r="B121" t="str">
            <v>C5-8</v>
          </cell>
          <cell r="C121" t="str">
            <v>14#</v>
          </cell>
          <cell r="D121">
            <v>17.21</v>
          </cell>
          <cell r="E121">
            <v>65</v>
          </cell>
          <cell r="F121" t="str">
            <v>——</v>
          </cell>
          <cell r="G121" t="str">
            <v>D5测试数据.xlsx</v>
          </cell>
        </row>
        <row r="122">
          <cell r="A122" t="str">
            <v>C5-9|14#</v>
          </cell>
          <cell r="B122" t="str">
            <v>C5-9</v>
          </cell>
          <cell r="C122" t="str">
            <v>14#</v>
          </cell>
          <cell r="D122">
            <v>17.174999999999997</v>
          </cell>
          <cell r="E122">
            <v>45</v>
          </cell>
          <cell r="F122" t="str">
            <v>——</v>
          </cell>
          <cell r="G122" t="str">
            <v>D5测试数据.xlsx</v>
          </cell>
        </row>
        <row r="123">
          <cell r="A123" t="str">
            <v>C5-10|14#</v>
          </cell>
          <cell r="B123" t="str">
            <v>C5-10</v>
          </cell>
          <cell r="C123" t="str">
            <v>14#</v>
          </cell>
          <cell r="D123">
            <v>19.009999999999998</v>
          </cell>
          <cell r="E123">
            <v>60</v>
          </cell>
          <cell r="F123" t="str">
            <v>——</v>
          </cell>
          <cell r="G123" t="str">
            <v>D5测试数据.xlsx</v>
          </cell>
        </row>
        <row r="124">
          <cell r="A124" t="str">
            <v>C5-11|14#</v>
          </cell>
          <cell r="B124" t="str">
            <v>C5-11</v>
          </cell>
          <cell r="C124" t="str">
            <v>14#</v>
          </cell>
          <cell r="D124">
            <v>16.664999999999999</v>
          </cell>
          <cell r="E124">
            <v>47</v>
          </cell>
          <cell r="F124" t="str">
            <v>——</v>
          </cell>
          <cell r="G124" t="str">
            <v>D5测试数据.xlsx</v>
          </cell>
        </row>
        <row r="125">
          <cell r="A125" t="str">
            <v>C5-12|14#</v>
          </cell>
          <cell r="B125" t="str">
            <v>C5-12</v>
          </cell>
          <cell r="C125" t="str">
            <v>14#</v>
          </cell>
          <cell r="D125">
            <v>18.524999999999999</v>
          </cell>
          <cell r="E125">
            <v>55</v>
          </cell>
          <cell r="F125" t="str">
            <v>——</v>
          </cell>
          <cell r="G125" t="str">
            <v>D5测试数据.xlsx</v>
          </cell>
        </row>
        <row r="126">
          <cell r="A126" t="str">
            <v>C5-13|14#</v>
          </cell>
          <cell r="B126" t="str">
            <v>C5-13</v>
          </cell>
          <cell r="C126" t="str">
            <v>14#</v>
          </cell>
          <cell r="D126">
            <v>17.704999999999998</v>
          </cell>
          <cell r="E126">
            <v>127</v>
          </cell>
          <cell r="F126" t="str">
            <v>——</v>
          </cell>
          <cell r="G126" t="str">
            <v>D5测试数据.xlsx</v>
          </cell>
        </row>
        <row r="127">
          <cell r="A127" t="str">
            <v>C5-14|14#</v>
          </cell>
          <cell r="B127" t="str">
            <v>C5-14</v>
          </cell>
          <cell r="C127" t="str">
            <v>14#</v>
          </cell>
          <cell r="D127">
            <v>16.225000000000001</v>
          </cell>
          <cell r="E127">
            <v>135</v>
          </cell>
          <cell r="F127" t="str">
            <v>——</v>
          </cell>
          <cell r="G127" t="str">
            <v>D5测试数据.xlsx</v>
          </cell>
        </row>
        <row r="128">
          <cell r="A128" t="str">
            <v>C5-15|14#</v>
          </cell>
          <cell r="B128" t="str">
            <v>C5-15</v>
          </cell>
          <cell r="C128" t="str">
            <v>14#</v>
          </cell>
          <cell r="D128">
            <v>17.059999999999999</v>
          </cell>
          <cell r="E128">
            <v>153</v>
          </cell>
          <cell r="F128" t="str">
            <v>——</v>
          </cell>
          <cell r="G128" t="str">
            <v>D5测试数据.xlsx</v>
          </cell>
        </row>
        <row r="129">
          <cell r="A129" t="str">
            <v>C5-16|14#</v>
          </cell>
          <cell r="B129" t="str">
            <v>C5-16</v>
          </cell>
          <cell r="C129" t="str">
            <v>14#</v>
          </cell>
          <cell r="D129">
            <v>16.865000000000002</v>
          </cell>
          <cell r="E129">
            <v>90</v>
          </cell>
          <cell r="F129" t="str">
            <v>——</v>
          </cell>
          <cell r="G129" t="str">
            <v>D5测试数据.xlsx</v>
          </cell>
        </row>
        <row r="130">
          <cell r="A130" t="str">
            <v>C5-16|10#</v>
          </cell>
          <cell r="B130" t="str">
            <v>C5-16</v>
          </cell>
          <cell r="C130" t="str">
            <v>10#</v>
          </cell>
          <cell r="D130">
            <v>17.592499999999998</v>
          </cell>
          <cell r="E130">
            <v>50</v>
          </cell>
          <cell r="F130" t="str">
            <v>——</v>
          </cell>
          <cell r="G130" t="str">
            <v>D5测试数据.xlsx</v>
          </cell>
        </row>
        <row r="131">
          <cell r="A131" t="str">
            <v>C5-16|18#</v>
          </cell>
          <cell r="B131" t="str">
            <v>C5-16</v>
          </cell>
          <cell r="C131" t="str">
            <v>18#</v>
          </cell>
          <cell r="D131">
            <v>17.759999999999998</v>
          </cell>
          <cell r="E131">
            <v>60</v>
          </cell>
          <cell r="F131" t="str">
            <v>——</v>
          </cell>
          <cell r="G131" t="str">
            <v>D5测试数据.xlsx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siteCalculationDetail" displayName="CompositeCalculationDetail" ref="A1:AG67" totalsRowShown="0">
  <tableColumns count="33">
    <tableColumn id="1" xr3:uid="{00000000-0010-0000-0000-000001000000}" name="复配ID"/>
    <tableColumn id="2" xr3:uid="{00000000-0010-0000-0000-000002000000}" name="来源配方"/>
    <tableColumn id="3" xr3:uid="{00000000-0010-0000-0000-000003000000}" name="复配取样量(g)"/>
    <tableColumn id="4" xr3:uid="{00000000-0010-0000-0000-000004000000}" name="来源配方总质量(g)"/>
    <tableColumn id="5" xr3:uid="{00000000-0010-0000-0000-000005000000}" name="源IR190"/>
    <tableColumn id="6" xr3:uid="{00000000-0010-0000-0000-000006000000}" name="源RF401"/>
    <tableColumn id="7" xr3:uid="{00000000-0010-0000-0000-000007000000}" name="源RF160"/>
    <tableColumn id="8" xr3:uid="{00000000-0010-0000-0000-000008000000}" name="源IR809 55%"/>
    <tableColumn id="9" xr3:uid="{00000000-0010-0000-0000-000009000000}" name="源RF516"/>
    <tableColumn id="10" xr3:uid="{00000000-0010-0000-0000-00000A000000}" name="源RF950"/>
    <tableColumn id="11" xr3:uid="{00000000-0010-0000-0000-00000B000000}" name="源RF956"/>
    <tableColumn id="12" xr3:uid="{00000000-0010-0000-0000-00000C000000}" name="源RH601"/>
    <tableColumn id="13" xr3:uid="{00000000-0010-0000-0000-00000D000000}" name="源住友55754G"/>
    <tableColumn id="14" xr3:uid="{00000000-0010-0000-0000-00000E000000}" name="源1510蜡25%工作液"/>
    <tableColumn id="15" xr3:uid="{00000000-0010-0000-0000-00000F000000}" name="源AZ088"/>
    <tableColumn id="16" xr3:uid="{00000000-0010-0000-0000-000010000000}" name="源外加正丁醇"/>
    <tableColumn id="17" xr3:uid="{00000000-0010-0000-0000-000011000000}" name="源补加混合液"/>
    <tableColumn id="18" xr3:uid="{00000000-0010-0000-0000-000012000000}" name="源10%酸工作液"/>
    <tableColumn id="19" xr3:uid="{00000000-0010-0000-0000-000013000000}" name="贡献IR190"/>
    <tableColumn id="20" xr3:uid="{00000000-0010-0000-0000-000014000000}" name="贡献RF401"/>
    <tableColumn id="21" xr3:uid="{00000000-0010-0000-0000-000015000000}" name="贡献RF160"/>
    <tableColumn id="22" xr3:uid="{00000000-0010-0000-0000-000016000000}" name="贡献IR809 55%"/>
    <tableColumn id="23" xr3:uid="{00000000-0010-0000-0000-000017000000}" name="贡献RF516"/>
    <tableColumn id="24" xr3:uid="{00000000-0010-0000-0000-000018000000}" name="贡献RF950"/>
    <tableColumn id="25" xr3:uid="{00000000-0010-0000-0000-000019000000}" name="贡献RF956"/>
    <tableColumn id="26" xr3:uid="{00000000-0010-0000-0000-00001A000000}" name="贡献RH601"/>
    <tableColumn id="27" xr3:uid="{00000000-0010-0000-0000-00001B000000}" name="贡献住友55754G"/>
    <tableColumn id="28" xr3:uid="{00000000-0010-0000-0000-00001C000000}" name="贡献1510蜡25%工作液"/>
    <tableColumn id="29" xr3:uid="{00000000-0010-0000-0000-00001D000000}" name="贡献AZ088"/>
    <tableColumn id="30" xr3:uid="{00000000-0010-0000-0000-00001E000000}" name="贡献外加正丁醇"/>
    <tableColumn id="31" xr3:uid="{00000000-0010-0000-0000-00001F000000}" name="贡献补加混合液"/>
    <tableColumn id="32" xr3:uid="{00000000-0010-0000-0000-000020000000}" name="贡献10%酸工作液"/>
    <tableColumn id="33" xr3:uid="{00000000-0010-0000-0000-000021000000}" name="缩放系数(至IR190=66g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TestData" displayName="RawTestData" ref="A1:G131" totalsRowShown="0">
  <tableColumns count="7">
    <tableColumn id="1" xr3:uid="{00000000-0010-0000-0100-000001000000}" name="匹配键"/>
    <tableColumn id="2" xr3:uid="{00000000-0010-0000-0100-000002000000}" name="样本ID"/>
    <tableColumn id="3" xr3:uid="{00000000-0010-0000-0100-000003000000}" name="线棒号"/>
    <tableColumn id="4" xr3:uid="{00000000-0010-0000-0100-000004000000}" name="T弯平均(mm)"/>
    <tableColumn id="5" xr3:uid="{00000000-0010-0000-0100-000005000000}" name="MEK擦拭(次)"/>
    <tableColumn id="6" xr3:uid="{00000000-0010-0000-0100-000006000000}" name="水煮（等级）"/>
    <tableColumn id="7" xr3:uid="{00000000-0010-0000-0100-000007000000}" name="来源文件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6"/>
  <sheetViews>
    <sheetView tabSelected="1" topLeftCell="G161" zoomScale="85" zoomScaleNormal="85" workbookViewId="0">
      <selection activeCell="R187" sqref="R187"/>
    </sheetView>
  </sheetViews>
  <sheetFormatPr defaultRowHeight="14.5" x14ac:dyDescent="0.35"/>
  <cols>
    <col min="1" max="1" width="7" customWidth="1"/>
    <col min="2" max="2" width="12" customWidth="1"/>
    <col min="3" max="3" width="17" customWidth="1"/>
    <col min="4" max="4" width="28" customWidth="1"/>
    <col min="5" max="5" width="15" customWidth="1"/>
    <col min="6" max="6" width="17" customWidth="1"/>
    <col min="7" max="7" width="25" customWidth="1"/>
    <col min="8" max="8" width="15" customWidth="1"/>
    <col min="9" max="11" width="21" customWidth="1"/>
    <col min="12" max="12" width="16" customWidth="1"/>
    <col min="13" max="13" width="19" customWidth="1"/>
    <col min="14" max="14" width="16" customWidth="1"/>
    <col min="15" max="15" width="14" customWidth="1"/>
    <col min="16" max="16" width="40" customWidth="1"/>
    <col min="17" max="17" width="12" customWidth="1"/>
    <col min="18" max="20" width="13" customWidth="1"/>
  </cols>
  <sheetData>
    <row r="1" spans="1:20" ht="14.65" customHeight="1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2">
        <v>1</v>
      </c>
      <c r="B2" s="2" t="s">
        <v>20</v>
      </c>
      <c r="C2" s="2" t="s">
        <v>21</v>
      </c>
      <c r="D2" s="4">
        <v>66</v>
      </c>
      <c r="E2" s="4">
        <v>0</v>
      </c>
      <c r="F2" s="4">
        <v>0</v>
      </c>
      <c r="G2" s="4">
        <v>0.12</v>
      </c>
      <c r="H2" s="4">
        <v>2.64</v>
      </c>
      <c r="I2" s="4">
        <v>0</v>
      </c>
      <c r="J2" s="4">
        <v>1.53</v>
      </c>
      <c r="K2" s="4">
        <v>0</v>
      </c>
      <c r="L2" s="4">
        <v>0</v>
      </c>
      <c r="M2" s="4">
        <v>0.79</v>
      </c>
      <c r="N2" s="4">
        <v>0.06</v>
      </c>
      <c r="O2" s="4">
        <v>1.48</v>
      </c>
      <c r="P2" s="4">
        <v>1.27</v>
      </c>
      <c r="Q2" s="4">
        <v>0</v>
      </c>
      <c r="R2" s="5">
        <f>IFERROR(VLOOKUP($B2&amp;"|"&amp;$C2,测试原始数据!$A$2:$G$131,4,FALSE),"——")</f>
        <v>17.414999999999999</v>
      </c>
      <c r="S2" s="6">
        <f>IFERROR(VLOOKUP($B2&amp;"|"&amp;$C2,测试原始数据!$A$2:$G$131,5,FALSE),"——")</f>
        <v>9</v>
      </c>
      <c r="T2" s="6">
        <f>IFERROR(VLOOKUP($B2&amp;"|"&amp;$C2,[1]测试原始数据!$A$2:$G$131,6,FALSE),"——")</f>
        <v>4</v>
      </c>
    </row>
    <row r="3" spans="1:20" x14ac:dyDescent="0.35">
      <c r="A3" s="2">
        <v>2</v>
      </c>
      <c r="B3" s="2" t="s">
        <v>22</v>
      </c>
      <c r="C3" s="2" t="s">
        <v>21</v>
      </c>
      <c r="D3" s="4">
        <v>66.09</v>
      </c>
      <c r="E3" s="4">
        <v>0.96</v>
      </c>
      <c r="F3" s="4">
        <v>0</v>
      </c>
      <c r="G3" s="4">
        <v>0</v>
      </c>
      <c r="H3" s="4">
        <v>0.48</v>
      </c>
      <c r="I3" s="4">
        <v>6.29</v>
      </c>
      <c r="J3" s="4">
        <v>6.65</v>
      </c>
      <c r="K3" s="4">
        <v>0</v>
      </c>
      <c r="L3" s="4">
        <v>0.42</v>
      </c>
      <c r="M3" s="4">
        <v>2.98</v>
      </c>
      <c r="N3" s="4">
        <v>0.06</v>
      </c>
      <c r="O3" s="4">
        <v>5.49</v>
      </c>
      <c r="P3" s="4">
        <v>1.55</v>
      </c>
      <c r="Q3" s="4">
        <v>2.4</v>
      </c>
      <c r="R3" s="5">
        <f>IFERROR(VLOOKUP($B3&amp;"|"&amp;$C3,测试原始数据!$A$2:$G$131,4,FALSE),"——")</f>
        <v>19.22</v>
      </c>
      <c r="S3" s="6">
        <f>IFERROR(VLOOKUP($B3&amp;"|"&amp;$C3,测试原始数据!$A$2:$G$131,5,FALSE),"——")</f>
        <v>161</v>
      </c>
      <c r="T3" s="6">
        <f>IFERROR(VLOOKUP($B3&amp;"|"&amp;$C3,[1]测试原始数据!$A$2:$G$131,6,FALSE),"——")</f>
        <v>2</v>
      </c>
    </row>
    <row r="4" spans="1:20" x14ac:dyDescent="0.35">
      <c r="A4" s="2">
        <v>3</v>
      </c>
      <c r="B4" s="2" t="s">
        <v>23</v>
      </c>
      <c r="C4" s="2" t="s">
        <v>21</v>
      </c>
      <c r="D4" s="4">
        <v>66.08</v>
      </c>
      <c r="E4" s="4">
        <v>0</v>
      </c>
      <c r="F4" s="4">
        <v>0</v>
      </c>
      <c r="G4" s="4">
        <v>0.42</v>
      </c>
      <c r="H4" s="4">
        <v>2.64</v>
      </c>
      <c r="I4" s="4">
        <v>4.8899999999999997</v>
      </c>
      <c r="J4" s="4">
        <v>0</v>
      </c>
      <c r="K4" s="4">
        <v>0.46</v>
      </c>
      <c r="L4" s="4">
        <v>0</v>
      </c>
      <c r="M4" s="4">
        <v>2.13</v>
      </c>
      <c r="N4" s="4">
        <v>0.06</v>
      </c>
      <c r="O4" s="4">
        <v>0.08</v>
      </c>
      <c r="P4" s="4">
        <v>3.17</v>
      </c>
      <c r="Q4" s="4">
        <v>0</v>
      </c>
      <c r="R4" s="5">
        <f>IFERROR(VLOOKUP($B4&amp;"|"&amp;$C4,测试原始数据!$A$2:$G$131,4,FALSE),"——")</f>
        <v>15.69</v>
      </c>
      <c r="S4" s="6">
        <f>IFERROR(VLOOKUP($B4&amp;"|"&amp;$C4,测试原始数据!$A$2:$G$131,5,FALSE),"——")</f>
        <v>10</v>
      </c>
      <c r="T4" s="6">
        <f>IFERROR(VLOOKUP($B4&amp;"|"&amp;$C4,[1]测试原始数据!$A$2:$G$131,6,FALSE),"——")</f>
        <v>4</v>
      </c>
    </row>
    <row r="5" spans="1:20" x14ac:dyDescent="0.35">
      <c r="A5" s="2">
        <v>4</v>
      </c>
      <c r="B5" s="2" t="s">
        <v>24</v>
      </c>
      <c r="C5" s="2" t="s">
        <v>21</v>
      </c>
      <c r="D5" s="4">
        <v>66.08</v>
      </c>
      <c r="E5" s="4">
        <v>0.34</v>
      </c>
      <c r="F5" s="4">
        <v>11.73</v>
      </c>
      <c r="G5" s="4">
        <v>0</v>
      </c>
      <c r="H5" s="4">
        <v>0</v>
      </c>
      <c r="I5" s="4">
        <v>0.46</v>
      </c>
      <c r="J5" s="4">
        <v>0</v>
      </c>
      <c r="K5" s="4">
        <v>0</v>
      </c>
      <c r="L5" s="4">
        <v>0</v>
      </c>
      <c r="M5" s="4">
        <v>3</v>
      </c>
      <c r="N5" s="4">
        <v>0.06</v>
      </c>
      <c r="O5" s="4">
        <v>4.1100000000000003</v>
      </c>
      <c r="P5" s="4">
        <v>6.24</v>
      </c>
      <c r="Q5" s="4">
        <v>1.79</v>
      </c>
      <c r="R5" s="5">
        <f>IFERROR(VLOOKUP($B5&amp;"|"&amp;$C5,测试原始数据!$A$2:$G$131,4,FALSE),"——")</f>
        <v>18.05</v>
      </c>
      <c r="S5" s="6">
        <f>IFERROR(VLOOKUP($B5&amp;"|"&amp;$C5,测试原始数据!$A$2:$G$131,5,FALSE),"——")</f>
        <v>98</v>
      </c>
      <c r="T5" s="6">
        <f>IFERROR(VLOOKUP($B5&amp;"|"&amp;$C5,[1]测试原始数据!$A$2:$G$131,6,FALSE),"——")</f>
        <v>3</v>
      </c>
    </row>
    <row r="6" spans="1:20" x14ac:dyDescent="0.35">
      <c r="A6" s="2">
        <v>5</v>
      </c>
      <c r="B6" s="2" t="s">
        <v>25</v>
      </c>
      <c r="C6" s="2" t="s">
        <v>21</v>
      </c>
      <c r="D6" s="4">
        <v>66.239999999999995</v>
      </c>
      <c r="E6" s="4">
        <v>0</v>
      </c>
      <c r="F6" s="4">
        <v>1.02</v>
      </c>
      <c r="G6" s="4">
        <v>0.51</v>
      </c>
      <c r="H6" s="4">
        <v>6.18</v>
      </c>
      <c r="I6" s="4">
        <v>3.17</v>
      </c>
      <c r="J6" s="4">
        <v>6.81</v>
      </c>
      <c r="K6" s="4">
        <v>3.16</v>
      </c>
      <c r="L6" s="4">
        <v>1.18</v>
      </c>
      <c r="M6" s="4">
        <v>3.6</v>
      </c>
      <c r="N6" s="4">
        <v>0.06</v>
      </c>
      <c r="O6" s="4">
        <v>7.69</v>
      </c>
      <c r="P6" s="4">
        <v>6.52</v>
      </c>
      <c r="Q6" s="4">
        <v>2.57</v>
      </c>
      <c r="R6" s="5">
        <f>IFERROR(VLOOKUP($B6&amp;"|"&amp;$C6,测试原始数据!$A$2:$G$131,4,FALSE),"——")</f>
        <v>20.8</v>
      </c>
      <c r="S6" s="6" t="str">
        <f>IFERROR(VLOOKUP($B6&amp;"|"&amp;$C6,测试原始数据!$A$2:$G$131,5,FALSE),"——")</f>
        <v>300+</v>
      </c>
      <c r="T6" s="6">
        <f>IFERROR(VLOOKUP($B6&amp;"|"&amp;$C6,[1]测试原始数据!$A$2:$G$131,6,FALSE),"——")</f>
        <v>3</v>
      </c>
    </row>
    <row r="7" spans="1:20" x14ac:dyDescent="0.35">
      <c r="A7" s="2">
        <v>6</v>
      </c>
      <c r="B7" s="2" t="s">
        <v>26</v>
      </c>
      <c r="C7" s="2" t="s">
        <v>21</v>
      </c>
      <c r="D7" s="4">
        <v>66.05</v>
      </c>
      <c r="E7" s="4">
        <v>0</v>
      </c>
      <c r="F7" s="4">
        <v>1.18</v>
      </c>
      <c r="G7" s="4">
        <v>0.5</v>
      </c>
      <c r="H7" s="4">
        <v>0</v>
      </c>
      <c r="I7" s="4">
        <v>0.23</v>
      </c>
      <c r="J7" s="4">
        <v>3.98</v>
      </c>
      <c r="K7" s="4">
        <v>2.25</v>
      </c>
      <c r="L7" s="4">
        <v>0</v>
      </c>
      <c r="M7" s="4">
        <v>0.78</v>
      </c>
      <c r="N7" s="4">
        <v>0.06</v>
      </c>
      <c r="O7" s="4">
        <v>0.38</v>
      </c>
      <c r="P7" s="4">
        <v>5.86</v>
      </c>
      <c r="Q7" s="4">
        <v>0.32</v>
      </c>
      <c r="R7" s="5">
        <f>IFERROR(VLOOKUP($B7&amp;"|"&amp;$C7,测试原始数据!$A$2:$G$131,4,FALSE),"——")</f>
        <v>14.364999999999998</v>
      </c>
      <c r="S7" s="6">
        <f>IFERROR(VLOOKUP($B7&amp;"|"&amp;$C7,测试原始数据!$A$2:$G$131,5,FALSE),"——")</f>
        <v>5</v>
      </c>
      <c r="T7" s="6">
        <f>IFERROR(VLOOKUP($B7&amp;"|"&amp;$C7,[1]测试原始数据!$A$2:$G$131,6,FALSE),"——")</f>
        <v>4</v>
      </c>
    </row>
    <row r="8" spans="1:20" x14ac:dyDescent="0.35">
      <c r="A8" s="2">
        <v>7</v>
      </c>
      <c r="B8" s="2" t="s">
        <v>27</v>
      </c>
      <c r="C8" s="2" t="s">
        <v>21</v>
      </c>
      <c r="D8" s="4">
        <v>66.209999999999994</v>
      </c>
      <c r="E8" s="4">
        <v>2.4900000000000002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0.41</v>
      </c>
      <c r="L8" s="4">
        <v>0.9</v>
      </c>
      <c r="M8" s="4">
        <v>2.0499999999999998</v>
      </c>
      <c r="N8" s="4">
        <v>0.06</v>
      </c>
      <c r="O8" s="4">
        <v>0.54</v>
      </c>
      <c r="P8" s="4">
        <v>2.52</v>
      </c>
      <c r="Q8" s="4">
        <v>0</v>
      </c>
      <c r="R8" s="5">
        <f>IFERROR(VLOOKUP($B8&amp;"|"&amp;$C8,测试原始数据!$A$2:$G$131,4,FALSE),"——")</f>
        <v>16.535</v>
      </c>
      <c r="S8" s="6">
        <f>IFERROR(VLOOKUP($B8&amp;"|"&amp;$C8,测试原始数据!$A$2:$G$131,5,FALSE),"——")</f>
        <v>32</v>
      </c>
      <c r="T8" s="6">
        <f>IFERROR(VLOOKUP($B8&amp;"|"&amp;$C8,[1]测试原始数据!$A$2:$G$131,6,FALSE),"——")</f>
        <v>4</v>
      </c>
    </row>
    <row r="9" spans="1:20" x14ac:dyDescent="0.35">
      <c r="A9" s="2">
        <v>8</v>
      </c>
      <c r="B9" s="2" t="s">
        <v>28</v>
      </c>
      <c r="C9" s="2" t="s">
        <v>21</v>
      </c>
      <c r="D9" s="4">
        <v>66.23</v>
      </c>
      <c r="E9" s="4">
        <v>0</v>
      </c>
      <c r="F9" s="4">
        <v>1.1499999999999999</v>
      </c>
      <c r="G9" s="4">
        <v>0.19</v>
      </c>
      <c r="H9" s="4">
        <v>0</v>
      </c>
      <c r="I9" s="4">
        <v>0.86</v>
      </c>
      <c r="J9" s="4">
        <v>6.55</v>
      </c>
      <c r="K9" s="4">
        <v>0</v>
      </c>
      <c r="L9" s="4">
        <v>0</v>
      </c>
      <c r="M9" s="4">
        <v>0.69</v>
      </c>
      <c r="N9" s="4">
        <v>0.06</v>
      </c>
      <c r="O9" s="4">
        <v>5.72</v>
      </c>
      <c r="P9" s="4">
        <v>0.88</v>
      </c>
      <c r="Q9" s="4">
        <v>0</v>
      </c>
      <c r="R9" s="5">
        <f>IFERROR(VLOOKUP($B9&amp;"|"&amp;$C9,测试原始数据!$A$2:$G$131,4,FALSE),"——")</f>
        <v>15.225000000000001</v>
      </c>
      <c r="S9" s="6">
        <f>IFERROR(VLOOKUP($B9&amp;"|"&amp;$C9,测试原始数据!$A$2:$G$131,5,FALSE),"——")</f>
        <v>4</v>
      </c>
      <c r="T9" s="6">
        <f>IFERROR(VLOOKUP($B9&amp;"|"&amp;$C9,[1]测试原始数据!$A$2:$G$131,6,FALSE),"——")</f>
        <v>4</v>
      </c>
    </row>
    <row r="10" spans="1:20" x14ac:dyDescent="0.35">
      <c r="A10" s="2">
        <v>9</v>
      </c>
      <c r="B10" s="2" t="s">
        <v>29</v>
      </c>
      <c r="C10" s="2" t="s">
        <v>21</v>
      </c>
      <c r="D10" s="4">
        <v>65.989999999999995</v>
      </c>
      <c r="E10" s="4">
        <v>2.63</v>
      </c>
      <c r="F10" s="4">
        <v>0</v>
      </c>
      <c r="G10" s="4">
        <v>0</v>
      </c>
      <c r="H10" s="4">
        <v>6.44</v>
      </c>
      <c r="I10" s="4">
        <v>5.96</v>
      </c>
      <c r="J10" s="4">
        <v>0</v>
      </c>
      <c r="K10" s="4">
        <v>0</v>
      </c>
      <c r="L10" s="4">
        <v>0.12</v>
      </c>
      <c r="M10" s="4">
        <v>2.59</v>
      </c>
      <c r="N10" s="4">
        <v>0.06</v>
      </c>
      <c r="O10" s="4">
        <v>4.7699999999999996</v>
      </c>
      <c r="P10" s="4">
        <v>2.77</v>
      </c>
      <c r="Q10" s="4">
        <v>1.54</v>
      </c>
      <c r="R10" s="5">
        <f>IFERROR(VLOOKUP($B10&amp;"|"&amp;$C10,测试原始数据!$A$2:$G$131,4,FALSE),"——")</f>
        <v>22.32</v>
      </c>
      <c r="S10" s="6">
        <f>IFERROR(VLOOKUP($B10&amp;"|"&amp;$C10,测试原始数据!$A$2:$G$131,5,FALSE),"——")</f>
        <v>172</v>
      </c>
      <c r="T10" s="6">
        <f>IFERROR(VLOOKUP($B10&amp;"|"&amp;$C10,[1]测试原始数据!$A$2:$G$131,6,FALSE),"——")</f>
        <v>2</v>
      </c>
    </row>
    <row r="11" spans="1:20" x14ac:dyDescent="0.35">
      <c r="A11" s="2">
        <v>10</v>
      </c>
      <c r="B11" s="2" t="s">
        <v>30</v>
      </c>
      <c r="C11" s="2" t="s">
        <v>21</v>
      </c>
      <c r="D11" s="4">
        <v>66.08</v>
      </c>
      <c r="E11" s="4">
        <v>2.2799999999999998</v>
      </c>
      <c r="F11" s="4">
        <v>0</v>
      </c>
      <c r="G11" s="4">
        <v>0.2</v>
      </c>
      <c r="H11" s="4">
        <v>0</v>
      </c>
      <c r="I11" s="4">
        <v>0</v>
      </c>
      <c r="J11" s="4">
        <v>5.89</v>
      </c>
      <c r="K11" s="4">
        <v>1.77</v>
      </c>
      <c r="L11" s="4">
        <v>0</v>
      </c>
      <c r="M11" s="4">
        <v>2.79</v>
      </c>
      <c r="N11" s="4">
        <v>0.06</v>
      </c>
      <c r="O11" s="4">
        <v>6.1</v>
      </c>
      <c r="P11" s="4">
        <v>0.05</v>
      </c>
      <c r="Q11" s="4">
        <v>2.44</v>
      </c>
      <c r="R11" s="5">
        <f>IFERROR(VLOOKUP($B11&amp;"|"&amp;$C11,测试原始数据!$A$2:$G$131,4,FALSE),"——")</f>
        <v>16.09</v>
      </c>
      <c r="S11" s="6">
        <f>IFERROR(VLOOKUP($B11&amp;"|"&amp;$C11,测试原始数据!$A$2:$G$131,5,FALSE),"——")</f>
        <v>95</v>
      </c>
      <c r="T11" s="6">
        <f>IFERROR(VLOOKUP($B11&amp;"|"&amp;$C11,[1]测试原始数据!$A$2:$G$131,6,FALSE),"——")</f>
        <v>4</v>
      </c>
    </row>
    <row r="12" spans="1:20" x14ac:dyDescent="0.35">
      <c r="A12" s="2">
        <v>11</v>
      </c>
      <c r="B12" s="2" t="s">
        <v>31</v>
      </c>
      <c r="C12" s="2" t="s">
        <v>21</v>
      </c>
      <c r="D12" s="4">
        <v>65.989999999999995</v>
      </c>
      <c r="E12" s="4">
        <v>0</v>
      </c>
      <c r="F12" s="4">
        <v>2.91</v>
      </c>
      <c r="G12" s="4">
        <v>0.57999999999999996</v>
      </c>
      <c r="H12" s="4">
        <v>5.61</v>
      </c>
      <c r="I12" s="4">
        <v>4.87</v>
      </c>
      <c r="J12" s="4">
        <v>3.45</v>
      </c>
      <c r="K12" s="4">
        <v>0</v>
      </c>
      <c r="L12" s="4">
        <v>0</v>
      </c>
      <c r="M12" s="4">
        <v>1</v>
      </c>
      <c r="N12" s="4">
        <v>0.06</v>
      </c>
      <c r="O12" s="4">
        <v>9.0399999999999991</v>
      </c>
      <c r="P12" s="4">
        <v>1.84</v>
      </c>
      <c r="Q12" s="4">
        <v>0</v>
      </c>
      <c r="R12" s="5">
        <f>IFERROR(VLOOKUP($B12&amp;"|"&amp;$C12,测试原始数据!$A$2:$G$131,4,FALSE),"——")</f>
        <v>17.145</v>
      </c>
      <c r="S12" s="6">
        <f>IFERROR(VLOOKUP($B12&amp;"|"&amp;$C12,测试原始数据!$A$2:$G$131,5,FALSE),"——")</f>
        <v>33</v>
      </c>
      <c r="T12" s="6">
        <f>IFERROR(VLOOKUP($B12&amp;"|"&amp;$C12,[1]测试原始数据!$A$2:$G$131,6,FALSE),"——")</f>
        <v>2</v>
      </c>
    </row>
    <row r="13" spans="1:20" x14ac:dyDescent="0.35">
      <c r="A13" s="2">
        <v>12</v>
      </c>
      <c r="B13" s="2" t="s">
        <v>32</v>
      </c>
      <c r="C13" s="2" t="s">
        <v>21</v>
      </c>
      <c r="D13" s="4">
        <v>66.16</v>
      </c>
      <c r="E13" s="4">
        <v>0</v>
      </c>
      <c r="F13" s="4">
        <v>0.38</v>
      </c>
      <c r="G13" s="4">
        <v>0</v>
      </c>
      <c r="H13" s="4">
        <v>0.47</v>
      </c>
      <c r="I13" s="4">
        <v>6.58</v>
      </c>
      <c r="J13" s="4">
        <v>2.35</v>
      </c>
      <c r="K13" s="4">
        <v>0</v>
      </c>
      <c r="L13" s="4">
        <v>0</v>
      </c>
      <c r="M13" s="4">
        <v>0.96</v>
      </c>
      <c r="N13" s="4">
        <v>0.06</v>
      </c>
      <c r="O13" s="4">
        <v>3.85</v>
      </c>
      <c r="P13" s="4">
        <v>0.98</v>
      </c>
      <c r="Q13" s="4">
        <v>0</v>
      </c>
      <c r="R13" s="5">
        <f>IFERROR(VLOOKUP($B13&amp;"|"&amp;$C13,测试原始数据!$A$2:$G$131,4,FALSE),"——")</f>
        <v>14.46</v>
      </c>
      <c r="S13" s="6">
        <f>IFERROR(VLOOKUP($B13&amp;"|"&amp;$C13,测试原始数据!$A$2:$G$131,5,FALSE),"——")</f>
        <v>11</v>
      </c>
      <c r="T13" s="6">
        <f>IFERROR(VLOOKUP($B13&amp;"|"&amp;$C13,[1]测试原始数据!$A$2:$G$131,6,FALSE),"——")</f>
        <v>4</v>
      </c>
    </row>
    <row r="14" spans="1:20" x14ac:dyDescent="0.35">
      <c r="A14" s="2">
        <v>13</v>
      </c>
      <c r="B14" s="2" t="s">
        <v>33</v>
      </c>
      <c r="C14" s="2" t="s">
        <v>21</v>
      </c>
      <c r="D14" s="4">
        <v>65.97</v>
      </c>
      <c r="E14" s="4">
        <v>0</v>
      </c>
      <c r="F14" s="4">
        <v>0</v>
      </c>
      <c r="G14" s="4">
        <v>0.38</v>
      </c>
      <c r="H14" s="4">
        <v>6.71</v>
      </c>
      <c r="I14" s="4">
        <v>0</v>
      </c>
      <c r="J14" s="4">
        <v>0</v>
      </c>
      <c r="K14" s="4">
        <v>2.5499999999999998</v>
      </c>
      <c r="L14" s="4">
        <v>0</v>
      </c>
      <c r="M14" s="4">
        <v>0.71</v>
      </c>
      <c r="N14" s="4">
        <v>0.06</v>
      </c>
      <c r="O14" s="4">
        <v>0.73</v>
      </c>
      <c r="P14" s="4">
        <v>5.89</v>
      </c>
      <c r="Q14" s="4">
        <v>0</v>
      </c>
      <c r="R14" s="5">
        <f>IFERROR(VLOOKUP($B14&amp;"|"&amp;$C14,测试原始数据!$A$2:$G$131,4,FALSE),"——")</f>
        <v>15.5</v>
      </c>
      <c r="S14" s="6">
        <f>IFERROR(VLOOKUP($B14&amp;"|"&amp;$C14,测试原始数据!$A$2:$G$131,5,FALSE),"——")</f>
        <v>20</v>
      </c>
      <c r="T14" s="6">
        <f>IFERROR(VLOOKUP($B14&amp;"|"&amp;$C14,[1]测试原始数据!$A$2:$G$131,6,FALSE),"——")</f>
        <v>4</v>
      </c>
    </row>
    <row r="15" spans="1:20" x14ac:dyDescent="0.35">
      <c r="A15" s="2">
        <v>14</v>
      </c>
      <c r="B15" s="2" t="s">
        <v>34</v>
      </c>
      <c r="C15" s="2" t="s">
        <v>21</v>
      </c>
      <c r="D15" s="4">
        <v>66.040000000000006</v>
      </c>
      <c r="E15" s="4">
        <v>2.2400000000000002</v>
      </c>
      <c r="F15" s="4">
        <v>0</v>
      </c>
      <c r="G15" s="4">
        <v>0</v>
      </c>
      <c r="H15" s="4">
        <v>0</v>
      </c>
      <c r="I15" s="4">
        <v>1.37</v>
      </c>
      <c r="J15" s="4">
        <v>2.38</v>
      </c>
      <c r="K15" s="4">
        <v>0</v>
      </c>
      <c r="L15" s="4">
        <v>0.42</v>
      </c>
      <c r="M15" s="4">
        <v>1.75</v>
      </c>
      <c r="N15" s="4">
        <v>0.06</v>
      </c>
      <c r="O15" s="4">
        <v>0.78</v>
      </c>
      <c r="P15" s="4">
        <v>2.59</v>
      </c>
      <c r="Q15" s="4">
        <v>1.83</v>
      </c>
      <c r="R15" s="5">
        <f>IFERROR(VLOOKUP($B15&amp;"|"&amp;$C15,测试原始数据!$A$2:$G$131,4,FALSE),"——")</f>
        <v>18.25</v>
      </c>
      <c r="S15" s="6">
        <f>IFERROR(VLOOKUP($B15&amp;"|"&amp;$C15,测试原始数据!$A$2:$G$131,5,FALSE),"——")</f>
        <v>87</v>
      </c>
      <c r="T15" s="6">
        <f>IFERROR(VLOOKUP($B15&amp;"|"&amp;$C15,[1]测试原始数据!$A$2:$G$131,6,FALSE),"——")</f>
        <v>2</v>
      </c>
    </row>
    <row r="16" spans="1:20" x14ac:dyDescent="0.35">
      <c r="A16" s="2">
        <v>15</v>
      </c>
      <c r="B16" s="2" t="s">
        <v>35</v>
      </c>
      <c r="C16" s="2" t="s">
        <v>21</v>
      </c>
      <c r="D16" s="4">
        <v>65.95</v>
      </c>
      <c r="E16" s="4">
        <v>0</v>
      </c>
      <c r="F16" s="4">
        <v>2.87</v>
      </c>
      <c r="G16" s="4">
        <v>0.43</v>
      </c>
      <c r="H16" s="4">
        <v>6.68</v>
      </c>
      <c r="I16" s="4">
        <v>0</v>
      </c>
      <c r="J16" s="4">
        <v>0</v>
      </c>
      <c r="K16" s="4">
        <v>0.33</v>
      </c>
      <c r="L16" s="4">
        <v>0</v>
      </c>
      <c r="M16" s="4">
        <v>0.67</v>
      </c>
      <c r="N16" s="4">
        <v>0.06</v>
      </c>
      <c r="O16" s="4">
        <v>3.48</v>
      </c>
      <c r="P16" s="4">
        <v>3.61</v>
      </c>
      <c r="Q16" s="4">
        <v>0.18</v>
      </c>
      <c r="R16" s="5">
        <f>IFERROR(VLOOKUP($B16&amp;"|"&amp;$C16,测试原始数据!$A$2:$G$131,4,FALSE),"——")</f>
        <v>15.5</v>
      </c>
      <c r="S16" s="6">
        <f>IFERROR(VLOOKUP($B16&amp;"|"&amp;$C16,测试原始数据!$A$2:$G$131,5,FALSE),"——")</f>
        <v>80</v>
      </c>
      <c r="T16" s="6">
        <f>IFERROR(VLOOKUP($B16&amp;"|"&amp;$C16,[1]测试原始数据!$A$2:$G$131,6,FALSE),"——")</f>
        <v>3</v>
      </c>
    </row>
    <row r="17" spans="1:20" x14ac:dyDescent="0.35">
      <c r="A17" s="2">
        <v>16</v>
      </c>
      <c r="B17" s="2" t="s">
        <v>36</v>
      </c>
      <c r="C17" s="2" t="s">
        <v>21</v>
      </c>
      <c r="D17" s="4">
        <v>65.92</v>
      </c>
      <c r="E17" s="4">
        <v>0</v>
      </c>
      <c r="F17" s="4">
        <v>2.59</v>
      </c>
      <c r="G17" s="4">
        <v>0.44</v>
      </c>
      <c r="H17" s="4">
        <v>0</v>
      </c>
      <c r="I17" s="4">
        <v>0.33</v>
      </c>
      <c r="J17" s="4">
        <v>0</v>
      </c>
      <c r="K17" s="4">
        <v>0.39</v>
      </c>
      <c r="L17" s="4">
        <v>1.1200000000000001</v>
      </c>
      <c r="M17" s="4">
        <v>1.1499999999999999</v>
      </c>
      <c r="N17" s="4">
        <v>0.06</v>
      </c>
      <c r="O17" s="4">
        <v>1.84</v>
      </c>
      <c r="P17" s="4">
        <v>1.92</v>
      </c>
      <c r="Q17" s="4">
        <v>0.24</v>
      </c>
      <c r="R17" s="5">
        <f>IFERROR(VLOOKUP($B17&amp;"|"&amp;$C17,测试原始数据!$A$2:$G$131,4,FALSE),"——")</f>
        <v>14.45</v>
      </c>
      <c r="S17" s="6">
        <f>IFERROR(VLOOKUP($B17&amp;"|"&amp;$C17,测试原始数据!$A$2:$G$131,5,FALSE),"——")</f>
        <v>32</v>
      </c>
      <c r="T17" s="6">
        <f>IFERROR(VLOOKUP($B17&amp;"|"&amp;$C17,[1]测试原始数据!$A$2:$G$131,6,FALSE),"——")</f>
        <v>1</v>
      </c>
    </row>
    <row r="18" spans="1:20" x14ac:dyDescent="0.35">
      <c r="A18" s="2">
        <v>17</v>
      </c>
      <c r="B18" s="2" t="s">
        <v>37</v>
      </c>
      <c r="C18" s="2" t="s">
        <v>21</v>
      </c>
      <c r="D18" s="4">
        <v>66.099999999999994</v>
      </c>
      <c r="E18" s="4">
        <v>1.41</v>
      </c>
      <c r="F18" s="4">
        <v>3.83</v>
      </c>
      <c r="G18" s="4">
        <v>0.39</v>
      </c>
      <c r="H18" s="4">
        <v>6.25</v>
      </c>
      <c r="I18" s="4">
        <v>0</v>
      </c>
      <c r="J18" s="4">
        <v>0.3</v>
      </c>
      <c r="K18" s="4">
        <v>3.09</v>
      </c>
      <c r="L18" s="4">
        <v>1.53</v>
      </c>
      <c r="M18" s="4">
        <v>3.2</v>
      </c>
      <c r="N18" s="4">
        <v>0.06</v>
      </c>
      <c r="O18" s="4">
        <v>11.41</v>
      </c>
      <c r="P18" s="4">
        <v>0.47</v>
      </c>
      <c r="Q18" s="4">
        <v>2.27</v>
      </c>
      <c r="R18" s="5">
        <f>IFERROR(VLOOKUP($B18&amp;"|"&amp;$C18,测试原始数据!$A$2:$G$131,4,FALSE),"——")</f>
        <v>21.704999999999998</v>
      </c>
      <c r="S18" s="6">
        <f>IFERROR(VLOOKUP($B18&amp;"|"&amp;$C18,测试原始数据!$A$2:$G$131,5,FALSE),"——")</f>
        <v>160</v>
      </c>
      <c r="T18" s="6">
        <f>IFERROR(VLOOKUP($B18&amp;"|"&amp;$C18,[1]测试原始数据!$A$2:$G$131,6,FALSE),"——")</f>
        <v>3</v>
      </c>
    </row>
    <row r="19" spans="1:20" x14ac:dyDescent="0.35">
      <c r="A19" s="2">
        <v>18</v>
      </c>
      <c r="B19" s="2" t="s">
        <v>38</v>
      </c>
      <c r="C19" s="2" t="s">
        <v>21</v>
      </c>
      <c r="D19" s="4">
        <v>66.09</v>
      </c>
      <c r="E19" s="4">
        <v>2.29</v>
      </c>
      <c r="F19" s="4">
        <v>0</v>
      </c>
      <c r="G19" s="4">
        <v>0</v>
      </c>
      <c r="H19" s="4">
        <v>4.51</v>
      </c>
      <c r="I19" s="4">
        <v>3.95</v>
      </c>
      <c r="J19" s="4">
        <v>4.21</v>
      </c>
      <c r="K19" s="4">
        <v>2.7</v>
      </c>
      <c r="L19" s="4">
        <v>0.99</v>
      </c>
      <c r="M19" s="4">
        <v>1.42</v>
      </c>
      <c r="N19" s="4">
        <v>0.06</v>
      </c>
      <c r="O19" s="4">
        <v>12.1</v>
      </c>
      <c r="P19" s="4">
        <v>1.5</v>
      </c>
      <c r="Q19" s="4">
        <v>0</v>
      </c>
      <c r="R19" s="5">
        <f>IFERROR(VLOOKUP($B19&amp;"|"&amp;$C19,测试原始数据!$A$2:$G$131,4,FALSE),"——")</f>
        <v>17.664999999999999</v>
      </c>
      <c r="S19" s="6">
        <f>IFERROR(VLOOKUP($B19&amp;"|"&amp;$C19,测试原始数据!$A$2:$G$131,5,FALSE),"——")</f>
        <v>49</v>
      </c>
      <c r="T19" s="6">
        <f>IFERROR(VLOOKUP($B19&amp;"|"&amp;$C19,[1]测试原始数据!$A$2:$G$131,6,FALSE),"——")</f>
        <v>2</v>
      </c>
    </row>
    <row r="20" spans="1:20" x14ac:dyDescent="0.35">
      <c r="A20" s="2">
        <v>19</v>
      </c>
      <c r="B20" s="2" t="s">
        <v>39</v>
      </c>
      <c r="C20" s="2" t="s">
        <v>21</v>
      </c>
      <c r="D20" s="4">
        <v>65.83</v>
      </c>
      <c r="E20" s="4">
        <v>1.0900000000000001</v>
      </c>
      <c r="F20" s="4">
        <v>6.25</v>
      </c>
      <c r="G20" s="4">
        <v>0.32</v>
      </c>
      <c r="H20" s="4">
        <v>6.08</v>
      </c>
      <c r="I20" s="4">
        <v>5.43</v>
      </c>
      <c r="J20" s="4">
        <v>0</v>
      </c>
      <c r="K20" s="4">
        <v>2.88</v>
      </c>
      <c r="L20" s="4">
        <v>0</v>
      </c>
      <c r="M20" s="4">
        <v>3.22</v>
      </c>
      <c r="N20" s="4">
        <v>0.06</v>
      </c>
      <c r="O20" s="4">
        <v>7.83</v>
      </c>
      <c r="P20" s="4">
        <v>6.13</v>
      </c>
      <c r="Q20" s="4">
        <v>2.13</v>
      </c>
      <c r="R20" s="5">
        <f>IFERROR(VLOOKUP($B20&amp;"|"&amp;$C20,测试原始数据!$A$2:$G$131,4,FALSE),"——")</f>
        <v>19.734999999999999</v>
      </c>
      <c r="S20" s="6">
        <f>IFERROR(VLOOKUP($B20&amp;"|"&amp;$C20,测试原始数据!$A$2:$G$131,5,FALSE),"——")</f>
        <v>92</v>
      </c>
      <c r="T20" s="6">
        <f>IFERROR(VLOOKUP($B20&amp;"|"&amp;$C20,[1]测试原始数据!$A$2:$G$131,6,FALSE),"——")</f>
        <v>4</v>
      </c>
    </row>
    <row r="21" spans="1:20" x14ac:dyDescent="0.35">
      <c r="A21" s="2">
        <v>20</v>
      </c>
      <c r="B21" s="2" t="s">
        <v>40</v>
      </c>
      <c r="C21" s="2" t="s">
        <v>21</v>
      </c>
      <c r="D21" s="4">
        <v>66.099999999999994</v>
      </c>
      <c r="E21" s="4">
        <v>2.02</v>
      </c>
      <c r="F21" s="4">
        <v>0</v>
      </c>
      <c r="G21" s="4">
        <v>0.41</v>
      </c>
      <c r="H21" s="4">
        <v>0</v>
      </c>
      <c r="I21" s="4">
        <v>5.0199999999999996</v>
      </c>
      <c r="J21" s="4">
        <v>0</v>
      </c>
      <c r="K21" s="4">
        <v>2.95</v>
      </c>
      <c r="L21" s="4">
        <v>1.26</v>
      </c>
      <c r="M21" s="4">
        <v>1.76</v>
      </c>
      <c r="N21" s="4">
        <v>0.06</v>
      </c>
      <c r="O21" s="4">
        <v>0.65</v>
      </c>
      <c r="P21" s="4">
        <v>5.6</v>
      </c>
      <c r="Q21" s="4">
        <v>2.2799999999999998</v>
      </c>
      <c r="R21" s="5">
        <f>IFERROR(VLOOKUP($B21&amp;"|"&amp;$C21,测试原始数据!$A$2:$G$131,4,FALSE),"——")</f>
        <v>18.835000000000001</v>
      </c>
      <c r="S21" s="6">
        <f>IFERROR(VLOOKUP($B21&amp;"|"&amp;$C21,测试原始数据!$A$2:$G$131,5,FALSE),"——")</f>
        <v>103</v>
      </c>
      <c r="T21" s="6">
        <f>IFERROR(VLOOKUP($B21&amp;"|"&amp;$C21,[1]测试原始数据!$A$2:$G$131,6,FALSE),"——")</f>
        <v>2</v>
      </c>
    </row>
    <row r="22" spans="1:20" x14ac:dyDescent="0.35">
      <c r="A22" s="2">
        <v>21</v>
      </c>
      <c r="B22" s="2" t="s">
        <v>41</v>
      </c>
      <c r="C22" s="2" t="s">
        <v>21</v>
      </c>
      <c r="D22" s="4">
        <v>66.09</v>
      </c>
      <c r="E22" s="4">
        <v>2.5099999999999998</v>
      </c>
      <c r="F22" s="4">
        <v>0</v>
      </c>
      <c r="G22" s="4">
        <v>0</v>
      </c>
      <c r="H22" s="4">
        <v>0</v>
      </c>
      <c r="I22" s="4">
        <v>0.64</v>
      </c>
      <c r="J22" s="4">
        <v>0</v>
      </c>
      <c r="K22" s="4">
        <v>0.77</v>
      </c>
      <c r="L22" s="4">
        <v>0.94</v>
      </c>
      <c r="M22" s="4">
        <v>0.94</v>
      </c>
      <c r="N22" s="4">
        <v>0.06</v>
      </c>
      <c r="O22" s="4">
        <v>0.24</v>
      </c>
      <c r="P22" s="4">
        <v>3.31</v>
      </c>
      <c r="Q22" s="4">
        <v>0.64</v>
      </c>
      <c r="R22" s="5">
        <f>IFERROR(VLOOKUP($B22&amp;"|"&amp;$C22,测试原始数据!$A$2:$G$131,4,FALSE),"——")</f>
        <v>16.155000000000001</v>
      </c>
      <c r="S22" s="6">
        <f>IFERROR(VLOOKUP($B22&amp;"|"&amp;$C22,测试原始数据!$A$2:$G$131,5,FALSE),"——")</f>
        <v>82</v>
      </c>
      <c r="T22" s="6">
        <f>IFERROR(VLOOKUP($B22&amp;"|"&amp;$C22,[1]测试原始数据!$A$2:$G$131,6,FALSE),"——")</f>
        <v>2</v>
      </c>
    </row>
    <row r="23" spans="1:20" x14ac:dyDescent="0.35">
      <c r="A23" s="2">
        <v>22</v>
      </c>
      <c r="B23" s="2" t="s">
        <v>42</v>
      </c>
      <c r="C23" s="2" t="s">
        <v>21</v>
      </c>
      <c r="D23" s="4">
        <v>66.13</v>
      </c>
      <c r="E23" s="4">
        <v>1.48</v>
      </c>
      <c r="F23" s="4">
        <v>9.44</v>
      </c>
      <c r="G23" s="4">
        <v>0.35</v>
      </c>
      <c r="H23" s="4">
        <v>0</v>
      </c>
      <c r="I23" s="4">
        <v>4.55</v>
      </c>
      <c r="J23" s="4">
        <v>0</v>
      </c>
      <c r="K23" s="4">
        <v>2.2000000000000002</v>
      </c>
      <c r="L23" s="4">
        <v>0.77</v>
      </c>
      <c r="M23" s="4">
        <v>1.88</v>
      </c>
      <c r="N23" s="4">
        <v>0.06</v>
      </c>
      <c r="O23" s="4">
        <v>5.28</v>
      </c>
      <c r="P23" s="4">
        <v>8.08</v>
      </c>
      <c r="Q23" s="4">
        <v>2.41</v>
      </c>
      <c r="R23" s="5">
        <f>IFERROR(VLOOKUP($B23&amp;"|"&amp;$C23,测试原始数据!$A$2:$G$131,4,FALSE),"——")</f>
        <v>18.920000000000002</v>
      </c>
      <c r="S23" s="6">
        <f>IFERROR(VLOOKUP($B23&amp;"|"&amp;$C23,测试原始数据!$A$2:$G$131,5,FALSE),"——")</f>
        <v>75</v>
      </c>
      <c r="T23" s="6">
        <f>IFERROR(VLOOKUP($B23&amp;"|"&amp;$C23,[1]测试原始数据!$A$2:$G$131,6,FALSE),"——")</f>
        <v>4</v>
      </c>
    </row>
    <row r="24" spans="1:20" x14ac:dyDescent="0.35">
      <c r="A24" s="2">
        <v>23</v>
      </c>
      <c r="B24" s="2" t="s">
        <v>43</v>
      </c>
      <c r="C24" s="2" t="s">
        <v>21</v>
      </c>
      <c r="D24" s="4">
        <v>66.06</v>
      </c>
      <c r="E24" s="4">
        <v>1.3</v>
      </c>
      <c r="F24" s="4">
        <v>5.97</v>
      </c>
      <c r="G24" s="4">
        <v>0.4</v>
      </c>
      <c r="H24" s="4">
        <v>2.96</v>
      </c>
      <c r="I24" s="4">
        <v>2.5299999999999998</v>
      </c>
      <c r="J24" s="4">
        <v>2.8</v>
      </c>
      <c r="K24" s="4">
        <v>2.36</v>
      </c>
      <c r="L24" s="4">
        <v>0.88</v>
      </c>
      <c r="M24" s="4">
        <v>1.91</v>
      </c>
      <c r="N24" s="4">
        <v>0.06</v>
      </c>
      <c r="O24" s="4">
        <v>4.78</v>
      </c>
      <c r="P24" s="4">
        <v>8.73</v>
      </c>
      <c r="Q24" s="4">
        <v>1.54</v>
      </c>
      <c r="R24" s="5">
        <f>IFERROR(VLOOKUP($B24&amp;"|"&amp;$C24,测试原始数据!$A$2:$G$131,4,FALSE),"——")</f>
        <v>19.015000000000001</v>
      </c>
      <c r="S24" s="6">
        <f>IFERROR(VLOOKUP($B24&amp;"|"&amp;$C24,测试原始数据!$A$2:$G$131,5,FALSE),"——")</f>
        <v>142</v>
      </c>
      <c r="T24" s="6">
        <f>IFERROR(VLOOKUP($B24&amp;"|"&amp;$C24,[1]测试原始数据!$A$2:$G$131,6,FALSE),"——")</f>
        <v>3</v>
      </c>
    </row>
    <row r="25" spans="1:20" x14ac:dyDescent="0.35">
      <c r="A25" s="2">
        <v>24</v>
      </c>
      <c r="B25" s="2" t="s">
        <v>44</v>
      </c>
      <c r="C25" s="2" t="s">
        <v>21</v>
      </c>
      <c r="D25" s="4">
        <v>65.83</v>
      </c>
      <c r="E25" s="4">
        <v>1.37</v>
      </c>
      <c r="F25" s="4">
        <v>5.95</v>
      </c>
      <c r="G25" s="4">
        <v>0.45</v>
      </c>
      <c r="H25" s="4">
        <v>2.38</v>
      </c>
      <c r="I25" s="4">
        <v>2.7</v>
      </c>
      <c r="J25" s="4">
        <v>2.84</v>
      </c>
      <c r="K25" s="4">
        <v>2.15</v>
      </c>
      <c r="L25" s="4">
        <v>0.73</v>
      </c>
      <c r="M25" s="4">
        <v>1.91</v>
      </c>
      <c r="N25" s="4">
        <v>0.06</v>
      </c>
      <c r="O25" s="4">
        <v>4.88</v>
      </c>
      <c r="P25" s="4">
        <v>8.51</v>
      </c>
      <c r="Q25" s="4">
        <v>1.47</v>
      </c>
      <c r="R25" s="5">
        <f>IFERROR(VLOOKUP($B25&amp;"|"&amp;$C25,测试原始数据!$A$2:$G$131,4,FALSE),"——")</f>
        <v>19.78</v>
      </c>
      <c r="S25" s="6">
        <f>IFERROR(VLOOKUP($B25&amp;"|"&amp;$C25,测试原始数据!$A$2:$G$131,5,FALSE),"——")</f>
        <v>127</v>
      </c>
      <c r="T25" s="6">
        <f>IFERROR(VLOOKUP($B25&amp;"|"&amp;$C25,[1]测试原始数据!$A$2:$G$131,6,FALSE),"——")</f>
        <v>3</v>
      </c>
    </row>
    <row r="26" spans="1:20" x14ac:dyDescent="0.35">
      <c r="A26" s="2">
        <v>25</v>
      </c>
      <c r="B26" s="2" t="s">
        <v>44</v>
      </c>
      <c r="C26" s="2" t="s">
        <v>45</v>
      </c>
      <c r="D26" s="4">
        <v>65.83</v>
      </c>
      <c r="E26" s="4">
        <v>1.37</v>
      </c>
      <c r="F26" s="4">
        <v>5.95</v>
      </c>
      <c r="G26" s="4">
        <v>0.45</v>
      </c>
      <c r="H26" s="4">
        <v>2.38</v>
      </c>
      <c r="I26" s="4">
        <v>2.7</v>
      </c>
      <c r="J26" s="4">
        <v>2.84</v>
      </c>
      <c r="K26" s="4">
        <v>2.15</v>
      </c>
      <c r="L26" s="4">
        <v>0.73</v>
      </c>
      <c r="M26" s="4">
        <v>1.91</v>
      </c>
      <c r="N26" s="4">
        <v>0.06</v>
      </c>
      <c r="O26" s="4">
        <v>4.88</v>
      </c>
      <c r="P26" s="4">
        <v>8.51</v>
      </c>
      <c r="Q26" s="4">
        <v>1.47</v>
      </c>
      <c r="R26" s="5">
        <f>IFERROR(VLOOKUP($B26&amp;"|"&amp;$C26,测试原始数据!$A$2:$G$131,4,FALSE),"——")</f>
        <v>20.727499999999999</v>
      </c>
      <c r="S26" s="6">
        <f>IFERROR(VLOOKUP($B26&amp;"|"&amp;$C26,测试原始数据!$A$2:$G$131,5,FALSE),"——")</f>
        <v>110</v>
      </c>
      <c r="T26" s="6">
        <f>IFERROR(VLOOKUP($B26&amp;"|"&amp;$C26,[1]测试原始数据!$A$2:$G$131,6,FALSE),"——")</f>
        <v>2</v>
      </c>
    </row>
    <row r="27" spans="1:20" x14ac:dyDescent="0.35">
      <c r="A27" s="2">
        <v>26</v>
      </c>
      <c r="B27" s="2" t="s">
        <v>44</v>
      </c>
      <c r="C27" s="2" t="s">
        <v>46</v>
      </c>
      <c r="D27" s="4">
        <v>65.83</v>
      </c>
      <c r="E27" s="4">
        <v>1.37</v>
      </c>
      <c r="F27" s="4">
        <v>5.95</v>
      </c>
      <c r="G27" s="4">
        <v>0.45</v>
      </c>
      <c r="H27" s="4">
        <v>2.38</v>
      </c>
      <c r="I27" s="4">
        <v>2.7</v>
      </c>
      <c r="J27" s="4">
        <v>2.84</v>
      </c>
      <c r="K27" s="4">
        <v>2.15</v>
      </c>
      <c r="L27" s="4">
        <v>0.73</v>
      </c>
      <c r="M27" s="4">
        <v>1.91</v>
      </c>
      <c r="N27" s="4">
        <v>0.06</v>
      </c>
      <c r="O27" s="4">
        <v>4.88</v>
      </c>
      <c r="P27" s="4">
        <v>8.51</v>
      </c>
      <c r="Q27" s="4">
        <v>1.47</v>
      </c>
      <c r="R27" s="5">
        <f>IFERROR(VLOOKUP($B27&amp;"|"&amp;$C27,测试原始数据!$A$2:$G$131,4,FALSE),"——")</f>
        <v>16.72</v>
      </c>
      <c r="S27" s="6">
        <f>IFERROR(VLOOKUP($B27&amp;"|"&amp;$C27,测试原始数据!$A$2:$G$131,5,FALSE),"——")</f>
        <v>125</v>
      </c>
      <c r="T27" s="6">
        <f>IFERROR(VLOOKUP($B27&amp;"|"&amp;$C27,[1]测试原始数据!$A$2:$G$131,6,FALSE),"——")</f>
        <v>4</v>
      </c>
    </row>
    <row r="28" spans="1:20" x14ac:dyDescent="0.35">
      <c r="A28" s="2">
        <v>27</v>
      </c>
      <c r="B28" s="2" t="s">
        <v>47</v>
      </c>
      <c r="C28" s="2" t="s">
        <v>21</v>
      </c>
      <c r="D28" s="4">
        <v>66.010000000000005</v>
      </c>
      <c r="E28" s="4">
        <v>1.34</v>
      </c>
      <c r="F28" s="4">
        <v>5.93</v>
      </c>
      <c r="G28" s="4">
        <v>0.4</v>
      </c>
      <c r="H28" s="4">
        <v>2.19</v>
      </c>
      <c r="I28" s="4">
        <v>3.35</v>
      </c>
      <c r="J28" s="4">
        <v>2.92</v>
      </c>
      <c r="K28" s="4">
        <v>2.14</v>
      </c>
      <c r="L28" s="4">
        <v>0.77</v>
      </c>
      <c r="M28" s="4">
        <v>1.83</v>
      </c>
      <c r="N28" s="4">
        <v>0.06</v>
      </c>
      <c r="O28" s="4">
        <v>4.71</v>
      </c>
      <c r="P28" s="4">
        <v>9.0299999999999994</v>
      </c>
      <c r="Q28" s="4">
        <v>1.56</v>
      </c>
      <c r="R28" s="5">
        <f>IFERROR(VLOOKUP($B28&amp;"|"&amp;$C28,测试原始数据!$A$2:$G$131,4,FALSE),"——")</f>
        <v>19.32</v>
      </c>
      <c r="S28" s="6">
        <f>IFERROR(VLOOKUP($B28&amp;"|"&amp;$C28,测试原始数据!$A$2:$G$131,5,FALSE),"——")</f>
        <v>68</v>
      </c>
      <c r="T28" s="6">
        <v>4</v>
      </c>
    </row>
    <row r="29" spans="1:20" x14ac:dyDescent="0.35">
      <c r="A29" s="2">
        <v>28</v>
      </c>
      <c r="B29" s="2" t="s">
        <v>48</v>
      </c>
      <c r="C29" s="2" t="s">
        <v>21</v>
      </c>
      <c r="D29" s="4">
        <v>66.03</v>
      </c>
      <c r="E29" s="4">
        <v>0.71</v>
      </c>
      <c r="F29" s="4">
        <v>0</v>
      </c>
      <c r="G29" s="4">
        <v>0</v>
      </c>
      <c r="H29" s="4">
        <v>6.49</v>
      </c>
      <c r="I29" s="4">
        <v>3.79</v>
      </c>
      <c r="J29" s="4">
        <v>7.06</v>
      </c>
      <c r="K29" s="4">
        <v>1.22</v>
      </c>
      <c r="L29" s="4">
        <v>0</v>
      </c>
      <c r="M29" s="4">
        <v>3.35</v>
      </c>
      <c r="N29" s="4">
        <v>0.06</v>
      </c>
      <c r="O29" s="4">
        <v>6.9</v>
      </c>
      <c r="P29" s="4">
        <v>4.54</v>
      </c>
      <c r="Q29" s="4">
        <v>1.94</v>
      </c>
      <c r="R29" s="5">
        <f>IFERROR(VLOOKUP($B29&amp;"|"&amp;$C29,测试原始数据!$A$2:$G$131,4,FALSE),"——")</f>
        <v>18.95</v>
      </c>
      <c r="S29" s="6">
        <f>IFERROR(VLOOKUP($B29&amp;"|"&amp;$C29,测试原始数据!$A$2:$G$131,5,FALSE),"——")</f>
        <v>76</v>
      </c>
      <c r="T29" s="6">
        <v>2</v>
      </c>
    </row>
    <row r="30" spans="1:20" x14ac:dyDescent="0.35">
      <c r="A30" s="2">
        <v>29</v>
      </c>
      <c r="B30" s="2" t="s">
        <v>49</v>
      </c>
      <c r="C30" s="2" t="s">
        <v>21</v>
      </c>
      <c r="D30" s="4">
        <v>65.849999999999994</v>
      </c>
      <c r="E30" s="4">
        <v>0</v>
      </c>
      <c r="F30" s="4">
        <v>11.02</v>
      </c>
      <c r="G30" s="4">
        <v>0.43</v>
      </c>
      <c r="H30" s="4">
        <v>0</v>
      </c>
      <c r="I30" s="4">
        <v>1.6</v>
      </c>
      <c r="J30" s="4">
        <v>2.04</v>
      </c>
      <c r="K30" s="4">
        <v>0</v>
      </c>
      <c r="L30" s="4">
        <v>0</v>
      </c>
      <c r="M30" s="4">
        <v>3.03</v>
      </c>
      <c r="N30" s="4">
        <v>0.06</v>
      </c>
      <c r="O30" s="4">
        <v>0.92</v>
      </c>
      <c r="P30" s="4">
        <v>9.77</v>
      </c>
      <c r="Q30" s="4">
        <v>2.52</v>
      </c>
      <c r="R30" s="5">
        <f>IFERROR(VLOOKUP($B30&amp;"|"&amp;$C30,测试原始数据!$A$2:$G$131,4,FALSE),"——")</f>
        <v>20.57</v>
      </c>
      <c r="S30" s="6">
        <f>IFERROR(VLOOKUP($B30&amp;"|"&amp;$C30,测试原始数据!$A$2:$G$131,5,FALSE),"——")</f>
        <v>60</v>
      </c>
      <c r="T30" s="6" t="s">
        <v>387</v>
      </c>
    </row>
    <row r="31" spans="1:20" x14ac:dyDescent="0.35">
      <c r="A31" s="2">
        <v>30</v>
      </c>
      <c r="B31" s="2" t="s">
        <v>50</v>
      </c>
      <c r="C31" s="2" t="s">
        <v>21</v>
      </c>
      <c r="D31" s="4">
        <v>66.08</v>
      </c>
      <c r="E31" s="4">
        <v>0.11</v>
      </c>
      <c r="F31" s="4">
        <v>0</v>
      </c>
      <c r="G31" s="4">
        <v>0</v>
      </c>
      <c r="H31" s="4">
        <v>0.47</v>
      </c>
      <c r="I31" s="4">
        <v>6.79</v>
      </c>
      <c r="J31" s="4">
        <v>0</v>
      </c>
      <c r="K31" s="4">
        <v>0</v>
      </c>
      <c r="L31" s="4">
        <v>0</v>
      </c>
      <c r="M31" s="4">
        <v>1.1299999999999999</v>
      </c>
      <c r="N31" s="4">
        <v>0.06</v>
      </c>
      <c r="O31" s="4">
        <v>2.36</v>
      </c>
      <c r="P31" s="4">
        <v>0.22</v>
      </c>
      <c r="Q31" s="4">
        <v>0</v>
      </c>
      <c r="R31" s="5">
        <f>IFERROR(VLOOKUP($B31&amp;"|"&amp;$C31,测试原始数据!$A$2:$G$131,4,FALSE),"——")</f>
        <v>14.695</v>
      </c>
      <c r="S31" s="6">
        <f>IFERROR(VLOOKUP($B31&amp;"|"&amp;$C31,测试原始数据!$A$2:$G$131,5,FALSE),"——")</f>
        <v>9</v>
      </c>
      <c r="T31" s="6" t="s">
        <v>387</v>
      </c>
    </row>
    <row r="32" spans="1:20" x14ac:dyDescent="0.35">
      <c r="A32" s="2">
        <v>31</v>
      </c>
      <c r="B32" s="2" t="s">
        <v>51</v>
      </c>
      <c r="C32" s="2" t="s">
        <v>21</v>
      </c>
      <c r="D32" s="4">
        <v>66.13</v>
      </c>
      <c r="E32" s="4">
        <v>2.6</v>
      </c>
      <c r="F32" s="4">
        <v>0</v>
      </c>
      <c r="G32" s="4">
        <v>0</v>
      </c>
      <c r="H32" s="4">
        <v>0</v>
      </c>
      <c r="I32" s="4">
        <v>1.01</v>
      </c>
      <c r="J32" s="4">
        <v>6.94</v>
      </c>
      <c r="K32" s="4">
        <v>0</v>
      </c>
      <c r="L32" s="4">
        <v>0.11</v>
      </c>
      <c r="M32" s="4">
        <v>2.67</v>
      </c>
      <c r="N32" s="4">
        <v>0.06</v>
      </c>
      <c r="O32" s="4">
        <v>7.12</v>
      </c>
      <c r="P32" s="4">
        <v>0.39</v>
      </c>
      <c r="Q32" s="4">
        <v>0.71</v>
      </c>
      <c r="R32" s="5">
        <f>IFERROR(VLOOKUP($B32&amp;"|"&amp;$C32,测试原始数据!$A$2:$G$131,4,FALSE),"——")</f>
        <v>14.215</v>
      </c>
      <c r="S32" s="6">
        <f>IFERROR(VLOOKUP($B32&amp;"|"&amp;$C32,测试原始数据!$A$2:$G$131,5,FALSE),"——")</f>
        <v>40</v>
      </c>
      <c r="T32" s="6">
        <v>3</v>
      </c>
    </row>
    <row r="33" spans="1:20" x14ac:dyDescent="0.35">
      <c r="A33" s="2">
        <v>32</v>
      </c>
      <c r="B33" s="2" t="s">
        <v>52</v>
      </c>
      <c r="C33" s="2" t="s">
        <v>21</v>
      </c>
      <c r="D33" s="4">
        <v>65.98</v>
      </c>
      <c r="E33" s="4">
        <v>0.62</v>
      </c>
      <c r="F33" s="4">
        <v>7.96</v>
      </c>
      <c r="G33" s="4">
        <v>0.52</v>
      </c>
      <c r="H33" s="4">
        <v>6.63</v>
      </c>
      <c r="I33" s="4">
        <v>0</v>
      </c>
      <c r="J33" s="4">
        <v>0</v>
      </c>
      <c r="K33" s="4">
        <v>0.59</v>
      </c>
      <c r="L33" s="4">
        <v>0</v>
      </c>
      <c r="M33" s="4">
        <v>3.17</v>
      </c>
      <c r="N33" s="4">
        <v>0.06</v>
      </c>
      <c r="O33" s="4">
        <v>9.91</v>
      </c>
      <c r="P33" s="4">
        <v>1.59</v>
      </c>
      <c r="Q33" s="4">
        <v>1.51</v>
      </c>
      <c r="R33" s="5">
        <f>IFERROR(VLOOKUP($B33&amp;"|"&amp;$C33,测试原始数据!$A$2:$G$131,4,FALSE),"——")</f>
        <v>20.335000000000001</v>
      </c>
      <c r="S33" s="6">
        <f>IFERROR(VLOOKUP($B33&amp;"|"&amp;$C33,测试原始数据!$A$2:$G$131,5,FALSE),"——")</f>
        <v>112</v>
      </c>
      <c r="T33" s="6" t="s">
        <v>387</v>
      </c>
    </row>
    <row r="34" spans="1:20" x14ac:dyDescent="0.35">
      <c r="A34" s="2">
        <v>33</v>
      </c>
      <c r="B34" s="2" t="s">
        <v>53</v>
      </c>
      <c r="C34" s="2" t="s">
        <v>21</v>
      </c>
      <c r="D34" s="4">
        <v>66.010000000000005</v>
      </c>
      <c r="E34" s="4">
        <v>2.2999999999999998</v>
      </c>
      <c r="F34" s="4">
        <v>0</v>
      </c>
      <c r="G34" s="4">
        <v>0.53</v>
      </c>
      <c r="H34" s="4">
        <v>0</v>
      </c>
      <c r="I34" s="4">
        <v>0</v>
      </c>
      <c r="J34" s="4">
        <v>0</v>
      </c>
      <c r="K34" s="4">
        <v>2.0699999999999998</v>
      </c>
      <c r="L34" s="4">
        <v>0</v>
      </c>
      <c r="M34" s="4">
        <v>0.63</v>
      </c>
      <c r="N34" s="4">
        <v>0.06</v>
      </c>
      <c r="O34" s="4">
        <v>2.76</v>
      </c>
      <c r="P34" s="4">
        <v>1</v>
      </c>
      <c r="Q34" s="4">
        <v>1.92</v>
      </c>
      <c r="R34" s="5">
        <f>IFERROR(VLOOKUP($B34&amp;"|"&amp;$C34,测试原始数据!$A$2:$G$131,4,FALSE),"——")</f>
        <v>12.484999999999999</v>
      </c>
      <c r="S34" s="6">
        <f>IFERROR(VLOOKUP($B34&amp;"|"&amp;$C34,测试原始数据!$A$2:$G$131,5,FALSE),"——")</f>
        <v>79</v>
      </c>
      <c r="T34" s="6">
        <v>2</v>
      </c>
    </row>
    <row r="35" spans="1:20" x14ac:dyDescent="0.35">
      <c r="A35" s="2">
        <v>34</v>
      </c>
      <c r="B35" s="2" t="s">
        <v>54</v>
      </c>
      <c r="C35" s="2" t="s">
        <v>21</v>
      </c>
      <c r="D35" s="4">
        <v>65.86</v>
      </c>
      <c r="E35" s="4">
        <v>0.63</v>
      </c>
      <c r="F35" s="4">
        <v>5.66</v>
      </c>
      <c r="G35" s="4">
        <v>0.19</v>
      </c>
      <c r="H35" s="4">
        <v>4.87</v>
      </c>
      <c r="I35" s="4">
        <v>6.77</v>
      </c>
      <c r="J35" s="4">
        <v>0</v>
      </c>
      <c r="K35" s="4">
        <v>0.68</v>
      </c>
      <c r="L35" s="4">
        <v>0</v>
      </c>
      <c r="M35" s="4">
        <v>3.16</v>
      </c>
      <c r="N35" s="4">
        <v>0.06</v>
      </c>
      <c r="O35" s="4">
        <v>9.44</v>
      </c>
      <c r="P35" s="4">
        <v>0.85</v>
      </c>
      <c r="Q35" s="4">
        <v>2.1</v>
      </c>
      <c r="R35" s="5">
        <f>IFERROR(VLOOKUP($B35&amp;"|"&amp;$C35,测试原始数据!$A$2:$G$131,4,FALSE),"——")</f>
        <v>20.9</v>
      </c>
      <c r="S35" s="6">
        <f>IFERROR(VLOOKUP($B35&amp;"|"&amp;$C35,测试原始数据!$A$2:$G$131,5,FALSE),"——")</f>
        <v>131</v>
      </c>
      <c r="T35" s="6" t="s">
        <v>387</v>
      </c>
    </row>
    <row r="36" spans="1:20" x14ac:dyDescent="0.35">
      <c r="A36" s="2">
        <v>35</v>
      </c>
      <c r="B36" s="2" t="s">
        <v>55</v>
      </c>
      <c r="C36" s="2" t="s">
        <v>21</v>
      </c>
      <c r="D36" s="4">
        <v>65.94</v>
      </c>
      <c r="E36" s="4">
        <v>0</v>
      </c>
      <c r="F36" s="4">
        <v>0</v>
      </c>
      <c r="G36" s="4">
        <v>0.4</v>
      </c>
      <c r="H36" s="4">
        <v>4.18</v>
      </c>
      <c r="I36" s="4">
        <v>0</v>
      </c>
      <c r="J36" s="4">
        <v>6.24</v>
      </c>
      <c r="K36" s="4">
        <v>0</v>
      </c>
      <c r="L36" s="4">
        <v>0</v>
      </c>
      <c r="M36" s="4">
        <v>0.69</v>
      </c>
      <c r="N36" s="4">
        <v>0.06</v>
      </c>
      <c r="O36" s="4">
        <v>3.73</v>
      </c>
      <c r="P36" s="4">
        <v>3.72</v>
      </c>
      <c r="Q36" s="4">
        <v>0</v>
      </c>
      <c r="R36" s="5">
        <f>IFERROR(VLOOKUP($B36&amp;"|"&amp;$C36,测试原始数据!$A$2:$G$131,4,FALSE),"——")</f>
        <v>15.53</v>
      </c>
      <c r="S36" s="6">
        <f>IFERROR(VLOOKUP($B36&amp;"|"&amp;$C36,测试原始数据!$A$2:$G$131,5,FALSE),"——")</f>
        <v>5</v>
      </c>
      <c r="T36" s="6" t="s">
        <v>387</v>
      </c>
    </row>
    <row r="37" spans="1:20" x14ac:dyDescent="0.35">
      <c r="A37" s="2">
        <v>36</v>
      </c>
      <c r="B37" s="2" t="s">
        <v>56</v>
      </c>
      <c r="C37" s="2" t="s">
        <v>21</v>
      </c>
      <c r="D37" s="4">
        <v>65.97</v>
      </c>
      <c r="E37" s="4">
        <v>0.44</v>
      </c>
      <c r="F37" s="4">
        <v>11.76</v>
      </c>
      <c r="G37" s="4">
        <v>0.28999999999999998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0.92</v>
      </c>
      <c r="N37" s="4">
        <v>0.06</v>
      </c>
      <c r="O37" s="4">
        <v>10.49</v>
      </c>
      <c r="P37" s="4">
        <v>1.51</v>
      </c>
      <c r="Q37" s="4">
        <v>0.17</v>
      </c>
      <c r="R37" s="5">
        <f>IFERROR(VLOOKUP($B37&amp;"|"&amp;$C37,测试原始数据!$A$2:$G$131,4,FALSE),"——")</f>
        <v>14.995000000000001</v>
      </c>
      <c r="S37" s="6">
        <f>IFERROR(VLOOKUP($B37&amp;"|"&amp;$C37,测试原始数据!$A$2:$G$131,5,FALSE),"——")</f>
        <v>60</v>
      </c>
      <c r="T37" s="6">
        <v>2</v>
      </c>
    </row>
    <row r="38" spans="1:20" x14ac:dyDescent="0.35">
      <c r="A38" s="2">
        <v>37</v>
      </c>
      <c r="B38" s="2" t="s">
        <v>57</v>
      </c>
      <c r="C38" s="2" t="s">
        <v>21</v>
      </c>
      <c r="D38" s="4">
        <v>66.040000000000006</v>
      </c>
      <c r="E38" s="4">
        <v>0</v>
      </c>
      <c r="F38" s="4">
        <v>1.38</v>
      </c>
      <c r="G38" s="4">
        <v>0</v>
      </c>
      <c r="H38" s="4">
        <v>0.79</v>
      </c>
      <c r="I38" s="4">
        <v>6.21</v>
      </c>
      <c r="J38" s="4">
        <v>6.68</v>
      </c>
      <c r="K38" s="4">
        <v>0</v>
      </c>
      <c r="L38" s="4">
        <v>0.28000000000000003</v>
      </c>
      <c r="M38" s="4">
        <v>2.91</v>
      </c>
      <c r="N38" s="4">
        <v>0.06</v>
      </c>
      <c r="O38" s="4">
        <v>7.66</v>
      </c>
      <c r="P38" s="4">
        <v>0.21</v>
      </c>
      <c r="Q38" s="4">
        <v>1.34</v>
      </c>
      <c r="R38" s="5">
        <f>IFERROR(VLOOKUP($B38&amp;"|"&amp;$C38,测试原始数据!$A$2:$G$131,4,FALSE),"——")</f>
        <v>17.04</v>
      </c>
      <c r="S38" s="6">
        <f>IFERROR(VLOOKUP($B38&amp;"|"&amp;$C38,测试原始数据!$A$2:$G$131,5,FALSE),"——")</f>
        <v>65</v>
      </c>
      <c r="T38" s="6">
        <v>2</v>
      </c>
    </row>
    <row r="39" spans="1:20" x14ac:dyDescent="0.35">
      <c r="A39" s="2">
        <v>38</v>
      </c>
      <c r="B39" s="2" t="s">
        <v>58</v>
      </c>
      <c r="C39" s="2" t="s">
        <v>21</v>
      </c>
      <c r="D39" s="4">
        <v>66.040000000000006</v>
      </c>
      <c r="E39" s="4">
        <v>2.7</v>
      </c>
      <c r="F39" s="4">
        <v>0</v>
      </c>
      <c r="G39" s="4">
        <v>0</v>
      </c>
      <c r="H39" s="4">
        <v>0.28000000000000003</v>
      </c>
      <c r="I39" s="4">
        <v>6.56</v>
      </c>
      <c r="J39" s="4">
        <v>6.4</v>
      </c>
      <c r="K39" s="4">
        <v>2.8</v>
      </c>
      <c r="L39" s="4">
        <v>1.22</v>
      </c>
      <c r="M39" s="4">
        <v>0.8</v>
      </c>
      <c r="N39" s="4">
        <v>0.06</v>
      </c>
      <c r="O39" s="4">
        <v>3.13</v>
      </c>
      <c r="P39" s="4">
        <v>11.39</v>
      </c>
      <c r="Q39" s="4">
        <v>0.24</v>
      </c>
      <c r="R39" s="5">
        <f>IFERROR(VLOOKUP($B39&amp;"|"&amp;$C39,测试原始数据!$A$2:$G$131,4,FALSE),"——")</f>
        <v>17.89</v>
      </c>
      <c r="S39" s="6">
        <f>IFERROR(VLOOKUP($B39&amp;"|"&amp;$C39,测试原始数据!$A$2:$G$131,5,FALSE),"——")</f>
        <v>50</v>
      </c>
      <c r="T39" s="6">
        <v>2</v>
      </c>
    </row>
    <row r="40" spans="1:20" x14ac:dyDescent="0.35">
      <c r="A40" s="2">
        <v>39</v>
      </c>
      <c r="B40" s="2" t="s">
        <v>59</v>
      </c>
      <c r="C40" s="2" t="s">
        <v>21</v>
      </c>
      <c r="D40" s="4">
        <v>65.989999999999995</v>
      </c>
      <c r="E40" s="4">
        <v>0.32</v>
      </c>
      <c r="F40" s="4">
        <v>7.54</v>
      </c>
      <c r="G40" s="4">
        <v>0</v>
      </c>
      <c r="H40" s="4">
        <v>0.13</v>
      </c>
      <c r="I40" s="4">
        <v>6.41</v>
      </c>
      <c r="J40" s="4">
        <v>4.5199999999999996</v>
      </c>
      <c r="K40" s="4">
        <v>3.77</v>
      </c>
      <c r="L40" s="4">
        <v>0</v>
      </c>
      <c r="M40" s="4">
        <v>3.4</v>
      </c>
      <c r="N40" s="4">
        <v>0.06</v>
      </c>
      <c r="O40" s="4">
        <v>6.46</v>
      </c>
      <c r="P40" s="4">
        <v>9.19</v>
      </c>
      <c r="Q40" s="4">
        <v>0.93</v>
      </c>
      <c r="R40" s="5">
        <f>IFERROR(VLOOKUP($B40&amp;"|"&amp;$C40,测试原始数据!$A$2:$G$131,4,FALSE),"——")</f>
        <v>16.310000000000002</v>
      </c>
      <c r="S40" s="6">
        <f>IFERROR(VLOOKUP($B40&amp;"|"&amp;$C40,测试原始数据!$A$2:$G$131,5,FALSE),"——")</f>
        <v>45</v>
      </c>
      <c r="T40" s="6">
        <v>2</v>
      </c>
    </row>
    <row r="41" spans="1:20" x14ac:dyDescent="0.35">
      <c r="A41" s="2">
        <v>40</v>
      </c>
      <c r="B41" s="2" t="s">
        <v>60</v>
      </c>
      <c r="C41" s="2" t="s">
        <v>21</v>
      </c>
      <c r="D41" s="4">
        <v>66.13</v>
      </c>
      <c r="E41" s="4">
        <v>0.94</v>
      </c>
      <c r="F41" s="4">
        <v>11.43</v>
      </c>
      <c r="G41" s="4">
        <v>0.33</v>
      </c>
      <c r="H41" s="4">
        <v>0</v>
      </c>
      <c r="I41" s="4">
        <v>0</v>
      </c>
      <c r="J41" s="4">
        <v>0</v>
      </c>
      <c r="K41" s="4">
        <v>2.95</v>
      </c>
      <c r="L41" s="4">
        <v>0</v>
      </c>
      <c r="M41" s="4">
        <v>3.22</v>
      </c>
      <c r="N41" s="4">
        <v>0.06</v>
      </c>
      <c r="O41" s="4">
        <v>12.21</v>
      </c>
      <c r="P41" s="4">
        <v>0.5</v>
      </c>
      <c r="Q41" s="4">
        <v>2.11</v>
      </c>
      <c r="R41" s="5">
        <f>IFERROR(VLOOKUP($B41&amp;"|"&amp;$C41,测试原始数据!$A$2:$G$131,4,FALSE),"——")</f>
        <v>16.98</v>
      </c>
      <c r="S41" s="6">
        <f>IFERROR(VLOOKUP($B41&amp;"|"&amp;$C41,测试原始数据!$A$2:$G$131,5,FALSE),"——")</f>
        <v>80</v>
      </c>
      <c r="T41" s="6" t="s">
        <v>387</v>
      </c>
    </row>
    <row r="42" spans="1:20" x14ac:dyDescent="0.35">
      <c r="A42" s="2">
        <v>41</v>
      </c>
      <c r="B42" s="2" t="s">
        <v>61</v>
      </c>
      <c r="C42" s="2" t="s">
        <v>21</v>
      </c>
      <c r="D42" s="4">
        <v>65.959999999999994</v>
      </c>
      <c r="E42" s="4">
        <v>1.19</v>
      </c>
      <c r="F42" s="4">
        <v>8.77</v>
      </c>
      <c r="G42" s="4">
        <v>0.41</v>
      </c>
      <c r="H42" s="4">
        <v>6.03</v>
      </c>
      <c r="I42" s="4">
        <v>0</v>
      </c>
      <c r="J42" s="4">
        <v>0</v>
      </c>
      <c r="K42" s="4">
        <v>2.8</v>
      </c>
      <c r="L42" s="4">
        <v>0</v>
      </c>
      <c r="M42" s="4">
        <v>3.44</v>
      </c>
      <c r="N42" s="4">
        <v>0.06</v>
      </c>
      <c r="O42" s="4">
        <v>0.25</v>
      </c>
      <c r="P42" s="4">
        <v>14.2</v>
      </c>
      <c r="Q42" s="4">
        <v>1.79</v>
      </c>
      <c r="R42" s="5">
        <f>IFERROR(VLOOKUP($B42&amp;"|"&amp;$C42,测试原始数据!$A$2:$G$131,4,FALSE),"——")</f>
        <v>19.41</v>
      </c>
      <c r="S42" s="6">
        <f>IFERROR(VLOOKUP($B42&amp;"|"&amp;$C42,测试原始数据!$A$2:$G$131,5,FALSE),"——")</f>
        <v>76</v>
      </c>
      <c r="T42" s="6">
        <v>4</v>
      </c>
    </row>
    <row r="43" spans="1:20" x14ac:dyDescent="0.35">
      <c r="A43" s="2">
        <v>42</v>
      </c>
      <c r="B43" s="2" t="s">
        <v>62</v>
      </c>
      <c r="C43" s="2" t="s">
        <v>21</v>
      </c>
      <c r="D43" s="4">
        <v>66.05</v>
      </c>
      <c r="E43" s="4">
        <v>2.2400000000000002</v>
      </c>
      <c r="F43" s="4">
        <v>7.42</v>
      </c>
      <c r="G43" s="4">
        <v>0.51</v>
      </c>
      <c r="H43" s="4">
        <v>0</v>
      </c>
      <c r="I43" s="4">
        <v>0</v>
      </c>
      <c r="J43" s="4">
        <v>4.74</v>
      </c>
      <c r="K43" s="4">
        <v>2.41</v>
      </c>
      <c r="L43" s="4">
        <v>0</v>
      </c>
      <c r="M43" s="4">
        <v>2.42</v>
      </c>
      <c r="N43" s="4">
        <v>0.06</v>
      </c>
      <c r="O43" s="4">
        <v>2.56</v>
      </c>
      <c r="P43" s="4">
        <v>10.85</v>
      </c>
      <c r="Q43" s="4">
        <v>2.35</v>
      </c>
      <c r="R43" s="5">
        <f>IFERROR(VLOOKUP($B43&amp;"|"&amp;$C43,测试原始数据!$A$2:$G$131,4,FALSE),"——")</f>
        <v>18.619999999999997</v>
      </c>
      <c r="S43" s="6">
        <f>IFERROR(VLOOKUP($B43&amp;"|"&amp;$C43,测试原始数据!$A$2:$G$131,5,FALSE),"——")</f>
        <v>60</v>
      </c>
      <c r="T43" s="6" t="s">
        <v>387</v>
      </c>
    </row>
    <row r="44" spans="1:20" x14ac:dyDescent="0.35">
      <c r="A44" s="2">
        <v>43</v>
      </c>
      <c r="B44" s="2" t="s">
        <v>63</v>
      </c>
      <c r="C44" s="2" t="s">
        <v>21</v>
      </c>
      <c r="D44" s="4">
        <v>66</v>
      </c>
      <c r="E44" s="4">
        <v>0</v>
      </c>
      <c r="F44" s="4">
        <v>0.25</v>
      </c>
      <c r="G44" s="4">
        <v>0.16</v>
      </c>
      <c r="H44" s="4">
        <v>6.66</v>
      </c>
      <c r="I44" s="4">
        <v>3.14</v>
      </c>
      <c r="J44" s="4">
        <v>6.49</v>
      </c>
      <c r="K44" s="4">
        <v>2.13</v>
      </c>
      <c r="L44" s="4">
        <v>0.63</v>
      </c>
      <c r="M44" s="4">
        <v>3.28</v>
      </c>
      <c r="N44" s="4">
        <v>0.06</v>
      </c>
      <c r="O44" s="4">
        <v>3.85</v>
      </c>
      <c r="P44" s="4">
        <v>7.3</v>
      </c>
      <c r="Q44" s="4">
        <v>2.2400000000000002</v>
      </c>
      <c r="R44" s="5">
        <f>IFERROR(VLOOKUP($B44&amp;"|"&amp;$C44,测试原始数据!$A$2:$G$131,4,FALSE),"——")</f>
        <v>18.810000000000002</v>
      </c>
      <c r="S44" s="6">
        <f>IFERROR(VLOOKUP($B44&amp;"|"&amp;$C44,测试原始数据!$A$2:$G$131,5,FALSE),"——")</f>
        <v>120</v>
      </c>
      <c r="T44" s="6" t="s">
        <v>387</v>
      </c>
    </row>
    <row r="45" spans="1:20" x14ac:dyDescent="0.35">
      <c r="A45" s="2">
        <v>44</v>
      </c>
      <c r="B45" s="2" t="s">
        <v>64</v>
      </c>
      <c r="C45" s="2" t="s">
        <v>21</v>
      </c>
      <c r="D45" s="4">
        <v>65.98</v>
      </c>
      <c r="E45" s="4">
        <v>0.36</v>
      </c>
      <c r="F45" s="4">
        <v>11.82</v>
      </c>
      <c r="G45" s="4">
        <v>0.44</v>
      </c>
      <c r="H45" s="4">
        <v>0</v>
      </c>
      <c r="I45" s="4">
        <v>0</v>
      </c>
      <c r="J45" s="4">
        <v>0</v>
      </c>
      <c r="K45" s="4">
        <v>0.82</v>
      </c>
      <c r="L45" s="4">
        <v>0</v>
      </c>
      <c r="M45" s="4">
        <v>2.95</v>
      </c>
      <c r="N45" s="4">
        <v>0.06</v>
      </c>
      <c r="O45" s="4">
        <v>1.99</v>
      </c>
      <c r="P45" s="4">
        <v>9.74</v>
      </c>
      <c r="Q45" s="4">
        <v>0.61</v>
      </c>
      <c r="R45" s="5">
        <f>IFERROR(VLOOKUP($B45&amp;"|"&amp;$C45,测试原始数据!$A$2:$G$131,4,FALSE),"——")</f>
        <v>15.824999999999999</v>
      </c>
      <c r="S45" s="6">
        <f>IFERROR(VLOOKUP($B45&amp;"|"&amp;$C45,测试原始数据!$A$2:$G$131,5,FALSE),"——")</f>
        <v>45</v>
      </c>
      <c r="T45" s="6">
        <v>4</v>
      </c>
    </row>
    <row r="46" spans="1:20" x14ac:dyDescent="0.35">
      <c r="A46" s="2">
        <v>45</v>
      </c>
      <c r="B46" s="2" t="s">
        <v>65</v>
      </c>
      <c r="C46" s="2" t="s">
        <v>21</v>
      </c>
      <c r="D46" s="4">
        <v>66.05</v>
      </c>
      <c r="E46" s="4">
        <v>0</v>
      </c>
      <c r="F46" s="4">
        <v>4.62</v>
      </c>
      <c r="G46" s="4">
        <v>0.4</v>
      </c>
      <c r="H46" s="4">
        <v>0</v>
      </c>
      <c r="I46" s="4">
        <v>5.73</v>
      </c>
      <c r="J46" s="4">
        <v>6.51</v>
      </c>
      <c r="K46" s="4">
        <v>0</v>
      </c>
      <c r="L46" s="4">
        <v>0</v>
      </c>
      <c r="M46" s="4">
        <v>3.15</v>
      </c>
      <c r="N46" s="4">
        <v>0.06</v>
      </c>
      <c r="O46" s="4">
        <v>7.99</v>
      </c>
      <c r="P46" s="4">
        <v>1.43</v>
      </c>
      <c r="Q46" s="4">
        <v>2.16</v>
      </c>
      <c r="R46" s="5">
        <f>IFERROR(VLOOKUP($B46&amp;"|"&amp;$C46,测试原始数据!$A$2:$G$131,4,FALSE),"——")</f>
        <v>19.770000000000003</v>
      </c>
      <c r="S46" s="6">
        <f>IFERROR(VLOOKUP($B46&amp;"|"&amp;$C46,测试原始数据!$A$2:$G$131,5,FALSE),"——")</f>
        <v>67</v>
      </c>
      <c r="T46" s="6" t="s">
        <v>387</v>
      </c>
    </row>
    <row r="47" spans="1:20" x14ac:dyDescent="0.35">
      <c r="A47" s="2">
        <v>46</v>
      </c>
      <c r="B47" s="2" t="s">
        <v>66</v>
      </c>
      <c r="C47" s="2" t="s">
        <v>21</v>
      </c>
      <c r="D47" s="4">
        <v>66.02</v>
      </c>
      <c r="E47" s="4">
        <v>2.9</v>
      </c>
      <c r="F47" s="4">
        <v>0</v>
      </c>
      <c r="G47" s="4">
        <v>0</v>
      </c>
      <c r="H47" s="4">
        <v>0</v>
      </c>
      <c r="I47" s="4">
        <v>0.69</v>
      </c>
      <c r="J47" s="4">
        <v>6.38</v>
      </c>
      <c r="K47" s="4">
        <v>0</v>
      </c>
      <c r="L47" s="4">
        <v>0</v>
      </c>
      <c r="M47" s="4">
        <v>2.57</v>
      </c>
      <c r="N47" s="4">
        <v>0.06</v>
      </c>
      <c r="O47" s="4">
        <v>1.1499999999999999</v>
      </c>
      <c r="P47" s="4">
        <v>5.4</v>
      </c>
      <c r="Q47" s="4">
        <v>1.91</v>
      </c>
      <c r="R47" s="5">
        <f>IFERROR(VLOOKUP($B47&amp;"|"&amp;$C47,测试原始数据!$A$2:$G$131,4,FALSE),"——")</f>
        <v>16.594999999999999</v>
      </c>
      <c r="S47" s="6">
        <f>IFERROR(VLOOKUP($B47&amp;"|"&amp;$C47,测试原始数据!$A$2:$G$131,5,FALSE),"——")</f>
        <v>40</v>
      </c>
      <c r="T47" s="6">
        <v>3</v>
      </c>
    </row>
    <row r="48" spans="1:20" x14ac:dyDescent="0.35">
      <c r="A48" s="2">
        <v>47</v>
      </c>
      <c r="B48" s="2" t="s">
        <v>67</v>
      </c>
      <c r="C48" s="2" t="s">
        <v>21</v>
      </c>
      <c r="D48" s="4">
        <v>65.989999999999995</v>
      </c>
      <c r="E48" s="4">
        <v>0.7</v>
      </c>
      <c r="F48" s="4">
        <v>10.62</v>
      </c>
      <c r="G48" s="4">
        <v>0.34</v>
      </c>
      <c r="H48" s="4">
        <v>5.86</v>
      </c>
      <c r="I48" s="4">
        <v>0</v>
      </c>
      <c r="J48" s="4">
        <v>0</v>
      </c>
      <c r="K48" s="4">
        <v>2.77</v>
      </c>
      <c r="L48" s="4">
        <v>0</v>
      </c>
      <c r="M48" s="4">
        <v>3.54</v>
      </c>
      <c r="N48" s="4">
        <v>0.06</v>
      </c>
      <c r="O48" s="4">
        <v>12.64</v>
      </c>
      <c r="P48" s="4">
        <v>2.76</v>
      </c>
      <c r="Q48" s="4">
        <v>2.76</v>
      </c>
      <c r="R48" s="5">
        <f>IFERROR(VLOOKUP($B48&amp;"|"&amp;$C48,测试原始数据!$A$2:$G$131,4,FALSE),"——")</f>
        <v>20.490000000000002</v>
      </c>
      <c r="S48" s="6">
        <f>IFERROR(VLOOKUP($B48&amp;"|"&amp;$C48,测试原始数据!$A$2:$G$131,5,FALSE),"——")</f>
        <v>85</v>
      </c>
      <c r="T48" s="6" t="s">
        <v>387</v>
      </c>
    </row>
    <row r="49" spans="1:20" x14ac:dyDescent="0.35">
      <c r="A49" s="2">
        <v>48</v>
      </c>
      <c r="B49" s="2" t="s">
        <v>68</v>
      </c>
      <c r="C49" s="2" t="s">
        <v>21</v>
      </c>
      <c r="D49" s="4">
        <v>65.98</v>
      </c>
      <c r="E49" s="4">
        <v>2.89</v>
      </c>
      <c r="F49" s="4">
        <v>0</v>
      </c>
      <c r="G49" s="4">
        <v>0.13</v>
      </c>
      <c r="H49" s="4">
        <v>6.59</v>
      </c>
      <c r="I49" s="4">
        <v>7.29</v>
      </c>
      <c r="J49" s="4">
        <v>0</v>
      </c>
      <c r="K49" s="4">
        <v>0</v>
      </c>
      <c r="L49" s="4">
        <v>0</v>
      </c>
      <c r="M49" s="4">
        <v>2.97</v>
      </c>
      <c r="N49" s="4">
        <v>0.06</v>
      </c>
      <c r="O49" s="4">
        <v>4.8099999999999996</v>
      </c>
      <c r="P49" s="4">
        <v>2.97</v>
      </c>
      <c r="Q49" s="4">
        <v>0.96</v>
      </c>
      <c r="R49" s="5">
        <f>IFERROR(VLOOKUP($B49&amp;"|"&amp;$C49,测试原始数据!$A$2:$G$131,4,FALSE),"——")</f>
        <v>20.255000000000003</v>
      </c>
      <c r="S49" s="6">
        <f>IFERROR(VLOOKUP($B49&amp;"|"&amp;$C49,测试原始数据!$A$2:$G$131,5,FALSE),"——")</f>
        <v>183</v>
      </c>
      <c r="T49" s="6">
        <v>2</v>
      </c>
    </row>
    <row r="50" spans="1:20" x14ac:dyDescent="0.35">
      <c r="A50" s="2">
        <v>49</v>
      </c>
      <c r="B50" s="2" t="s">
        <v>69</v>
      </c>
      <c r="C50" s="2" t="s">
        <v>21</v>
      </c>
      <c r="D50" s="4">
        <v>65.98</v>
      </c>
      <c r="E50" s="4">
        <v>0.6</v>
      </c>
      <c r="F50" s="4">
        <v>11.03</v>
      </c>
      <c r="G50" s="4">
        <v>0</v>
      </c>
      <c r="H50" s="4">
        <v>0.54</v>
      </c>
      <c r="I50" s="4">
        <v>4.95</v>
      </c>
      <c r="J50" s="4">
        <v>0</v>
      </c>
      <c r="K50" s="4">
        <v>0</v>
      </c>
      <c r="L50" s="4">
        <v>0</v>
      </c>
      <c r="M50" s="4">
        <v>1.26</v>
      </c>
      <c r="N50" s="4">
        <v>0.06</v>
      </c>
      <c r="O50" s="4">
        <v>11.62</v>
      </c>
      <c r="P50" s="4">
        <v>1.78</v>
      </c>
      <c r="Q50" s="4">
        <v>0</v>
      </c>
      <c r="R50" s="5">
        <f>IFERROR(VLOOKUP($B50&amp;"|"&amp;$C50,测试原始数据!$A$2:$G$131,4,FALSE),"——")</f>
        <v>16.445</v>
      </c>
      <c r="S50" s="6">
        <f>IFERROR(VLOOKUP($B50&amp;"|"&amp;$C50,测试原始数据!$A$2:$G$131,5,FALSE),"——")</f>
        <v>16</v>
      </c>
      <c r="T50" s="6"/>
    </row>
    <row r="51" spans="1:20" x14ac:dyDescent="0.35">
      <c r="A51" s="2">
        <v>50</v>
      </c>
      <c r="B51" s="2" t="s">
        <v>70</v>
      </c>
      <c r="C51" s="2" t="s">
        <v>21</v>
      </c>
      <c r="D51" s="4">
        <v>65.73</v>
      </c>
      <c r="E51" s="4">
        <v>0.91</v>
      </c>
      <c r="F51" s="4">
        <v>0</v>
      </c>
      <c r="G51" s="4">
        <v>0</v>
      </c>
      <c r="H51" s="4">
        <v>1.84</v>
      </c>
      <c r="I51" s="4">
        <v>4.91</v>
      </c>
      <c r="J51" s="4">
        <v>4.51</v>
      </c>
      <c r="K51" s="4">
        <v>0</v>
      </c>
      <c r="L51" s="4">
        <v>0</v>
      </c>
      <c r="M51" s="4">
        <v>1.73</v>
      </c>
      <c r="N51" s="4">
        <v>0.06</v>
      </c>
      <c r="O51" s="4">
        <v>1.95</v>
      </c>
      <c r="P51" s="4">
        <v>4.3899999999999997</v>
      </c>
      <c r="Q51" s="4">
        <v>1.46</v>
      </c>
      <c r="R51" s="5">
        <f>IFERROR(VLOOKUP($B51&amp;"|"&amp;$C51,测试原始数据!$A$2:$G$131,4,FALSE),"——")</f>
        <v>17.59</v>
      </c>
      <c r="S51" s="6">
        <f>IFERROR(VLOOKUP($B51&amp;"|"&amp;$C51,测试原始数据!$A$2:$G$131,5,FALSE),"——")</f>
        <v>78</v>
      </c>
      <c r="T51" s="6">
        <v>3</v>
      </c>
    </row>
    <row r="52" spans="1:20" x14ac:dyDescent="0.35">
      <c r="A52" s="2">
        <v>51</v>
      </c>
      <c r="B52" s="2" t="s">
        <v>70</v>
      </c>
      <c r="C52" s="2" t="s">
        <v>45</v>
      </c>
      <c r="D52" s="4">
        <v>65.73</v>
      </c>
      <c r="E52" s="4">
        <v>0.91</v>
      </c>
      <c r="F52" s="4">
        <v>0</v>
      </c>
      <c r="G52" s="4">
        <v>0</v>
      </c>
      <c r="H52" s="4">
        <v>1.84</v>
      </c>
      <c r="I52" s="4">
        <v>4.91</v>
      </c>
      <c r="J52" s="4">
        <v>4.51</v>
      </c>
      <c r="K52" s="4">
        <v>0</v>
      </c>
      <c r="L52" s="4">
        <v>0</v>
      </c>
      <c r="M52" s="4">
        <v>1.73</v>
      </c>
      <c r="N52" s="4">
        <v>0.06</v>
      </c>
      <c r="O52" s="4">
        <v>1.95</v>
      </c>
      <c r="P52" s="4">
        <v>4.3899999999999997</v>
      </c>
      <c r="Q52" s="4">
        <v>1.46</v>
      </c>
      <c r="R52" s="5">
        <f>IFERROR(VLOOKUP($B52&amp;"|"&amp;$C52,测试原始数据!$A$2:$G$131,4,FALSE),"——")</f>
        <v>18.453333333333333</v>
      </c>
      <c r="S52" s="6">
        <f>IFERROR(VLOOKUP($B52&amp;"|"&amp;$C52,测试原始数据!$A$2:$G$131,5,FALSE),"——")</f>
        <v>60</v>
      </c>
      <c r="T52" s="6">
        <v>3</v>
      </c>
    </row>
    <row r="53" spans="1:20" x14ac:dyDescent="0.35">
      <c r="A53" s="2">
        <v>52</v>
      </c>
      <c r="B53" s="2" t="s">
        <v>70</v>
      </c>
      <c r="C53" s="2" t="s">
        <v>46</v>
      </c>
      <c r="D53" s="4">
        <v>65.73</v>
      </c>
      <c r="E53" s="4">
        <v>0.91</v>
      </c>
      <c r="F53" s="4">
        <v>0</v>
      </c>
      <c r="G53" s="4">
        <v>0</v>
      </c>
      <c r="H53" s="4">
        <v>1.84</v>
      </c>
      <c r="I53" s="4">
        <v>4.91</v>
      </c>
      <c r="J53" s="4">
        <v>4.51</v>
      </c>
      <c r="K53" s="4">
        <v>0</v>
      </c>
      <c r="L53" s="4">
        <v>0</v>
      </c>
      <c r="M53" s="4">
        <v>1.73</v>
      </c>
      <c r="N53" s="4">
        <v>0.06</v>
      </c>
      <c r="O53" s="4">
        <v>1.95</v>
      </c>
      <c r="P53" s="4">
        <v>4.3899999999999997</v>
      </c>
      <c r="Q53" s="4">
        <v>1.46</v>
      </c>
      <c r="R53" s="5">
        <f>IFERROR(VLOOKUP($B53&amp;"|"&amp;$C53,测试原始数据!$A$2:$G$131,4,FALSE),"——")</f>
        <v>14.743333333333334</v>
      </c>
      <c r="S53" s="6">
        <f>IFERROR(VLOOKUP($B53&amp;"|"&amp;$C53,测试原始数据!$A$2:$G$131,5,FALSE),"——")</f>
        <v>63</v>
      </c>
      <c r="T53" s="6">
        <v>2</v>
      </c>
    </row>
    <row r="54" spans="1:20" x14ac:dyDescent="0.35">
      <c r="A54" s="2">
        <v>53</v>
      </c>
      <c r="B54" s="2" t="s">
        <v>71</v>
      </c>
      <c r="C54" s="2" t="s">
        <v>21</v>
      </c>
      <c r="D54" s="4">
        <v>66.040000000000006</v>
      </c>
      <c r="E54" s="4">
        <v>0</v>
      </c>
      <c r="F54" s="4">
        <v>0</v>
      </c>
      <c r="G54" s="4">
        <v>0.44</v>
      </c>
      <c r="H54" s="4">
        <v>4.53</v>
      </c>
      <c r="I54" s="4">
        <v>0</v>
      </c>
      <c r="J54" s="4">
        <v>6.6</v>
      </c>
      <c r="K54" s="4">
        <v>0</v>
      </c>
      <c r="L54" s="4">
        <v>0</v>
      </c>
      <c r="M54" s="4">
        <v>1.08</v>
      </c>
      <c r="N54" s="4">
        <v>0.06</v>
      </c>
      <c r="O54" s="4">
        <v>1.45</v>
      </c>
      <c r="P54" s="4">
        <v>6.67</v>
      </c>
      <c r="Q54" s="4">
        <v>0</v>
      </c>
      <c r="R54" s="5">
        <f>IFERROR(VLOOKUP($B54&amp;"|"&amp;$C54,测试原始数据!$A$2:$G$131,4,FALSE),"——")</f>
        <v>15.67</v>
      </c>
      <c r="S54" s="6">
        <f>IFERROR(VLOOKUP($B54&amp;"|"&amp;$C54,测试原始数据!$A$2:$G$131,5,FALSE),"——")</f>
        <v>8</v>
      </c>
      <c r="T54" s="6" t="s">
        <v>387</v>
      </c>
    </row>
    <row r="55" spans="1:20" x14ac:dyDescent="0.35">
      <c r="A55" s="2">
        <v>54</v>
      </c>
      <c r="B55" s="2" t="s">
        <v>72</v>
      </c>
      <c r="C55" s="2" t="s">
        <v>21</v>
      </c>
      <c r="D55" s="4">
        <v>66.09</v>
      </c>
      <c r="E55" s="4">
        <v>2.2000000000000002</v>
      </c>
      <c r="F55" s="4">
        <v>0</v>
      </c>
      <c r="G55" s="4">
        <v>0.65</v>
      </c>
      <c r="H55" s="4">
        <v>0</v>
      </c>
      <c r="I55" s="4">
        <v>0</v>
      </c>
      <c r="J55" s="4">
        <v>0</v>
      </c>
      <c r="K55" s="4">
        <v>1.68</v>
      </c>
      <c r="L55" s="4">
        <v>0</v>
      </c>
      <c r="M55" s="4">
        <v>0.56000000000000005</v>
      </c>
      <c r="N55" s="4">
        <v>0.06</v>
      </c>
      <c r="O55" s="4">
        <v>2.15</v>
      </c>
      <c r="P55" s="4">
        <v>0.19</v>
      </c>
      <c r="Q55" s="4">
        <v>2.04</v>
      </c>
      <c r="R55" s="5">
        <f>IFERROR(VLOOKUP($B55&amp;"|"&amp;$C55,测试原始数据!$A$2:$G$131,4,FALSE),"——")</f>
        <v>13.9</v>
      </c>
      <c r="S55" s="6">
        <f>IFERROR(VLOOKUP($B55&amp;"|"&amp;$C55,测试原始数据!$A$2:$G$131,5,FALSE),"——")</f>
        <v>152</v>
      </c>
      <c r="T55" s="6">
        <v>2</v>
      </c>
    </row>
    <row r="56" spans="1:20" x14ac:dyDescent="0.35">
      <c r="A56" s="2">
        <v>55</v>
      </c>
      <c r="B56" s="2" t="s">
        <v>73</v>
      </c>
      <c r="C56" s="2" t="s">
        <v>21</v>
      </c>
      <c r="D56" s="4">
        <v>66.03</v>
      </c>
      <c r="E56" s="4">
        <v>2.2599999999999998</v>
      </c>
      <c r="F56" s="4">
        <v>6.48</v>
      </c>
      <c r="G56" s="4">
        <v>0.47</v>
      </c>
      <c r="H56" s="4">
        <v>5.94</v>
      </c>
      <c r="I56" s="4">
        <v>0</v>
      </c>
      <c r="J56" s="4">
        <v>0.77</v>
      </c>
      <c r="K56" s="4">
        <v>0</v>
      </c>
      <c r="L56" s="4">
        <v>0.38</v>
      </c>
      <c r="M56" s="4">
        <v>3.09</v>
      </c>
      <c r="N56" s="4">
        <v>0.06</v>
      </c>
      <c r="O56" s="4">
        <v>1.32</v>
      </c>
      <c r="P56" s="4">
        <v>10.65</v>
      </c>
      <c r="Q56" s="4">
        <v>1.02</v>
      </c>
      <c r="R56" s="5">
        <f>IFERROR(VLOOKUP($B56&amp;"|"&amp;$C56,测试原始数据!$A$2:$G$131,4,FALSE),"——")</f>
        <v>19.649999999999999</v>
      </c>
      <c r="S56" s="6">
        <f>IFERROR(VLOOKUP($B56&amp;"|"&amp;$C56,测试原始数据!$A$2:$G$131,5,FALSE),"——")</f>
        <v>97</v>
      </c>
      <c r="T56" s="6">
        <v>4</v>
      </c>
    </row>
    <row r="57" spans="1:20" x14ac:dyDescent="0.35">
      <c r="A57" s="2">
        <v>56</v>
      </c>
      <c r="B57" s="2" t="s">
        <v>74</v>
      </c>
      <c r="C57" s="2" t="s">
        <v>21</v>
      </c>
      <c r="D57" s="4">
        <v>66.099999999999994</v>
      </c>
      <c r="E57" s="4">
        <v>2.35</v>
      </c>
      <c r="F57" s="4">
        <v>0</v>
      </c>
      <c r="G57" s="4">
        <v>0.49</v>
      </c>
      <c r="H57" s="4">
        <v>0</v>
      </c>
      <c r="I57" s="4">
        <v>5.88</v>
      </c>
      <c r="J57" s="4">
        <v>6.72</v>
      </c>
      <c r="K57" s="4">
        <v>2.89</v>
      </c>
      <c r="L57" s="4">
        <v>0</v>
      </c>
      <c r="M57" s="4">
        <v>2.02</v>
      </c>
      <c r="N57" s="4">
        <v>0.06</v>
      </c>
      <c r="O57" s="4">
        <v>11.46</v>
      </c>
      <c r="P57" s="4">
        <v>0.47</v>
      </c>
      <c r="Q57" s="4">
        <v>0.59</v>
      </c>
      <c r="R57" s="5">
        <f>IFERROR(VLOOKUP($B57&amp;"|"&amp;$C57,测试原始数据!$A$2:$G$131,4,FALSE),"——")</f>
        <v>18.024999999999999</v>
      </c>
      <c r="S57" s="6">
        <f>IFERROR(VLOOKUP($B57&amp;"|"&amp;$C57,测试原始数据!$A$2:$G$131,5,FALSE),"——")</f>
        <v>25</v>
      </c>
      <c r="T57" s="6">
        <v>3</v>
      </c>
    </row>
    <row r="58" spans="1:20" x14ac:dyDescent="0.35">
      <c r="A58" s="2">
        <v>57</v>
      </c>
      <c r="B58" s="2" t="s">
        <v>75</v>
      </c>
      <c r="C58" s="2" t="s">
        <v>21</v>
      </c>
      <c r="D58" s="4">
        <v>66.069999999999993</v>
      </c>
      <c r="E58" s="4">
        <v>0</v>
      </c>
      <c r="F58" s="4">
        <v>2.2400000000000002</v>
      </c>
      <c r="G58" s="4">
        <v>0</v>
      </c>
      <c r="H58" s="4">
        <v>0</v>
      </c>
      <c r="I58" s="4">
        <v>1.48</v>
      </c>
      <c r="J58" s="4">
        <v>6.01</v>
      </c>
      <c r="K58" s="4">
        <v>3.35</v>
      </c>
      <c r="L58" s="4">
        <v>1.56</v>
      </c>
      <c r="M58" s="4">
        <v>1.63</v>
      </c>
      <c r="N58" s="4">
        <v>0.06</v>
      </c>
      <c r="O58" s="4">
        <v>11.32</v>
      </c>
      <c r="P58" s="4">
        <v>1</v>
      </c>
      <c r="Q58" s="4">
        <v>0</v>
      </c>
      <c r="R58" s="5">
        <f>IFERROR(VLOOKUP($B58&amp;"|"&amp;$C58,测试原始数据!$A$2:$G$131,4,FALSE),"——")</f>
        <v>15.815000000000001</v>
      </c>
      <c r="S58" s="6">
        <f>IFERROR(VLOOKUP($B58&amp;"|"&amp;$C58,测试原始数据!$A$2:$G$131,5,FALSE),"——")</f>
        <v>10</v>
      </c>
      <c r="T58" s="6">
        <v>4</v>
      </c>
    </row>
    <row r="59" spans="1:20" x14ac:dyDescent="0.35">
      <c r="A59" s="2">
        <v>58</v>
      </c>
      <c r="B59" s="2" t="s">
        <v>76</v>
      </c>
      <c r="C59" s="2" t="s">
        <v>21</v>
      </c>
      <c r="D59" s="4">
        <v>66.069999999999993</v>
      </c>
      <c r="E59" s="4">
        <v>2.6</v>
      </c>
      <c r="F59" s="4">
        <v>8.5399999999999991</v>
      </c>
      <c r="G59" s="4">
        <v>0.32</v>
      </c>
      <c r="H59" s="4">
        <v>2.23</v>
      </c>
      <c r="I59" s="4">
        <v>0</v>
      </c>
      <c r="J59" s="4">
        <v>1.0900000000000001</v>
      </c>
      <c r="K59" s="4">
        <v>0</v>
      </c>
      <c r="L59" s="4">
        <v>0.56000000000000005</v>
      </c>
      <c r="M59" s="4">
        <v>0.79</v>
      </c>
      <c r="N59" s="4">
        <v>0.06</v>
      </c>
      <c r="O59" s="4">
        <v>11.86</v>
      </c>
      <c r="P59" s="4">
        <v>0.57999999999999996</v>
      </c>
      <c r="Q59" s="4">
        <v>1.57</v>
      </c>
      <c r="R59" s="5">
        <f>IFERROR(VLOOKUP($B59&amp;"|"&amp;$C59,测试原始数据!$A$2:$G$131,4,FALSE),"——")</f>
        <v>19.88</v>
      </c>
      <c r="S59" s="6">
        <f>IFERROR(VLOOKUP($B59&amp;"|"&amp;$C59,测试原始数据!$A$2:$G$131,5,FALSE),"——")</f>
        <v>114</v>
      </c>
      <c r="T59" s="6">
        <v>2</v>
      </c>
    </row>
    <row r="60" spans="1:20" x14ac:dyDescent="0.35">
      <c r="A60" s="2">
        <v>59</v>
      </c>
      <c r="B60" s="2" t="s">
        <v>77</v>
      </c>
      <c r="C60" s="2" t="s">
        <v>21</v>
      </c>
      <c r="D60" s="4">
        <v>66.08</v>
      </c>
      <c r="E60" s="4">
        <v>0</v>
      </c>
      <c r="F60" s="4">
        <v>0</v>
      </c>
      <c r="G60" s="4">
        <v>0</v>
      </c>
      <c r="H60" s="4">
        <v>1.92</v>
      </c>
      <c r="I60" s="4">
        <v>6.47</v>
      </c>
      <c r="J60" s="4">
        <v>6.52</v>
      </c>
      <c r="K60" s="4">
        <v>3.03</v>
      </c>
      <c r="L60" s="4">
        <v>0</v>
      </c>
      <c r="M60" s="4">
        <v>2.5</v>
      </c>
      <c r="N60" s="4">
        <v>0.06</v>
      </c>
      <c r="O60" s="4">
        <v>2.85</v>
      </c>
      <c r="P60" s="4">
        <v>8.56</v>
      </c>
      <c r="Q60" s="4">
        <v>0.35</v>
      </c>
      <c r="R60" s="5">
        <f>IFERROR(VLOOKUP($B60&amp;"|"&amp;$C60,测试原始数据!$A$2:$G$131,4,FALSE),"——")</f>
        <v>15.055</v>
      </c>
      <c r="S60" s="6">
        <f>IFERROR(VLOOKUP($B60&amp;"|"&amp;$C60,测试原始数据!$A$2:$G$131,5,FALSE),"——")</f>
        <v>12</v>
      </c>
      <c r="T60" s="6">
        <v>4</v>
      </c>
    </row>
    <row r="61" spans="1:20" x14ac:dyDescent="0.35">
      <c r="A61" s="2">
        <v>60</v>
      </c>
      <c r="B61" s="2" t="s">
        <v>78</v>
      </c>
      <c r="C61" s="2" t="s">
        <v>21</v>
      </c>
      <c r="D61" s="4">
        <v>65.98</v>
      </c>
      <c r="E61" s="4">
        <v>1.36</v>
      </c>
      <c r="F61" s="4">
        <v>11.3</v>
      </c>
      <c r="G61" s="4">
        <v>0</v>
      </c>
      <c r="H61" s="4">
        <v>0</v>
      </c>
      <c r="I61" s="4">
        <v>2.5299999999999998</v>
      </c>
      <c r="J61" s="4">
        <v>0</v>
      </c>
      <c r="K61" s="4">
        <v>0</v>
      </c>
      <c r="L61" s="4">
        <v>0</v>
      </c>
      <c r="M61" s="4">
        <v>1.01</v>
      </c>
      <c r="N61" s="4">
        <v>0.06</v>
      </c>
      <c r="O61" s="4">
        <v>0.99</v>
      </c>
      <c r="P61" s="4">
        <v>12.21</v>
      </c>
      <c r="Q61" s="4">
        <v>0</v>
      </c>
      <c r="R61" s="5">
        <f>IFERROR(VLOOKUP($B61&amp;"|"&amp;$C61,测试原始数据!$A$2:$G$131,4,FALSE),"——")</f>
        <v>14.8</v>
      </c>
      <c r="S61" s="6">
        <f>IFERROR(VLOOKUP($B61&amp;"|"&amp;$C61,测试原始数据!$A$2:$G$131,5,FALSE),"——")</f>
        <v>70</v>
      </c>
      <c r="T61" s="6">
        <v>2</v>
      </c>
    </row>
    <row r="62" spans="1:20" x14ac:dyDescent="0.35">
      <c r="A62" s="2">
        <v>61</v>
      </c>
      <c r="B62" s="2" t="s">
        <v>79</v>
      </c>
      <c r="C62" s="2" t="s">
        <v>21</v>
      </c>
      <c r="D62" s="4">
        <v>66.099999999999994</v>
      </c>
      <c r="E62" s="4">
        <v>0.51</v>
      </c>
      <c r="F62" s="4">
        <v>11.84</v>
      </c>
      <c r="G62" s="4">
        <v>0.37</v>
      </c>
      <c r="H62" s="4">
        <v>3.05</v>
      </c>
      <c r="I62" s="4">
        <v>7.84</v>
      </c>
      <c r="J62" s="4">
        <v>0</v>
      </c>
      <c r="K62" s="4">
        <v>0</v>
      </c>
      <c r="L62" s="4">
        <v>0</v>
      </c>
      <c r="M62" s="4">
        <v>3.41</v>
      </c>
      <c r="N62" s="4">
        <v>0.06</v>
      </c>
      <c r="O62" s="4">
        <v>3.89</v>
      </c>
      <c r="P62" s="4">
        <v>12.34</v>
      </c>
      <c r="Q62" s="4">
        <v>0</v>
      </c>
      <c r="R62" s="5">
        <f>IFERROR(VLOOKUP($B62&amp;"|"&amp;$C62,测试原始数据!$A$2:$G$131,4,FALSE),"——")</f>
        <v>18.05</v>
      </c>
      <c r="S62" s="6">
        <f>IFERROR(VLOOKUP($B62&amp;"|"&amp;$C62,测试原始数据!$A$2:$G$131,5,FALSE),"——")</f>
        <v>67</v>
      </c>
      <c r="T62" s="6">
        <v>3</v>
      </c>
    </row>
    <row r="63" spans="1:20" x14ac:dyDescent="0.35">
      <c r="A63" s="2">
        <v>62</v>
      </c>
      <c r="B63" s="2" t="s">
        <v>80</v>
      </c>
      <c r="C63" s="2" t="s">
        <v>21</v>
      </c>
      <c r="D63" s="4">
        <v>65.97</v>
      </c>
      <c r="E63" s="4">
        <v>3.27</v>
      </c>
      <c r="F63" s="4">
        <v>12.99</v>
      </c>
      <c r="G63" s="4">
        <v>0.7</v>
      </c>
      <c r="H63" s="4">
        <v>5.44</v>
      </c>
      <c r="I63" s="4">
        <v>0</v>
      </c>
      <c r="J63" s="4">
        <v>0.95</v>
      </c>
      <c r="K63" s="4">
        <v>3.94</v>
      </c>
      <c r="L63" s="4">
        <v>1.6</v>
      </c>
      <c r="M63" s="4">
        <v>4.1399999999999997</v>
      </c>
      <c r="N63" s="4">
        <v>0.06</v>
      </c>
      <c r="O63" s="4">
        <v>5.91</v>
      </c>
      <c r="P63" s="4">
        <v>16.98</v>
      </c>
      <c r="Q63" s="4">
        <v>2.99</v>
      </c>
      <c r="R63" s="5">
        <f>IFERROR(VLOOKUP($B63&amp;"|"&amp;$C63,测试原始数据!$A$2:$G$131,4,FALSE),"——")</f>
        <v>21.4</v>
      </c>
      <c r="S63" s="6">
        <f>IFERROR(VLOOKUP($B63&amp;"|"&amp;$C63,测试原始数据!$A$2:$G$131,5,FALSE),"——")</f>
        <v>177</v>
      </c>
      <c r="T63" s="6">
        <v>5</v>
      </c>
    </row>
    <row r="64" spans="1:20" x14ac:dyDescent="0.35">
      <c r="A64" s="2">
        <v>63</v>
      </c>
      <c r="B64" s="2" t="s">
        <v>81</v>
      </c>
      <c r="C64" s="2" t="s">
        <v>21</v>
      </c>
      <c r="D64" s="4">
        <v>66.069999999999993</v>
      </c>
      <c r="E64" s="4">
        <v>3.44</v>
      </c>
      <c r="F64" s="4">
        <v>13.45</v>
      </c>
      <c r="G64" s="4">
        <v>0.68</v>
      </c>
      <c r="H64" s="4">
        <v>0</v>
      </c>
      <c r="I64" s="4">
        <v>1.68</v>
      </c>
      <c r="J64" s="4">
        <v>0</v>
      </c>
      <c r="K64" s="4">
        <v>0</v>
      </c>
      <c r="L64" s="4">
        <v>0</v>
      </c>
      <c r="M64" s="4">
        <v>1.23</v>
      </c>
      <c r="N64" s="4">
        <v>0.06</v>
      </c>
      <c r="O64" s="4">
        <v>12</v>
      </c>
      <c r="P64" s="4">
        <v>4.3099999999999996</v>
      </c>
      <c r="Q64" s="4">
        <v>1.1100000000000001</v>
      </c>
      <c r="R64" s="5">
        <f>IFERROR(VLOOKUP($B64&amp;"|"&amp;$C64,测试原始数据!$A$2:$G$131,4,FALSE),"——")</f>
        <v>17.549999999999997</v>
      </c>
      <c r="S64" s="6">
        <f>IFERROR(VLOOKUP($B64&amp;"|"&amp;$C64,测试原始数据!$A$2:$G$131,5,FALSE),"——")</f>
        <v>123</v>
      </c>
      <c r="T64" s="6">
        <v>2</v>
      </c>
    </row>
    <row r="65" spans="1:20" x14ac:dyDescent="0.35">
      <c r="A65" s="2">
        <v>64</v>
      </c>
      <c r="B65" s="2" t="s">
        <v>82</v>
      </c>
      <c r="C65" s="2" t="s">
        <v>21</v>
      </c>
      <c r="D65" s="4">
        <v>66.05</v>
      </c>
      <c r="E65" s="4">
        <v>2.69</v>
      </c>
      <c r="F65" s="4">
        <v>0</v>
      </c>
      <c r="G65" s="4">
        <v>0.1</v>
      </c>
      <c r="H65" s="4">
        <v>8.23</v>
      </c>
      <c r="I65" s="4">
        <v>8.99</v>
      </c>
      <c r="J65" s="4">
        <v>4.49</v>
      </c>
      <c r="K65" s="4">
        <v>0</v>
      </c>
      <c r="L65" s="4">
        <v>0.24</v>
      </c>
      <c r="M65" s="4">
        <v>3.41</v>
      </c>
      <c r="N65" s="4">
        <v>0.06</v>
      </c>
      <c r="O65" s="4">
        <v>1.62</v>
      </c>
      <c r="P65" s="4">
        <v>11.01</v>
      </c>
      <c r="Q65" s="4">
        <v>2.92</v>
      </c>
      <c r="R65" s="5">
        <f>IFERROR(VLOOKUP($B65&amp;"|"&amp;$C65,测试原始数据!$A$2:$G$131,4,FALSE),"——")</f>
        <v>25.774999999999999</v>
      </c>
      <c r="S65" s="6">
        <f>IFERROR(VLOOKUP($B65&amp;"|"&amp;$C65,测试原始数据!$A$2:$G$131,5,FALSE),"——")</f>
        <v>300</v>
      </c>
      <c r="T65" s="6">
        <v>4</v>
      </c>
    </row>
    <row r="66" spans="1:20" x14ac:dyDescent="0.35">
      <c r="A66" s="2">
        <v>65</v>
      </c>
      <c r="B66" s="2" t="s">
        <v>83</v>
      </c>
      <c r="C66" s="2" t="s">
        <v>21</v>
      </c>
      <c r="D66" s="4">
        <v>66.150000000000006</v>
      </c>
      <c r="E66" s="4">
        <v>0.72</v>
      </c>
      <c r="F66" s="4">
        <v>12.81</v>
      </c>
      <c r="G66" s="4">
        <v>0.2</v>
      </c>
      <c r="H66" s="4">
        <v>7.45</v>
      </c>
      <c r="I66" s="4">
        <v>0</v>
      </c>
      <c r="J66" s="4">
        <v>0.84</v>
      </c>
      <c r="K66" s="4">
        <v>0</v>
      </c>
      <c r="L66" s="4">
        <v>0</v>
      </c>
      <c r="M66" s="4">
        <v>2.8</v>
      </c>
      <c r="N66" s="4">
        <v>0.06</v>
      </c>
      <c r="O66" s="4">
        <v>12.49</v>
      </c>
      <c r="P66" s="4">
        <v>4.57</v>
      </c>
      <c r="Q66" s="4">
        <v>1.45</v>
      </c>
      <c r="R66" s="5">
        <f>IFERROR(VLOOKUP($B66&amp;"|"&amp;$C66,测试原始数据!$A$2:$G$131,4,FALSE),"——")</f>
        <v>19.04</v>
      </c>
      <c r="S66" s="6">
        <f>IFERROR(VLOOKUP($B66&amp;"|"&amp;$C66,测试原始数据!$A$2:$G$131,5,FALSE),"——")</f>
        <v>92</v>
      </c>
      <c r="T66" s="6">
        <v>4</v>
      </c>
    </row>
    <row r="67" spans="1:20" x14ac:dyDescent="0.35">
      <c r="A67" s="2">
        <v>66</v>
      </c>
      <c r="B67" s="2" t="s">
        <v>84</v>
      </c>
      <c r="C67" s="2" t="s">
        <v>21</v>
      </c>
      <c r="D67" s="4">
        <v>66.010000000000005</v>
      </c>
      <c r="E67" s="4">
        <v>0</v>
      </c>
      <c r="F67" s="4">
        <v>2.68</v>
      </c>
      <c r="G67" s="4">
        <v>0.56000000000000005</v>
      </c>
      <c r="H67" s="4">
        <v>8.06</v>
      </c>
      <c r="I67" s="4">
        <v>7.95</v>
      </c>
      <c r="J67" s="4">
        <v>3.05</v>
      </c>
      <c r="K67" s="4">
        <v>2.2200000000000002</v>
      </c>
      <c r="L67" s="4">
        <v>1.54</v>
      </c>
      <c r="M67" s="4">
        <v>3.27</v>
      </c>
      <c r="N67" s="4">
        <v>0.06</v>
      </c>
      <c r="O67" s="4">
        <v>10.95</v>
      </c>
      <c r="P67" s="4">
        <v>3.55</v>
      </c>
      <c r="Q67" s="4">
        <v>2.96</v>
      </c>
      <c r="R67" s="5">
        <f>IFERROR(VLOOKUP($B67&amp;"|"&amp;$C67,测试原始数据!$A$2:$G$131,4,FALSE),"——")</f>
        <v>22.27</v>
      </c>
      <c r="S67" s="6">
        <f>IFERROR(VLOOKUP($B67&amp;"|"&amp;$C67,测试原始数据!$A$2:$G$131,5,FALSE),"——")</f>
        <v>300</v>
      </c>
      <c r="T67" s="6">
        <v>4</v>
      </c>
    </row>
    <row r="68" spans="1:20" x14ac:dyDescent="0.35">
      <c r="A68" s="2">
        <v>67</v>
      </c>
      <c r="B68" s="2" t="s">
        <v>85</v>
      </c>
      <c r="C68" s="2" t="s">
        <v>21</v>
      </c>
      <c r="D68" s="4">
        <v>66.040000000000006</v>
      </c>
      <c r="E68" s="4">
        <v>0.49</v>
      </c>
      <c r="F68" s="4">
        <v>13.16</v>
      </c>
      <c r="G68" s="4">
        <v>0.6</v>
      </c>
      <c r="H68" s="4">
        <v>0</v>
      </c>
      <c r="I68" s="4">
        <v>1.42</v>
      </c>
      <c r="J68" s="4">
        <v>7.55</v>
      </c>
      <c r="K68" s="4">
        <v>0</v>
      </c>
      <c r="L68" s="4">
        <v>0</v>
      </c>
      <c r="M68" s="4">
        <v>2.46</v>
      </c>
      <c r="N68" s="4">
        <v>0.06</v>
      </c>
      <c r="O68" s="4">
        <v>1.02</v>
      </c>
      <c r="P68" s="4">
        <v>16.8</v>
      </c>
      <c r="Q68" s="4">
        <v>2.68</v>
      </c>
      <c r="R68" s="5">
        <f>IFERROR(VLOOKUP($B68&amp;"|"&amp;$C68,测试原始数据!$A$2:$G$131,4,FALSE),"——")</f>
        <v>22.75</v>
      </c>
      <c r="S68" s="6">
        <f>IFERROR(VLOOKUP($B68&amp;"|"&amp;$C68,测试原始数据!$A$2:$G$131,5,FALSE),"——")</f>
        <v>300</v>
      </c>
      <c r="T68" s="6">
        <v>4</v>
      </c>
    </row>
    <row r="69" spans="1:20" x14ac:dyDescent="0.35">
      <c r="A69" s="2">
        <v>68</v>
      </c>
      <c r="B69" s="2" t="s">
        <v>86</v>
      </c>
      <c r="C69" s="2" t="s">
        <v>21</v>
      </c>
      <c r="D69" s="4">
        <v>66.06</v>
      </c>
      <c r="E69" s="4">
        <v>0.28000000000000003</v>
      </c>
      <c r="F69" s="4">
        <v>14.98</v>
      </c>
      <c r="G69" s="4">
        <v>0</v>
      </c>
      <c r="H69" s="4">
        <v>0.4</v>
      </c>
      <c r="I69" s="4">
        <v>4.78</v>
      </c>
      <c r="J69" s="4">
        <v>0</v>
      </c>
      <c r="K69" s="4">
        <v>0</v>
      </c>
      <c r="L69" s="4">
        <v>0</v>
      </c>
      <c r="M69" s="4">
        <v>0.87</v>
      </c>
      <c r="N69" s="4">
        <v>0.06</v>
      </c>
      <c r="O69" s="4">
        <v>9.8699999999999992</v>
      </c>
      <c r="P69" s="4">
        <v>5.13</v>
      </c>
      <c r="Q69" s="4">
        <v>2.92</v>
      </c>
      <c r="R69" s="5">
        <f>IFERROR(VLOOKUP($B69&amp;"|"&amp;$C69,测试原始数据!$A$2:$G$131,4,FALSE),"——")</f>
        <v>22.695</v>
      </c>
      <c r="S69" s="6">
        <f>IFERROR(VLOOKUP($B69&amp;"|"&amp;$C69,测试原始数据!$A$2:$G$131,5,FALSE),"——")</f>
        <v>300</v>
      </c>
      <c r="T69" s="6">
        <v>3</v>
      </c>
    </row>
    <row r="70" spans="1:20" x14ac:dyDescent="0.35">
      <c r="A70" s="2">
        <v>69</v>
      </c>
      <c r="B70" s="2" t="s">
        <v>87</v>
      </c>
      <c r="C70" s="2" t="s">
        <v>21</v>
      </c>
      <c r="D70" s="4">
        <v>66.040000000000006</v>
      </c>
      <c r="E70" s="4">
        <v>2.44</v>
      </c>
      <c r="F70" s="4">
        <v>6.39</v>
      </c>
      <c r="G70" s="4">
        <v>0.76</v>
      </c>
      <c r="H70" s="4">
        <v>8.02</v>
      </c>
      <c r="I70" s="4">
        <v>0</v>
      </c>
      <c r="J70" s="4">
        <v>0</v>
      </c>
      <c r="K70" s="4">
        <v>0.92</v>
      </c>
      <c r="L70" s="4">
        <v>1.94</v>
      </c>
      <c r="M70" s="4">
        <v>3.58</v>
      </c>
      <c r="N70" s="4">
        <v>0.06</v>
      </c>
      <c r="O70" s="4">
        <v>10.87</v>
      </c>
      <c r="P70" s="4">
        <v>4.54</v>
      </c>
      <c r="Q70" s="4">
        <v>0</v>
      </c>
      <c r="R70" s="5">
        <f>IFERROR(VLOOKUP($B70&amp;"|"&amp;$C70,测试原始数据!$A$2:$G$131,4,FALSE),"——")</f>
        <v>20.895</v>
      </c>
      <c r="S70" s="6">
        <f>IFERROR(VLOOKUP($B70&amp;"|"&amp;$C70,测试原始数据!$A$2:$G$131,5,FALSE),"——")</f>
        <v>135</v>
      </c>
      <c r="T70" s="6">
        <v>3</v>
      </c>
    </row>
    <row r="71" spans="1:20" x14ac:dyDescent="0.35">
      <c r="A71" s="2">
        <v>70</v>
      </c>
      <c r="B71" s="2" t="s">
        <v>88</v>
      </c>
      <c r="C71" s="2" t="s">
        <v>21</v>
      </c>
      <c r="D71" s="4">
        <v>66.08</v>
      </c>
      <c r="E71" s="4">
        <v>3.54</v>
      </c>
      <c r="F71" s="4">
        <v>11.34</v>
      </c>
      <c r="G71" s="4">
        <v>0</v>
      </c>
      <c r="H71" s="4">
        <v>1.48</v>
      </c>
      <c r="I71" s="4">
        <v>8.5500000000000007</v>
      </c>
      <c r="J71" s="4">
        <v>0</v>
      </c>
      <c r="K71" s="4">
        <v>0.71</v>
      </c>
      <c r="L71" s="4">
        <v>1.41</v>
      </c>
      <c r="M71" s="4">
        <v>2.54</v>
      </c>
      <c r="N71" s="4">
        <v>0.06</v>
      </c>
      <c r="O71" s="4">
        <v>11.19</v>
      </c>
      <c r="P71" s="4">
        <v>7.32</v>
      </c>
      <c r="Q71" s="4">
        <v>2.71</v>
      </c>
      <c r="R71" s="5">
        <f>IFERROR(VLOOKUP($B71&amp;"|"&amp;$C71,测试原始数据!$A$2:$G$131,4,FALSE),"——")</f>
        <v>23.615000000000002</v>
      </c>
      <c r="S71" s="6">
        <f>IFERROR(VLOOKUP($B71&amp;"|"&amp;$C71,测试原始数据!$A$2:$G$131,5,FALSE),"——")</f>
        <v>300</v>
      </c>
      <c r="T71" s="6">
        <v>3</v>
      </c>
    </row>
    <row r="72" spans="1:20" x14ac:dyDescent="0.35">
      <c r="A72" s="2">
        <v>71</v>
      </c>
      <c r="B72" s="2" t="s">
        <v>89</v>
      </c>
      <c r="C72" s="2" t="s">
        <v>21</v>
      </c>
      <c r="D72" s="4">
        <v>66.19</v>
      </c>
      <c r="E72" s="4">
        <v>1.66</v>
      </c>
      <c r="F72" s="4">
        <v>11.42</v>
      </c>
      <c r="G72" s="4">
        <v>0</v>
      </c>
      <c r="H72" s="4">
        <v>0.35</v>
      </c>
      <c r="I72" s="4">
        <v>2.86</v>
      </c>
      <c r="J72" s="4">
        <v>7.54</v>
      </c>
      <c r="K72" s="4">
        <v>4.5</v>
      </c>
      <c r="L72" s="4">
        <v>1.94</v>
      </c>
      <c r="M72" s="4">
        <v>2.0299999999999998</v>
      </c>
      <c r="N72" s="4">
        <v>0.06</v>
      </c>
      <c r="O72" s="4">
        <v>2.71</v>
      </c>
      <c r="P72" s="4">
        <v>23.35</v>
      </c>
      <c r="Q72" s="4">
        <v>0.27</v>
      </c>
      <c r="R72" s="5">
        <f>IFERROR(VLOOKUP($B72&amp;"|"&amp;$C72,测试原始数据!$A$2:$G$131,4,FALSE),"——")</f>
        <v>17.29</v>
      </c>
      <c r="S72" s="6">
        <f>IFERROR(VLOOKUP($B72&amp;"|"&amp;$C72,测试原始数据!$A$2:$G$131,5,FALSE),"——")</f>
        <v>62</v>
      </c>
      <c r="T72" s="6">
        <v>2</v>
      </c>
    </row>
    <row r="73" spans="1:20" x14ac:dyDescent="0.35">
      <c r="A73" s="2">
        <v>72</v>
      </c>
      <c r="B73" s="2" t="s">
        <v>90</v>
      </c>
      <c r="C73" s="2" t="s">
        <v>21</v>
      </c>
      <c r="D73" s="4">
        <v>66.08</v>
      </c>
      <c r="E73" s="4">
        <v>3.46</v>
      </c>
      <c r="F73" s="4">
        <v>0</v>
      </c>
      <c r="G73" s="4">
        <v>0.21</v>
      </c>
      <c r="H73" s="4">
        <v>5.59</v>
      </c>
      <c r="I73" s="4">
        <v>6.3</v>
      </c>
      <c r="J73" s="4">
        <v>6.6</v>
      </c>
      <c r="K73" s="4">
        <v>4.88</v>
      </c>
      <c r="L73" s="4">
        <v>1.87</v>
      </c>
      <c r="M73" s="4">
        <v>1.19</v>
      </c>
      <c r="N73" s="4">
        <v>0.06</v>
      </c>
      <c r="O73" s="4">
        <v>1.05</v>
      </c>
      <c r="P73" s="4">
        <v>18.54</v>
      </c>
      <c r="Q73" s="4">
        <v>2.57</v>
      </c>
      <c r="R73" s="5">
        <f>IFERROR(VLOOKUP($B73&amp;"|"&amp;$C73,测试原始数据!$A$2:$G$131,4,FALSE),"——")</f>
        <v>21.009999999999998</v>
      </c>
      <c r="S73" s="6">
        <f>IFERROR(VLOOKUP($B73&amp;"|"&amp;$C73,测试原始数据!$A$2:$G$131,5,FALSE),"——")</f>
        <v>300</v>
      </c>
      <c r="T73" s="6">
        <v>2</v>
      </c>
    </row>
    <row r="74" spans="1:20" x14ac:dyDescent="0.35">
      <c r="A74" s="2">
        <v>73</v>
      </c>
      <c r="B74" s="2" t="s">
        <v>91</v>
      </c>
      <c r="C74" s="2" t="s">
        <v>21</v>
      </c>
      <c r="D74" s="4">
        <v>66.08</v>
      </c>
      <c r="E74" s="4">
        <v>3.3</v>
      </c>
      <c r="F74" s="4">
        <v>10.73</v>
      </c>
      <c r="G74" s="4">
        <v>0</v>
      </c>
      <c r="H74" s="4">
        <v>0</v>
      </c>
      <c r="I74" s="4">
        <v>1.1000000000000001</v>
      </c>
      <c r="J74" s="4">
        <v>8.2899999999999991</v>
      </c>
      <c r="K74" s="4">
        <v>1.52</v>
      </c>
      <c r="L74" s="4">
        <v>0.93</v>
      </c>
      <c r="M74" s="4">
        <v>3.77</v>
      </c>
      <c r="N74" s="4">
        <v>0.06</v>
      </c>
      <c r="O74" s="4">
        <v>12.29</v>
      </c>
      <c r="P74" s="4">
        <v>9.5</v>
      </c>
      <c r="Q74" s="4">
        <v>0.49</v>
      </c>
      <c r="R74" s="5">
        <f>IFERROR(VLOOKUP($B74&amp;"|"&amp;$C74,测试原始数据!$A$2:$G$131,4,FALSE),"——")</f>
        <v>20.145</v>
      </c>
      <c r="S74" s="6">
        <f>IFERROR(VLOOKUP($B74&amp;"|"&amp;$C74,测试原始数据!$A$2:$G$131,5,FALSE),"——")</f>
        <v>129</v>
      </c>
      <c r="T74" s="6">
        <v>2</v>
      </c>
    </row>
    <row r="75" spans="1:20" x14ac:dyDescent="0.35">
      <c r="A75" s="2">
        <v>74</v>
      </c>
      <c r="B75" s="2" t="s">
        <v>92</v>
      </c>
      <c r="C75" s="2" t="s">
        <v>21</v>
      </c>
      <c r="D75" s="4">
        <v>66.040000000000006</v>
      </c>
      <c r="E75" s="4">
        <v>0</v>
      </c>
      <c r="F75" s="4">
        <v>1.22</v>
      </c>
      <c r="G75" s="4">
        <v>0.56999999999999995</v>
      </c>
      <c r="H75" s="4">
        <v>7.93</v>
      </c>
      <c r="I75" s="4">
        <v>6.67</v>
      </c>
      <c r="J75" s="4">
        <v>7.04</v>
      </c>
      <c r="K75" s="4">
        <v>4.2</v>
      </c>
      <c r="L75" s="4">
        <v>0</v>
      </c>
      <c r="M75" s="4">
        <v>0.89</v>
      </c>
      <c r="N75" s="4">
        <v>0.06</v>
      </c>
      <c r="O75" s="4">
        <v>3.38</v>
      </c>
      <c r="P75" s="4">
        <v>15.8</v>
      </c>
      <c r="Q75" s="4">
        <v>0</v>
      </c>
      <c r="R75" s="5">
        <f>IFERROR(VLOOKUP($B75&amp;"|"&amp;$C75,测试原始数据!$A$2:$G$131,4,FALSE),"——")</f>
        <v>20.085000000000001</v>
      </c>
      <c r="S75" s="6">
        <f>IFERROR(VLOOKUP($B75&amp;"|"&amp;$C75,测试原始数据!$A$2:$G$131,5,FALSE),"——")</f>
        <v>15</v>
      </c>
      <c r="T75" s="6">
        <v>4</v>
      </c>
    </row>
    <row r="76" spans="1:20" x14ac:dyDescent="0.35">
      <c r="A76" s="2">
        <v>75</v>
      </c>
      <c r="B76" s="2" t="s">
        <v>93</v>
      </c>
      <c r="C76" s="2" t="s">
        <v>21</v>
      </c>
      <c r="D76" s="4">
        <v>65.959999999999994</v>
      </c>
      <c r="E76" s="4">
        <v>2.6</v>
      </c>
      <c r="F76" s="4">
        <v>0</v>
      </c>
      <c r="G76" s="4">
        <v>0</v>
      </c>
      <c r="H76" s="4">
        <v>4.76</v>
      </c>
      <c r="I76" s="4">
        <v>8.2899999999999991</v>
      </c>
      <c r="J76" s="4">
        <v>8.48</v>
      </c>
      <c r="K76" s="4">
        <v>3.54</v>
      </c>
      <c r="L76" s="4">
        <v>1.8</v>
      </c>
      <c r="M76" s="4">
        <v>3.79</v>
      </c>
      <c r="N76" s="4">
        <v>0.06</v>
      </c>
      <c r="O76" s="4">
        <v>2.58</v>
      </c>
      <c r="P76" s="4">
        <v>18.14</v>
      </c>
      <c r="Q76" s="4">
        <v>0.77</v>
      </c>
      <c r="R76" s="5">
        <f>IFERROR(VLOOKUP($B76&amp;"|"&amp;$C76,测试原始数据!$A$2:$G$131,4,FALSE),"——")</f>
        <v>19.645000000000003</v>
      </c>
      <c r="S76" s="6">
        <f>IFERROR(VLOOKUP($B76&amp;"|"&amp;$C76,测试原始数据!$A$2:$G$131,5,FALSE),"——")</f>
        <v>300</v>
      </c>
      <c r="T76" s="6">
        <v>2</v>
      </c>
    </row>
    <row r="77" spans="1:20" x14ac:dyDescent="0.35">
      <c r="A77" s="2">
        <v>76</v>
      </c>
      <c r="B77" s="2" t="s">
        <v>94</v>
      </c>
      <c r="C77" s="2" t="s">
        <v>21</v>
      </c>
      <c r="D77" s="4">
        <v>65.87</v>
      </c>
      <c r="E77" s="4">
        <v>1.28</v>
      </c>
      <c r="F77" s="4">
        <v>5.12</v>
      </c>
      <c r="G77" s="4">
        <v>0.43</v>
      </c>
      <c r="H77" s="4">
        <v>2.65</v>
      </c>
      <c r="I77" s="4">
        <v>0</v>
      </c>
      <c r="J77" s="4">
        <v>3.38</v>
      </c>
      <c r="K77" s="4">
        <v>2.17</v>
      </c>
      <c r="L77" s="4">
        <v>0.84</v>
      </c>
      <c r="M77" s="4">
        <v>2.29</v>
      </c>
      <c r="N77" s="4">
        <v>0.06</v>
      </c>
      <c r="O77" s="4">
        <v>10.9</v>
      </c>
      <c r="P77" s="4">
        <v>2.23</v>
      </c>
      <c r="Q77" s="4">
        <v>0.37</v>
      </c>
      <c r="R77" s="5">
        <f>IFERROR(VLOOKUP($B77&amp;"|"&amp;$C77,测试原始数据!$A$2:$G$131,4,FALSE),"——")</f>
        <v>18.84</v>
      </c>
      <c r="S77" s="6">
        <f>IFERROR(VLOOKUP($B77&amp;"|"&amp;$C77,测试原始数据!$A$2:$G$131,5,FALSE),"——")</f>
        <v>34</v>
      </c>
      <c r="T77" s="6">
        <v>2</v>
      </c>
    </row>
    <row r="78" spans="1:20" x14ac:dyDescent="0.35">
      <c r="A78" s="2">
        <v>77</v>
      </c>
      <c r="B78" s="2" t="s">
        <v>94</v>
      </c>
      <c r="C78" s="2" t="s">
        <v>45</v>
      </c>
      <c r="D78" s="4">
        <v>65.87</v>
      </c>
      <c r="E78" s="4">
        <v>1.28</v>
      </c>
      <c r="F78" s="4">
        <v>5.12</v>
      </c>
      <c r="G78" s="4">
        <v>0.43</v>
      </c>
      <c r="H78" s="4">
        <v>2.65</v>
      </c>
      <c r="I78" s="4">
        <v>0</v>
      </c>
      <c r="J78" s="4">
        <v>3.38</v>
      </c>
      <c r="K78" s="4">
        <v>2.17</v>
      </c>
      <c r="L78" s="4">
        <v>0.84</v>
      </c>
      <c r="M78" s="4">
        <v>2.29</v>
      </c>
      <c r="N78" s="4">
        <v>0.06</v>
      </c>
      <c r="O78" s="4">
        <v>10.9</v>
      </c>
      <c r="P78" s="4">
        <v>2.23</v>
      </c>
      <c r="Q78" s="4">
        <v>0.37</v>
      </c>
      <c r="R78" s="5">
        <f>IFERROR(VLOOKUP($B78&amp;"|"&amp;$C78,测试原始数据!$A$2:$G$131,4,FALSE),"——")</f>
        <v>19.559999999999999</v>
      </c>
      <c r="S78" s="6">
        <f>IFERROR(VLOOKUP($B78&amp;"|"&amp;$C78,测试原始数据!$A$2:$G$131,5,FALSE),"——")</f>
        <v>67</v>
      </c>
      <c r="T78" s="6">
        <v>3</v>
      </c>
    </row>
    <row r="79" spans="1:20" x14ac:dyDescent="0.35">
      <c r="A79" s="2">
        <v>78</v>
      </c>
      <c r="B79" s="2" t="s">
        <v>94</v>
      </c>
      <c r="C79" s="2" t="s">
        <v>46</v>
      </c>
      <c r="D79" s="4">
        <v>65.87</v>
      </c>
      <c r="E79" s="4">
        <v>1.28</v>
      </c>
      <c r="F79" s="4">
        <v>5.12</v>
      </c>
      <c r="G79" s="4">
        <v>0.43</v>
      </c>
      <c r="H79" s="4">
        <v>2.65</v>
      </c>
      <c r="I79" s="4">
        <v>0</v>
      </c>
      <c r="J79" s="4">
        <v>3.38</v>
      </c>
      <c r="K79" s="4">
        <v>2.17</v>
      </c>
      <c r="L79" s="4">
        <v>0.84</v>
      </c>
      <c r="M79" s="4">
        <v>2.29</v>
      </c>
      <c r="N79" s="4">
        <v>0.06</v>
      </c>
      <c r="O79" s="4">
        <v>10.9</v>
      </c>
      <c r="P79" s="4">
        <v>2.23</v>
      </c>
      <c r="Q79" s="4">
        <v>0.37</v>
      </c>
      <c r="R79" s="5">
        <f>IFERROR(VLOOKUP($B79&amp;"|"&amp;$C79,测试原始数据!$A$2:$G$131,4,FALSE),"——")</f>
        <v>17.27</v>
      </c>
      <c r="S79" s="6">
        <f>IFERROR(VLOOKUP($B79&amp;"|"&amp;$C79,测试原始数据!$A$2:$G$131,5,FALSE),"——")</f>
        <v>26</v>
      </c>
      <c r="T79" s="6" t="s">
        <v>387</v>
      </c>
    </row>
    <row r="80" spans="1:20" x14ac:dyDescent="0.35">
      <c r="A80" s="2">
        <v>79</v>
      </c>
      <c r="B80" s="2" t="s">
        <v>95</v>
      </c>
      <c r="C80" s="2" t="s">
        <v>21</v>
      </c>
      <c r="D80" s="4">
        <v>65.97</v>
      </c>
      <c r="E80" s="4">
        <v>1.42</v>
      </c>
      <c r="F80" s="4">
        <v>6.46</v>
      </c>
      <c r="G80" s="4">
        <v>0.65</v>
      </c>
      <c r="H80" s="4">
        <v>7</v>
      </c>
      <c r="I80" s="4">
        <v>8.98</v>
      </c>
      <c r="J80" s="4">
        <v>0</v>
      </c>
      <c r="K80" s="4">
        <v>1.26</v>
      </c>
      <c r="L80" s="4">
        <v>1.98</v>
      </c>
      <c r="M80" s="4">
        <v>3.09</v>
      </c>
      <c r="N80" s="4">
        <v>0.06</v>
      </c>
      <c r="O80" s="4">
        <v>11.84</v>
      </c>
      <c r="P80" s="4">
        <v>5.16</v>
      </c>
      <c r="Q80" s="4">
        <v>2.11</v>
      </c>
      <c r="R80" s="5">
        <f>IFERROR(VLOOKUP($B80&amp;"|"&amp;$C80,测试原始数据!$A$2:$G$131,4,FALSE),"——")</f>
        <v>21.765000000000001</v>
      </c>
      <c r="S80" s="6">
        <f>IFERROR(VLOOKUP($B80&amp;"|"&amp;$C80,测试原始数据!$A$2:$G$131,5,FALSE),"——")</f>
        <v>300</v>
      </c>
      <c r="T80" s="6" t="str">
        <f>IFERROR(VLOOKUP($B80&amp;"|"&amp;$C80,[1]测试原始数据!$A$2:$G$131,6,FALSE),"——")</f>
        <v>——</v>
      </c>
    </row>
    <row r="81" spans="1:20" x14ac:dyDescent="0.35">
      <c r="A81" s="2">
        <v>80</v>
      </c>
      <c r="B81" s="2" t="s">
        <v>96</v>
      </c>
      <c r="C81" s="2" t="s">
        <v>21</v>
      </c>
      <c r="D81" s="4">
        <v>66.040000000000006</v>
      </c>
      <c r="E81" s="4">
        <v>0</v>
      </c>
      <c r="F81" s="4">
        <v>14.09</v>
      </c>
      <c r="G81" s="4">
        <v>0.32</v>
      </c>
      <c r="H81" s="4">
        <v>0</v>
      </c>
      <c r="I81" s="4">
        <v>1.3</v>
      </c>
      <c r="J81" s="4">
        <v>8.86</v>
      </c>
      <c r="K81" s="4">
        <v>3.38</v>
      </c>
      <c r="L81" s="4">
        <v>0</v>
      </c>
      <c r="M81" s="4">
        <v>3.64</v>
      </c>
      <c r="N81" s="4">
        <v>0.06</v>
      </c>
      <c r="O81" s="4">
        <v>4.8499999999999996</v>
      </c>
      <c r="P81" s="4">
        <v>17.600000000000001</v>
      </c>
      <c r="Q81" s="4">
        <v>2.69</v>
      </c>
      <c r="R81" s="5">
        <f>IFERROR(VLOOKUP($B81&amp;"|"&amp;$C81,测试原始数据!$A$2:$G$131,4,FALSE),"——")</f>
        <v>17.079999999999998</v>
      </c>
      <c r="S81" s="6">
        <f>IFERROR(VLOOKUP($B81&amp;"|"&amp;$C81,测试原始数据!$A$2:$G$131,5,FALSE),"——")</f>
        <v>115</v>
      </c>
      <c r="T81" s="6" t="str">
        <f>IFERROR(VLOOKUP($B81&amp;"|"&amp;$C81,[1]测试原始数据!$A$2:$G$131,6,FALSE),"——")</f>
        <v>——</v>
      </c>
    </row>
    <row r="82" spans="1:20" x14ac:dyDescent="0.35">
      <c r="A82" s="2">
        <v>81</v>
      </c>
      <c r="B82" s="2" t="s">
        <v>97</v>
      </c>
      <c r="C82" s="2" t="s">
        <v>21</v>
      </c>
      <c r="D82" s="4">
        <v>66.19</v>
      </c>
      <c r="E82" s="4">
        <v>0</v>
      </c>
      <c r="F82" s="4">
        <v>5.2</v>
      </c>
      <c r="G82" s="4">
        <v>0</v>
      </c>
      <c r="H82" s="4">
        <v>7.9</v>
      </c>
      <c r="I82" s="4">
        <v>7.81</v>
      </c>
      <c r="J82" s="4">
        <v>3.12</v>
      </c>
      <c r="K82" s="4">
        <v>0</v>
      </c>
      <c r="L82" s="4">
        <v>0</v>
      </c>
      <c r="M82" s="4">
        <v>1.51</v>
      </c>
      <c r="N82" s="4">
        <v>0.06</v>
      </c>
      <c r="O82" s="4">
        <v>8.8000000000000007</v>
      </c>
      <c r="P82" s="4">
        <v>6.53</v>
      </c>
      <c r="Q82" s="4">
        <v>0.52</v>
      </c>
      <c r="R82" s="5">
        <f>IFERROR(VLOOKUP($B82&amp;"|"&amp;$C82,测试原始数据!$A$2:$G$131,4,FALSE),"——")</f>
        <v>17.75</v>
      </c>
      <c r="S82" s="6">
        <f>IFERROR(VLOOKUP($B82&amp;"|"&amp;$C82,测试原始数据!$A$2:$G$131,5,FALSE),"——")</f>
        <v>89</v>
      </c>
      <c r="T82" s="6" t="str">
        <f>IFERROR(VLOOKUP($B82&amp;"|"&amp;$C82,[1]测试原始数据!$A$2:$G$131,6,FALSE),"——")</f>
        <v>——</v>
      </c>
    </row>
    <row r="83" spans="1:20" x14ac:dyDescent="0.35">
      <c r="A83" s="2">
        <v>82</v>
      </c>
      <c r="B83" s="2" t="s">
        <v>98</v>
      </c>
      <c r="C83" s="2" t="s">
        <v>21</v>
      </c>
      <c r="D83" s="4">
        <v>65.81</v>
      </c>
      <c r="E83" s="4">
        <v>3.59</v>
      </c>
      <c r="F83" s="4">
        <v>0</v>
      </c>
      <c r="G83" s="4">
        <v>0.13</v>
      </c>
      <c r="H83" s="4">
        <v>7.98</v>
      </c>
      <c r="I83" s="4">
        <v>7.9</v>
      </c>
      <c r="J83" s="4">
        <v>6.36</v>
      </c>
      <c r="K83" s="4">
        <v>4.3099999999999996</v>
      </c>
      <c r="L83" s="4">
        <v>1.55</v>
      </c>
      <c r="M83" s="4">
        <v>2.95</v>
      </c>
      <c r="N83" s="4">
        <v>0.06</v>
      </c>
      <c r="O83" s="4">
        <v>12.39</v>
      </c>
      <c r="P83" s="4">
        <v>9.6</v>
      </c>
      <c r="Q83" s="4">
        <v>0.81</v>
      </c>
      <c r="R83" s="5">
        <f>IFERROR(VLOOKUP($B83&amp;"|"&amp;$C83,测试原始数据!$A$2:$G$131,4,FALSE),"——")</f>
        <v>20.45</v>
      </c>
      <c r="S83" s="6">
        <f>IFERROR(VLOOKUP($B83&amp;"|"&amp;$C83,测试原始数据!$A$2:$G$131,5,FALSE),"——")</f>
        <v>131</v>
      </c>
      <c r="T83" s="6" t="str">
        <f>IFERROR(VLOOKUP($B83&amp;"|"&amp;$C83,[1]测试原始数据!$A$2:$G$131,6,FALSE),"——")</f>
        <v>——</v>
      </c>
    </row>
    <row r="84" spans="1:20" x14ac:dyDescent="0.35">
      <c r="A84" s="2">
        <v>83</v>
      </c>
      <c r="B84" s="2" t="s">
        <v>99</v>
      </c>
      <c r="C84" s="2" t="s">
        <v>21</v>
      </c>
      <c r="D84" s="4">
        <v>66.2</v>
      </c>
      <c r="E84" s="4">
        <v>3.26</v>
      </c>
      <c r="F84" s="4">
        <v>9.83</v>
      </c>
      <c r="G84" s="4">
        <v>0</v>
      </c>
      <c r="H84" s="4">
        <v>1.92</v>
      </c>
      <c r="I84" s="4">
        <v>7.36</v>
      </c>
      <c r="J84" s="4">
        <v>0</v>
      </c>
      <c r="K84" s="4">
        <v>0.87</v>
      </c>
      <c r="L84" s="4">
        <v>1.37</v>
      </c>
      <c r="M84" s="4">
        <v>2.88</v>
      </c>
      <c r="N84" s="4">
        <v>0.06</v>
      </c>
      <c r="O84" s="4">
        <v>5.3</v>
      </c>
      <c r="P84" s="4">
        <v>13.21</v>
      </c>
      <c r="Q84" s="4">
        <v>0</v>
      </c>
      <c r="R84" s="5">
        <f>IFERROR(VLOOKUP($B84&amp;"|"&amp;$C84,测试原始数据!$A$2:$G$131,4,FALSE),"——")</f>
        <v>17.16</v>
      </c>
      <c r="S84" s="6">
        <f>IFERROR(VLOOKUP($B84&amp;"|"&amp;$C84,测试原始数据!$A$2:$G$131,5,FALSE),"——")</f>
        <v>86</v>
      </c>
      <c r="T84" s="6" t="str">
        <f>IFERROR(VLOOKUP($B84&amp;"|"&amp;$C84,[1]测试原始数据!$A$2:$G$131,6,FALSE),"——")</f>
        <v>——</v>
      </c>
    </row>
    <row r="85" spans="1:20" x14ac:dyDescent="0.35">
      <c r="A85" s="2">
        <v>84</v>
      </c>
      <c r="B85" s="2" t="s">
        <v>100</v>
      </c>
      <c r="C85" s="2" t="s">
        <v>21</v>
      </c>
      <c r="D85" s="4">
        <v>66.03</v>
      </c>
      <c r="E85" s="4">
        <v>2.59</v>
      </c>
      <c r="F85" s="4">
        <v>0</v>
      </c>
      <c r="G85" s="4">
        <v>0.41</v>
      </c>
      <c r="H85" s="4">
        <v>5.1100000000000003</v>
      </c>
      <c r="I85" s="4">
        <v>4.12</v>
      </c>
      <c r="J85" s="4">
        <v>7.36</v>
      </c>
      <c r="K85" s="4">
        <v>0</v>
      </c>
      <c r="L85" s="4">
        <v>1.9</v>
      </c>
      <c r="M85" s="4">
        <v>1.05</v>
      </c>
      <c r="N85" s="4">
        <v>0.06</v>
      </c>
      <c r="O85" s="4">
        <v>11.35</v>
      </c>
      <c r="P85" s="4">
        <v>4.03</v>
      </c>
      <c r="Q85" s="4">
        <v>0.74</v>
      </c>
      <c r="R85" s="5">
        <f>IFERROR(VLOOKUP($B85&amp;"|"&amp;$C85,测试原始数据!$A$2:$G$131,4,FALSE),"——")</f>
        <v>18.02</v>
      </c>
      <c r="S85" s="6">
        <f>IFERROR(VLOOKUP($B85&amp;"|"&amp;$C85,测试原始数据!$A$2:$G$131,5,FALSE),"——")</f>
        <v>300</v>
      </c>
      <c r="T85" s="6" t="str">
        <f>IFERROR(VLOOKUP($B85&amp;"|"&amp;$C85,[1]测试原始数据!$A$2:$G$131,6,FALSE),"——")</f>
        <v>——</v>
      </c>
    </row>
    <row r="86" spans="1:20" x14ac:dyDescent="0.35">
      <c r="A86" s="2">
        <v>85</v>
      </c>
      <c r="B86" s="2" t="s">
        <v>101</v>
      </c>
      <c r="C86" s="2" t="s">
        <v>21</v>
      </c>
      <c r="D86" s="4">
        <v>66.040000000000006</v>
      </c>
      <c r="E86" s="4">
        <v>0.87</v>
      </c>
      <c r="F86" s="4">
        <v>11.52</v>
      </c>
      <c r="G86" s="4">
        <v>0</v>
      </c>
      <c r="H86" s="4">
        <v>7.77</v>
      </c>
      <c r="I86" s="4">
        <v>3.76</v>
      </c>
      <c r="J86" s="4">
        <v>0</v>
      </c>
      <c r="K86" s="4">
        <v>2.88</v>
      </c>
      <c r="L86" s="4">
        <v>1.77</v>
      </c>
      <c r="M86" s="4">
        <v>3</v>
      </c>
      <c r="N86" s="4">
        <v>0.06</v>
      </c>
      <c r="O86" s="4">
        <v>11.36</v>
      </c>
      <c r="P86" s="4">
        <v>9.1999999999999993</v>
      </c>
      <c r="Q86" s="4">
        <v>2.0099999999999998</v>
      </c>
      <c r="R86" s="5">
        <f>IFERROR(VLOOKUP($B86&amp;"|"&amp;$C86,测试原始数据!$A$2:$G$131,4,FALSE),"——")</f>
        <v>20.574999999999999</v>
      </c>
      <c r="S86" s="6">
        <f>IFERROR(VLOOKUP($B86&amp;"|"&amp;$C86,测试原始数据!$A$2:$G$131,5,FALSE),"——")</f>
        <v>200</v>
      </c>
      <c r="T86" s="6" t="str">
        <f>IFERROR(VLOOKUP($B86&amp;"|"&amp;$C86,[1]测试原始数据!$A$2:$G$131,6,FALSE),"——")</f>
        <v>——</v>
      </c>
    </row>
    <row r="87" spans="1:20" x14ac:dyDescent="0.35">
      <c r="A87" s="2">
        <v>86</v>
      </c>
      <c r="B87" s="2" t="s">
        <v>102</v>
      </c>
      <c r="C87" s="2" t="s">
        <v>21</v>
      </c>
      <c r="D87" s="4">
        <v>66.02</v>
      </c>
      <c r="E87" s="4">
        <v>0.53</v>
      </c>
      <c r="F87" s="4">
        <v>14.35</v>
      </c>
      <c r="G87" s="4">
        <v>0</v>
      </c>
      <c r="H87" s="4">
        <v>0</v>
      </c>
      <c r="I87" s="4">
        <v>0.9</v>
      </c>
      <c r="J87" s="4">
        <v>6.27</v>
      </c>
      <c r="K87" s="4">
        <v>0</v>
      </c>
      <c r="L87" s="4">
        <v>0</v>
      </c>
      <c r="M87" s="4">
        <v>1.59</v>
      </c>
      <c r="N87" s="4">
        <v>0.06</v>
      </c>
      <c r="O87" s="4">
        <v>12.47</v>
      </c>
      <c r="P87" s="4">
        <v>5.59</v>
      </c>
      <c r="Q87" s="4">
        <v>2.75</v>
      </c>
      <c r="R87" s="5">
        <f>IFERROR(VLOOKUP($B87&amp;"|"&amp;$C87,测试原始数据!$A$2:$G$131,4,FALSE),"——")</f>
        <v>19.924999999999997</v>
      </c>
      <c r="S87" s="6">
        <f>IFERROR(VLOOKUP($B87&amp;"|"&amp;$C87,测试原始数据!$A$2:$G$131,5,FALSE),"——")</f>
        <v>300</v>
      </c>
      <c r="T87" s="6" t="str">
        <f>IFERROR(VLOOKUP($B87&amp;"|"&amp;$C87,[1]测试原始数据!$A$2:$G$131,6,FALSE),"——")</f>
        <v>——</v>
      </c>
    </row>
    <row r="88" spans="1:20" x14ac:dyDescent="0.35">
      <c r="A88" s="2">
        <v>87</v>
      </c>
      <c r="B88" s="2" t="s">
        <v>103</v>
      </c>
      <c r="C88" s="2" t="s">
        <v>21</v>
      </c>
      <c r="D88" s="4">
        <v>65.989999999999995</v>
      </c>
      <c r="E88" s="4">
        <v>0</v>
      </c>
      <c r="F88" s="4">
        <v>0</v>
      </c>
      <c r="G88" s="4">
        <v>0.2</v>
      </c>
      <c r="H88" s="4">
        <v>7.74</v>
      </c>
      <c r="I88" s="4">
        <v>7.94</v>
      </c>
      <c r="J88" s="4">
        <v>9.99</v>
      </c>
      <c r="K88" s="4">
        <v>1.65</v>
      </c>
      <c r="L88" s="4">
        <v>1.52</v>
      </c>
      <c r="M88" s="4">
        <v>1.43</v>
      </c>
      <c r="N88" s="4">
        <v>0.06</v>
      </c>
      <c r="O88" s="4">
        <v>5.55</v>
      </c>
      <c r="P88" s="4">
        <v>11.09</v>
      </c>
      <c r="Q88" s="4">
        <v>2.74</v>
      </c>
      <c r="R88" s="5">
        <f>IFERROR(VLOOKUP($B88&amp;"|"&amp;$C88,测试原始数据!$A$2:$G$131,4,FALSE),"——")</f>
        <v>21.384999999999998</v>
      </c>
      <c r="S88" s="6">
        <f>IFERROR(VLOOKUP($B88&amp;"|"&amp;$C88,测试原始数据!$A$2:$G$131,5,FALSE),"——")</f>
        <v>300</v>
      </c>
      <c r="T88" s="6" t="str">
        <f>IFERROR(VLOOKUP($B88&amp;"|"&amp;$C88,[1]测试原始数据!$A$2:$G$131,6,FALSE),"——")</f>
        <v>——</v>
      </c>
    </row>
    <row r="89" spans="1:20" x14ac:dyDescent="0.35">
      <c r="A89" s="2">
        <v>88</v>
      </c>
      <c r="B89" s="2" t="s">
        <v>104</v>
      </c>
      <c r="C89" s="2" t="s">
        <v>21</v>
      </c>
      <c r="D89" s="4">
        <v>65.97</v>
      </c>
      <c r="E89" s="4">
        <v>3.27</v>
      </c>
      <c r="F89" s="4">
        <v>9.56</v>
      </c>
      <c r="G89" s="4">
        <v>0.77</v>
      </c>
      <c r="H89" s="4">
        <v>0</v>
      </c>
      <c r="I89" s="4">
        <v>1.49</v>
      </c>
      <c r="J89" s="4">
        <v>8.16</v>
      </c>
      <c r="K89" s="4">
        <v>0</v>
      </c>
      <c r="L89" s="4">
        <v>0.28000000000000003</v>
      </c>
      <c r="M89" s="4">
        <v>2.94</v>
      </c>
      <c r="N89" s="4">
        <v>0.06</v>
      </c>
      <c r="O89" s="4">
        <v>10</v>
      </c>
      <c r="P89" s="4">
        <v>6.76</v>
      </c>
      <c r="Q89" s="4">
        <v>2.76</v>
      </c>
      <c r="R89" s="5">
        <f>IFERROR(VLOOKUP($B89&amp;"|"&amp;$C89,测试原始数据!$A$2:$G$131,4,FALSE),"——")</f>
        <v>23.189999999999998</v>
      </c>
      <c r="S89" s="6">
        <f>IFERROR(VLOOKUP($B89&amp;"|"&amp;$C89,测试原始数据!$A$2:$G$131,5,FALSE),"——")</f>
        <v>300</v>
      </c>
      <c r="T89" s="6" t="str">
        <f>IFERROR(VLOOKUP($B89&amp;"|"&amp;$C89,[1]测试原始数据!$A$2:$G$131,6,FALSE),"——")</f>
        <v>——</v>
      </c>
    </row>
    <row r="90" spans="1:20" x14ac:dyDescent="0.35">
      <c r="A90" s="2">
        <v>89</v>
      </c>
      <c r="B90" s="2" t="s">
        <v>105</v>
      </c>
      <c r="C90" s="2" t="s">
        <v>21</v>
      </c>
      <c r="D90" s="4">
        <v>66.02</v>
      </c>
      <c r="E90" s="4">
        <v>0.43</v>
      </c>
      <c r="F90" s="4">
        <v>8.7100000000000009</v>
      </c>
      <c r="G90" s="4">
        <v>0</v>
      </c>
      <c r="H90" s="4">
        <v>1.36</v>
      </c>
      <c r="I90" s="4">
        <v>7.48</v>
      </c>
      <c r="J90" s="4">
        <v>8.3699999999999992</v>
      </c>
      <c r="K90" s="4">
        <v>3.56</v>
      </c>
      <c r="L90" s="4">
        <v>0</v>
      </c>
      <c r="M90" s="4">
        <v>2.14</v>
      </c>
      <c r="N90" s="4">
        <v>0.06</v>
      </c>
      <c r="O90" s="4">
        <v>11.29</v>
      </c>
      <c r="P90" s="4">
        <v>10.79</v>
      </c>
      <c r="Q90" s="4">
        <v>1.22</v>
      </c>
      <c r="R90" s="5">
        <f>IFERROR(VLOOKUP($B90&amp;"|"&amp;$C90,测试原始数据!$A$2:$G$131,4,FALSE),"——")</f>
        <v>16.759999999999998</v>
      </c>
      <c r="S90" s="6">
        <f>IFERROR(VLOOKUP($B90&amp;"|"&amp;$C90,测试原始数据!$A$2:$G$131,5,FALSE),"——")</f>
        <v>135</v>
      </c>
      <c r="T90" s="6" t="str">
        <f>IFERROR(VLOOKUP($B90&amp;"|"&amp;$C90,[1]测试原始数据!$A$2:$G$131,6,FALSE),"——")</f>
        <v>——</v>
      </c>
    </row>
    <row r="91" spans="1:20" x14ac:dyDescent="0.35">
      <c r="A91" s="2">
        <v>90</v>
      </c>
      <c r="B91" s="2" t="s">
        <v>106</v>
      </c>
      <c r="C91" s="2" t="s">
        <v>21</v>
      </c>
      <c r="D91" s="4">
        <v>65.87</v>
      </c>
      <c r="E91" s="4">
        <v>3.6</v>
      </c>
      <c r="F91" s="4">
        <v>7.77</v>
      </c>
      <c r="G91" s="4">
        <v>0.32</v>
      </c>
      <c r="H91" s="4">
        <v>4.82</v>
      </c>
      <c r="I91" s="4">
        <v>8.17</v>
      </c>
      <c r="J91" s="4">
        <v>0</v>
      </c>
      <c r="K91" s="4">
        <v>1.3</v>
      </c>
      <c r="L91" s="4">
        <v>1.52</v>
      </c>
      <c r="M91" s="4">
        <v>1.06</v>
      </c>
      <c r="N91" s="4">
        <v>0.06</v>
      </c>
      <c r="O91" s="4">
        <v>7.57</v>
      </c>
      <c r="P91" s="4">
        <v>9.65</v>
      </c>
      <c r="Q91" s="4">
        <v>2.09</v>
      </c>
      <c r="R91" s="5">
        <f>IFERROR(VLOOKUP($B91&amp;"|"&amp;$C91,测试原始数据!$A$2:$G$131,4,FALSE),"——")</f>
        <v>21.64</v>
      </c>
      <c r="S91" s="6">
        <f>IFERROR(VLOOKUP($B91&amp;"|"&amp;$C91,测试原始数据!$A$2:$G$131,5,FALSE),"——")</f>
        <v>300</v>
      </c>
      <c r="T91" s="6" t="str">
        <f>IFERROR(VLOOKUP($B91&amp;"|"&amp;$C91,[1]测试原始数据!$A$2:$G$131,6,FALSE),"——")</f>
        <v>——</v>
      </c>
    </row>
    <row r="92" spans="1:20" x14ac:dyDescent="0.35">
      <c r="A92" s="2">
        <v>91</v>
      </c>
      <c r="B92" s="2" t="s">
        <v>107</v>
      </c>
      <c r="C92" s="2" t="s">
        <v>21</v>
      </c>
      <c r="D92" s="4">
        <v>66.099999999999994</v>
      </c>
      <c r="E92" s="4">
        <v>0.57999999999999996</v>
      </c>
      <c r="F92" s="4">
        <v>13.86</v>
      </c>
      <c r="G92" s="4">
        <v>0.59</v>
      </c>
      <c r="H92" s="4">
        <v>0</v>
      </c>
      <c r="I92" s="4">
        <v>1.55</v>
      </c>
      <c r="J92" s="4">
        <v>7.96</v>
      </c>
      <c r="K92" s="4">
        <v>3.14</v>
      </c>
      <c r="L92" s="4">
        <v>0</v>
      </c>
      <c r="M92" s="4">
        <v>3.23</v>
      </c>
      <c r="N92" s="4">
        <v>0.06</v>
      </c>
      <c r="O92" s="4">
        <v>10.42</v>
      </c>
      <c r="P92" s="4">
        <v>10.6</v>
      </c>
      <c r="Q92" s="4">
        <v>3.03</v>
      </c>
      <c r="R92" s="5">
        <f>IFERROR(VLOOKUP($B92&amp;"|"&amp;$C92,测试原始数据!$A$2:$G$131,4,FALSE),"——")</f>
        <v>17.695</v>
      </c>
      <c r="S92" s="6">
        <f>IFERROR(VLOOKUP($B92&amp;"|"&amp;$C92,测试原始数据!$A$2:$G$131,5,FALSE),"——")</f>
        <v>150</v>
      </c>
      <c r="T92" s="6" t="str">
        <f>IFERROR(VLOOKUP($B92&amp;"|"&amp;$C92,[1]测试原始数据!$A$2:$G$131,6,FALSE),"——")</f>
        <v>——</v>
      </c>
    </row>
    <row r="93" spans="1:20" x14ac:dyDescent="0.35">
      <c r="A93" s="2">
        <v>92</v>
      </c>
      <c r="B93" s="2" t="s">
        <v>108</v>
      </c>
      <c r="C93" s="2" t="s">
        <v>21</v>
      </c>
      <c r="D93" s="4">
        <v>66.19</v>
      </c>
      <c r="E93" s="4">
        <v>0</v>
      </c>
      <c r="F93" s="4">
        <v>1.02</v>
      </c>
      <c r="G93" s="4">
        <v>0.73</v>
      </c>
      <c r="H93" s="4">
        <v>5.79</v>
      </c>
      <c r="I93" s="4">
        <v>6.38</v>
      </c>
      <c r="J93" s="4">
        <v>0</v>
      </c>
      <c r="K93" s="4">
        <v>0.57999999999999996</v>
      </c>
      <c r="L93" s="4">
        <v>1.57</v>
      </c>
      <c r="M93" s="4">
        <v>2.31</v>
      </c>
      <c r="N93" s="4">
        <v>0.06</v>
      </c>
      <c r="O93" s="4">
        <v>2.64</v>
      </c>
      <c r="P93" s="4">
        <v>5.23</v>
      </c>
      <c r="Q93" s="4">
        <v>1.54</v>
      </c>
      <c r="R93" s="5">
        <f>IFERROR(VLOOKUP($B93&amp;"|"&amp;$C93,测试原始数据!$A$2:$G$131,4,FALSE),"——")</f>
        <v>19.155000000000001</v>
      </c>
      <c r="S93" s="6">
        <f>IFERROR(VLOOKUP($B93&amp;"|"&amp;$C93,测试原始数据!$A$2:$G$131,5,FALSE),"——")</f>
        <v>300</v>
      </c>
      <c r="T93" s="6" t="str">
        <f>IFERROR(VLOOKUP($B93&amp;"|"&amp;$C93,[1]测试原始数据!$A$2:$G$131,6,FALSE),"——")</f>
        <v>——</v>
      </c>
    </row>
    <row r="94" spans="1:20" x14ac:dyDescent="0.35">
      <c r="A94" s="2">
        <v>93</v>
      </c>
      <c r="B94" s="2" t="s">
        <v>109</v>
      </c>
      <c r="C94" s="2" t="s">
        <v>21</v>
      </c>
      <c r="D94" s="4">
        <v>66.180000000000007</v>
      </c>
      <c r="E94" s="4">
        <v>1.08</v>
      </c>
      <c r="F94" s="4">
        <v>4.3600000000000003</v>
      </c>
      <c r="G94" s="4">
        <v>0.78</v>
      </c>
      <c r="H94" s="4">
        <v>8.5299999999999994</v>
      </c>
      <c r="I94" s="4">
        <v>7.1</v>
      </c>
      <c r="J94" s="4">
        <v>3.58</v>
      </c>
      <c r="K94" s="4">
        <v>3.69</v>
      </c>
      <c r="L94" s="4">
        <v>1.83</v>
      </c>
      <c r="M94" s="4">
        <v>3.05</v>
      </c>
      <c r="N94" s="4">
        <v>0.06</v>
      </c>
      <c r="O94" s="4">
        <v>2.86</v>
      </c>
      <c r="P94" s="4">
        <v>19.14</v>
      </c>
      <c r="Q94" s="4">
        <v>0</v>
      </c>
      <c r="R94" s="5">
        <f>IFERROR(VLOOKUP($B94&amp;"|"&amp;$C94,测试原始数据!$A$2:$G$131,4,FALSE),"——")</f>
        <v>17.420000000000002</v>
      </c>
      <c r="S94" s="6">
        <f>IFERROR(VLOOKUP($B94&amp;"|"&amp;$C94,测试原始数据!$A$2:$G$131,5,FALSE),"——")</f>
        <v>81</v>
      </c>
      <c r="T94" s="6" t="str">
        <f>IFERROR(VLOOKUP($B94&amp;"|"&amp;$C94,[1]测试原始数据!$A$2:$G$131,6,FALSE),"——")</f>
        <v>——</v>
      </c>
    </row>
    <row r="95" spans="1:20" x14ac:dyDescent="0.35">
      <c r="A95" s="2">
        <v>94</v>
      </c>
      <c r="B95" s="2" t="s">
        <v>110</v>
      </c>
      <c r="C95" s="2" t="s">
        <v>21</v>
      </c>
      <c r="D95" s="4">
        <v>65.95</v>
      </c>
      <c r="E95" s="4">
        <v>2.87</v>
      </c>
      <c r="F95" s="4">
        <v>0</v>
      </c>
      <c r="G95" s="4">
        <v>0.23</v>
      </c>
      <c r="H95" s="4">
        <v>8.5399999999999991</v>
      </c>
      <c r="I95" s="4">
        <v>0</v>
      </c>
      <c r="J95" s="4">
        <v>0</v>
      </c>
      <c r="K95" s="4">
        <v>0</v>
      </c>
      <c r="L95" s="4">
        <v>0</v>
      </c>
      <c r="M95" s="4">
        <v>2.81</v>
      </c>
      <c r="N95" s="4">
        <v>0.06</v>
      </c>
      <c r="O95" s="4">
        <v>6.16</v>
      </c>
      <c r="P95" s="4">
        <v>0.59</v>
      </c>
      <c r="Q95" s="4">
        <v>0</v>
      </c>
      <c r="R95" s="5">
        <f>IFERROR(VLOOKUP($B95&amp;"|"&amp;$C95,测试原始数据!$A$2:$G$131,4,FALSE),"——")</f>
        <v>18.045000000000002</v>
      </c>
      <c r="S95" s="6">
        <f>IFERROR(VLOOKUP($B95&amp;"|"&amp;$C95,测试原始数据!$A$2:$G$131,5,FALSE),"——")</f>
        <v>48</v>
      </c>
      <c r="T95" s="6" t="str">
        <f>IFERROR(VLOOKUP($B95&amp;"|"&amp;$C95,[1]测试原始数据!$A$2:$G$131,6,FALSE),"——")</f>
        <v>——</v>
      </c>
    </row>
    <row r="96" spans="1:20" x14ac:dyDescent="0.35">
      <c r="A96" s="2">
        <v>95</v>
      </c>
      <c r="B96" s="2" t="s">
        <v>111</v>
      </c>
      <c r="C96" s="2" t="s">
        <v>21</v>
      </c>
      <c r="D96" s="4">
        <v>66.069999999999993</v>
      </c>
      <c r="E96" s="4">
        <v>1.8</v>
      </c>
      <c r="F96" s="4">
        <v>13.52</v>
      </c>
      <c r="G96" s="4">
        <v>0.67</v>
      </c>
      <c r="H96" s="4">
        <v>6.16</v>
      </c>
      <c r="I96" s="4">
        <v>0</v>
      </c>
      <c r="J96" s="4">
        <v>0</v>
      </c>
      <c r="K96" s="4">
        <v>2.21</v>
      </c>
      <c r="L96" s="4">
        <v>0.82</v>
      </c>
      <c r="M96" s="4">
        <v>3.51</v>
      </c>
      <c r="N96" s="4">
        <v>0.06</v>
      </c>
      <c r="O96" s="4">
        <v>3.8</v>
      </c>
      <c r="P96" s="4">
        <v>16.41</v>
      </c>
      <c r="Q96" s="4">
        <v>2.19</v>
      </c>
      <c r="R96" s="5">
        <f>IFERROR(VLOOKUP($B96&amp;"|"&amp;$C96,测试原始数据!$A$2:$G$131,4,FALSE),"——")</f>
        <v>17.619999999999997</v>
      </c>
      <c r="S96" s="6">
        <f>IFERROR(VLOOKUP($B96&amp;"|"&amp;$C96,测试原始数据!$A$2:$G$131,5,FALSE),"——")</f>
        <v>90</v>
      </c>
      <c r="T96" s="6" t="str">
        <f>IFERROR(VLOOKUP($B96&amp;"|"&amp;$C96,[1]测试原始数据!$A$2:$G$131,6,FALSE),"——")</f>
        <v>——</v>
      </c>
    </row>
    <row r="97" spans="1:20" x14ac:dyDescent="0.35">
      <c r="A97" s="2">
        <v>96</v>
      </c>
      <c r="B97" s="2" t="s">
        <v>112</v>
      </c>
      <c r="C97" s="2" t="s">
        <v>21</v>
      </c>
      <c r="D97" s="4">
        <v>65.930000000000007</v>
      </c>
      <c r="E97" s="4">
        <v>3.01</v>
      </c>
      <c r="F97" s="4">
        <v>13.33</v>
      </c>
      <c r="G97" s="4">
        <v>0.66</v>
      </c>
      <c r="H97" s="4">
        <v>0</v>
      </c>
      <c r="I97" s="4">
        <v>2.4700000000000002</v>
      </c>
      <c r="J97" s="4">
        <v>0</v>
      </c>
      <c r="K97" s="4">
        <v>0</v>
      </c>
      <c r="L97" s="4">
        <v>0.47</v>
      </c>
      <c r="M97" s="4">
        <v>1.1499999999999999</v>
      </c>
      <c r="N97" s="4">
        <v>0.06</v>
      </c>
      <c r="O97" s="4">
        <v>10.62</v>
      </c>
      <c r="P97" s="4">
        <v>6.3</v>
      </c>
      <c r="Q97" s="4">
        <v>0.19</v>
      </c>
      <c r="R97" s="5">
        <f>IFERROR(VLOOKUP($B97&amp;"|"&amp;$C97,测试原始数据!$A$2:$G$131,4,FALSE),"——")</f>
        <v>16.579999999999998</v>
      </c>
      <c r="S97" s="6">
        <f>IFERROR(VLOOKUP($B97&amp;"|"&amp;$C97,测试原始数据!$A$2:$G$131,5,FALSE),"——")</f>
        <v>101</v>
      </c>
      <c r="T97" s="6" t="str">
        <f>IFERROR(VLOOKUP($B97&amp;"|"&amp;$C97,[1]测试原始数据!$A$2:$G$131,6,FALSE),"——")</f>
        <v>——</v>
      </c>
    </row>
    <row r="98" spans="1:20" x14ac:dyDescent="0.35">
      <c r="A98" s="2">
        <v>97</v>
      </c>
      <c r="B98" s="2" t="s">
        <v>113</v>
      </c>
      <c r="C98" s="2" t="s">
        <v>21</v>
      </c>
      <c r="D98" s="4">
        <v>65.89</v>
      </c>
      <c r="E98" s="4">
        <v>2.77</v>
      </c>
      <c r="F98" s="4">
        <v>11.7</v>
      </c>
      <c r="G98" s="4">
        <v>0.43</v>
      </c>
      <c r="H98" s="4">
        <v>0</v>
      </c>
      <c r="I98" s="4">
        <v>0</v>
      </c>
      <c r="J98" s="4">
        <v>0</v>
      </c>
      <c r="K98" s="4">
        <v>0.89</v>
      </c>
      <c r="L98" s="4">
        <v>0</v>
      </c>
      <c r="M98" s="4">
        <v>2.13</v>
      </c>
      <c r="N98" s="4">
        <v>0.06</v>
      </c>
      <c r="O98" s="4">
        <v>3.47</v>
      </c>
      <c r="P98" s="4">
        <v>9.91</v>
      </c>
      <c r="Q98" s="4">
        <v>1.18</v>
      </c>
      <c r="R98" s="5">
        <f>IFERROR(VLOOKUP($B98&amp;"|"&amp;$C98,测试原始数据!$A$2:$G$131,4,FALSE),"——")</f>
        <v>16.704999999999998</v>
      </c>
      <c r="S98" s="6">
        <f>IFERROR(VLOOKUP($B98&amp;"|"&amp;$C98,测试原始数据!$A$2:$G$131,5,FALSE),"——")</f>
        <v>55</v>
      </c>
      <c r="T98" s="6" t="str">
        <f>IFERROR(VLOOKUP($B98&amp;"|"&amp;$C98,[1]测试原始数据!$A$2:$G$131,6,FALSE),"——")</f>
        <v>——</v>
      </c>
    </row>
    <row r="99" spans="1:20" x14ac:dyDescent="0.35">
      <c r="A99" s="2">
        <v>98</v>
      </c>
      <c r="B99" s="2" t="s">
        <v>114</v>
      </c>
      <c r="C99" s="2" t="s">
        <v>21</v>
      </c>
      <c r="D99" s="4">
        <v>66.02</v>
      </c>
      <c r="E99" s="4">
        <v>2.86</v>
      </c>
      <c r="F99" s="4">
        <v>0</v>
      </c>
      <c r="G99" s="4">
        <v>0.43</v>
      </c>
      <c r="H99" s="4">
        <v>0</v>
      </c>
      <c r="I99" s="4">
        <v>0</v>
      </c>
      <c r="J99" s="4">
        <v>6.46</v>
      </c>
      <c r="K99" s="4">
        <v>1.85</v>
      </c>
      <c r="L99" s="4">
        <v>1.94</v>
      </c>
      <c r="M99" s="4">
        <v>1.02</v>
      </c>
      <c r="N99" s="4">
        <v>0.06</v>
      </c>
      <c r="O99" s="4">
        <v>3.78</v>
      </c>
      <c r="P99" s="4">
        <v>5.76</v>
      </c>
      <c r="Q99" s="4">
        <v>1.42</v>
      </c>
      <c r="R99" s="5">
        <f>IFERROR(VLOOKUP($B99&amp;"|"&amp;$C99,测试原始数据!$A$2:$G$131,4,FALSE),"——")</f>
        <v>17.64</v>
      </c>
      <c r="S99" s="6">
        <f>IFERROR(VLOOKUP($B99&amp;"|"&amp;$C99,测试原始数据!$A$2:$G$131,5,FALSE),"——")</f>
        <v>35</v>
      </c>
      <c r="T99" s="6" t="str">
        <f>IFERROR(VLOOKUP($B99&amp;"|"&amp;$C99,[1]测试原始数据!$A$2:$G$131,6,FALSE),"——")</f>
        <v>——</v>
      </c>
    </row>
    <row r="100" spans="1:20" x14ac:dyDescent="0.35">
      <c r="A100" s="2">
        <v>99</v>
      </c>
      <c r="B100" s="2" t="s">
        <v>115</v>
      </c>
      <c r="C100" s="2" t="s">
        <v>21</v>
      </c>
      <c r="D100" s="4">
        <v>65.89</v>
      </c>
      <c r="E100" s="4">
        <v>2.08</v>
      </c>
      <c r="F100" s="4">
        <v>0.14000000000000001</v>
      </c>
      <c r="G100" s="4">
        <v>0.25</v>
      </c>
      <c r="H100" s="4">
        <v>6.45</v>
      </c>
      <c r="I100" s="4">
        <v>6.57</v>
      </c>
      <c r="J100" s="4">
        <v>0</v>
      </c>
      <c r="K100" s="4">
        <v>0.69</v>
      </c>
      <c r="L100" s="4">
        <v>0.37</v>
      </c>
      <c r="M100" s="4">
        <v>2.82</v>
      </c>
      <c r="N100" s="4">
        <v>0.06</v>
      </c>
      <c r="O100" s="4">
        <v>5.33</v>
      </c>
      <c r="P100" s="4">
        <v>2.72</v>
      </c>
      <c r="Q100" s="4">
        <v>1.1299999999999999</v>
      </c>
      <c r="R100" s="5">
        <f>IFERROR(VLOOKUP($B100&amp;"|"&amp;$C100,测试原始数据!$A$2:$G$131,4,FALSE),"——")</f>
        <v>19.170000000000002</v>
      </c>
      <c r="S100" s="6">
        <f>IFERROR(VLOOKUP($B100&amp;"|"&amp;$C100,测试原始数据!$A$2:$G$131,5,FALSE),"——")</f>
        <v>175</v>
      </c>
      <c r="T100" s="6" t="str">
        <f>IFERROR(VLOOKUP($B100&amp;"|"&amp;$C100,[1]测试原始数据!$A$2:$G$131,6,FALSE),"——")</f>
        <v>——</v>
      </c>
    </row>
    <row r="101" spans="1:20" x14ac:dyDescent="0.35">
      <c r="A101" s="2">
        <v>100</v>
      </c>
      <c r="B101" s="2" t="s">
        <v>116</v>
      </c>
      <c r="C101" s="2" t="s">
        <v>21</v>
      </c>
      <c r="D101" s="4">
        <v>65.88</v>
      </c>
      <c r="E101" s="4">
        <v>2.33</v>
      </c>
      <c r="F101" s="4">
        <v>0</v>
      </c>
      <c r="G101" s="4">
        <v>0.1</v>
      </c>
      <c r="H101" s="4">
        <v>6.59</v>
      </c>
      <c r="I101" s="4">
        <v>7.08</v>
      </c>
      <c r="J101" s="4">
        <v>4.7300000000000004</v>
      </c>
      <c r="K101" s="4">
        <v>0.1</v>
      </c>
      <c r="L101" s="4">
        <v>0.65</v>
      </c>
      <c r="M101" s="4">
        <v>2.87</v>
      </c>
      <c r="N101" s="4">
        <v>0.06</v>
      </c>
      <c r="O101" s="4">
        <v>2.94</v>
      </c>
      <c r="P101" s="4">
        <v>8.41</v>
      </c>
      <c r="Q101" s="4">
        <v>2.23</v>
      </c>
      <c r="R101" s="5">
        <f>IFERROR(VLOOKUP($B101&amp;"|"&amp;$C101,测试原始数据!$A$2:$G$131,4,FALSE),"——")</f>
        <v>18.87</v>
      </c>
      <c r="S101" s="6">
        <f>IFERROR(VLOOKUP($B101&amp;"|"&amp;$C101,测试原始数据!$A$2:$G$131,5,FALSE),"——")</f>
        <v>300</v>
      </c>
      <c r="T101" s="6" t="str">
        <f>IFERROR(VLOOKUP($B101&amp;"|"&amp;$C101,[1]测试原始数据!$A$2:$G$131,6,FALSE),"——")</f>
        <v>——</v>
      </c>
    </row>
    <row r="102" spans="1:20" x14ac:dyDescent="0.35">
      <c r="A102" s="2">
        <v>101</v>
      </c>
      <c r="B102" s="2" t="s">
        <v>117</v>
      </c>
      <c r="C102" s="2" t="s">
        <v>21</v>
      </c>
      <c r="D102" s="4">
        <v>65.930000000000007</v>
      </c>
      <c r="E102" s="4">
        <v>0</v>
      </c>
      <c r="F102" s="4">
        <v>3.7</v>
      </c>
      <c r="G102" s="4">
        <v>0</v>
      </c>
      <c r="H102" s="4">
        <v>7.43</v>
      </c>
      <c r="I102" s="4">
        <v>7.6</v>
      </c>
      <c r="J102" s="4">
        <v>2.29</v>
      </c>
      <c r="K102" s="4">
        <v>0.12</v>
      </c>
      <c r="L102" s="4">
        <v>0.61</v>
      </c>
      <c r="M102" s="4">
        <v>0.87</v>
      </c>
      <c r="N102" s="4">
        <v>0.06</v>
      </c>
      <c r="O102" s="4">
        <v>7.61</v>
      </c>
      <c r="P102" s="4">
        <v>5.37</v>
      </c>
      <c r="Q102" s="4">
        <v>1</v>
      </c>
      <c r="R102" s="5">
        <f>IFERROR(VLOOKUP($B102&amp;"|"&amp;$C102,测试原始数据!$A$2:$G$131,4,FALSE),"——")</f>
        <v>19.02</v>
      </c>
      <c r="S102" s="6">
        <f>IFERROR(VLOOKUP($B102&amp;"|"&amp;$C102,测试原始数据!$A$2:$G$131,5,FALSE),"——")</f>
        <v>175</v>
      </c>
      <c r="T102" s="6" t="str">
        <f>IFERROR(VLOOKUP($B102&amp;"|"&amp;$C102,[1]测试原始数据!$A$2:$G$131,6,FALSE),"——")</f>
        <v>——</v>
      </c>
    </row>
    <row r="103" spans="1:20" x14ac:dyDescent="0.35">
      <c r="A103" s="2">
        <v>102</v>
      </c>
      <c r="B103" s="2" t="s">
        <v>118</v>
      </c>
      <c r="C103" s="2" t="s">
        <v>21</v>
      </c>
      <c r="D103" s="4">
        <v>66.040000000000006</v>
      </c>
      <c r="E103" s="4">
        <v>0</v>
      </c>
      <c r="F103" s="4">
        <v>2.2599999999999998</v>
      </c>
      <c r="G103" s="4">
        <v>0.68</v>
      </c>
      <c r="H103" s="4">
        <v>7.29</v>
      </c>
      <c r="I103" s="4">
        <v>7.61</v>
      </c>
      <c r="J103" s="4">
        <v>3.93</v>
      </c>
      <c r="K103" s="4">
        <v>0.36</v>
      </c>
      <c r="L103" s="4">
        <v>0.96</v>
      </c>
      <c r="M103" s="4">
        <v>1.94</v>
      </c>
      <c r="N103" s="4">
        <v>0.06</v>
      </c>
      <c r="O103" s="4">
        <v>9.82</v>
      </c>
      <c r="P103" s="4">
        <v>3.06</v>
      </c>
      <c r="Q103" s="4">
        <v>1.08</v>
      </c>
      <c r="R103" s="5">
        <f>IFERROR(VLOOKUP($B103&amp;"|"&amp;$C103,测试原始数据!$A$2:$G$131,4,FALSE),"——")</f>
        <v>17.630000000000003</v>
      </c>
      <c r="S103" s="6">
        <f>IFERROR(VLOOKUP($B103&amp;"|"&amp;$C103,测试原始数据!$A$2:$G$131,5,FALSE),"——")</f>
        <v>45</v>
      </c>
      <c r="T103" s="6" t="str">
        <f>IFERROR(VLOOKUP($B103&amp;"|"&amp;$C103,[1]测试原始数据!$A$2:$G$131,6,FALSE),"——")</f>
        <v>——</v>
      </c>
    </row>
    <row r="104" spans="1:20" x14ac:dyDescent="0.35">
      <c r="A104" s="2">
        <v>103</v>
      </c>
      <c r="B104" s="2" t="s">
        <v>119</v>
      </c>
      <c r="C104" s="2" t="s">
        <v>21</v>
      </c>
      <c r="D104" s="4">
        <v>66</v>
      </c>
      <c r="E104" s="4">
        <v>3.17</v>
      </c>
      <c r="F104" s="4">
        <v>6.18</v>
      </c>
      <c r="G104" s="4">
        <v>0.68</v>
      </c>
      <c r="H104" s="4">
        <v>5.77</v>
      </c>
      <c r="I104" s="4">
        <v>0</v>
      </c>
      <c r="J104" s="4">
        <v>0</v>
      </c>
      <c r="K104" s="4">
        <v>0.54</v>
      </c>
      <c r="L104" s="4">
        <v>0</v>
      </c>
      <c r="M104" s="4">
        <v>1.82</v>
      </c>
      <c r="N104" s="4">
        <v>0.06</v>
      </c>
      <c r="O104" s="4">
        <v>5.65</v>
      </c>
      <c r="P104" s="4">
        <v>7.12</v>
      </c>
      <c r="Q104" s="4">
        <v>0.64</v>
      </c>
      <c r="R104" s="5" t="str">
        <f>IFERROR(VLOOKUP($B104&amp;"|"&amp;$C104,测试原始数据!$A$2:$G$131,4,FALSE),"——")</f>
        <v>——</v>
      </c>
      <c r="S104" s="6" t="str">
        <f>IFERROR(VLOOKUP($B104&amp;"|"&amp;$C104,测试原始数据!$A$2:$G$131,5,FALSE),"——")</f>
        <v>——</v>
      </c>
      <c r="T104" s="6" t="str">
        <f>IFERROR(VLOOKUP($B104&amp;"|"&amp;$C104,[1]测试原始数据!$A$2:$G$131,6,FALSE),"——")</f>
        <v>——</v>
      </c>
    </row>
    <row r="105" spans="1:20" x14ac:dyDescent="0.35">
      <c r="A105" s="2">
        <v>104</v>
      </c>
      <c r="B105" s="2" t="s">
        <v>120</v>
      </c>
      <c r="C105" s="2" t="s">
        <v>21</v>
      </c>
      <c r="D105" s="4">
        <v>65.98</v>
      </c>
      <c r="E105" s="4">
        <v>2.31</v>
      </c>
      <c r="F105" s="4">
        <v>13.16</v>
      </c>
      <c r="G105" s="4">
        <v>0.7</v>
      </c>
      <c r="H105" s="4">
        <v>5.57</v>
      </c>
      <c r="I105" s="4">
        <v>0</v>
      </c>
      <c r="J105" s="4">
        <v>0</v>
      </c>
      <c r="K105" s="4">
        <v>3.64</v>
      </c>
      <c r="L105" s="4">
        <v>0</v>
      </c>
      <c r="M105" s="4">
        <v>1.21</v>
      </c>
      <c r="N105" s="4">
        <v>0.06</v>
      </c>
      <c r="O105" s="4">
        <v>2.52</v>
      </c>
      <c r="P105" s="4">
        <v>21.63</v>
      </c>
      <c r="Q105" s="4">
        <v>0</v>
      </c>
      <c r="R105" s="5" t="str">
        <f>IFERROR(VLOOKUP($B105&amp;"|"&amp;$C105,测试原始数据!$A$2:$G$131,4,FALSE),"——")</f>
        <v>——</v>
      </c>
      <c r="S105" s="6" t="str">
        <f>IFERROR(VLOOKUP($B105&amp;"|"&amp;$C105,测试原始数据!$A$2:$G$131,5,FALSE),"——")</f>
        <v>——</v>
      </c>
      <c r="T105" s="6" t="str">
        <f>IFERROR(VLOOKUP($B105&amp;"|"&amp;$C105,[1]测试原始数据!$A$2:$G$131,6,FALSE),"——")</f>
        <v>——</v>
      </c>
    </row>
    <row r="106" spans="1:20" x14ac:dyDescent="0.35">
      <c r="A106" s="2">
        <v>105</v>
      </c>
      <c r="B106" s="2" t="s">
        <v>121</v>
      </c>
      <c r="C106" s="2" t="s">
        <v>21</v>
      </c>
      <c r="D106" s="4">
        <v>66.08</v>
      </c>
      <c r="E106" s="4">
        <v>0</v>
      </c>
      <c r="F106" s="4">
        <v>8.52</v>
      </c>
      <c r="G106" s="4">
        <v>0.44</v>
      </c>
      <c r="H106" s="4">
        <v>0</v>
      </c>
      <c r="I106" s="4">
        <v>7.99</v>
      </c>
      <c r="J106" s="4">
        <v>7.9</v>
      </c>
      <c r="K106" s="4">
        <v>0</v>
      </c>
      <c r="L106" s="4">
        <v>0</v>
      </c>
      <c r="M106" s="4">
        <v>1.98</v>
      </c>
      <c r="N106" s="4">
        <v>0.06</v>
      </c>
      <c r="O106" s="4">
        <v>11.52</v>
      </c>
      <c r="P106" s="4">
        <v>4.55</v>
      </c>
      <c r="Q106" s="4">
        <v>2.68</v>
      </c>
      <c r="R106" s="5" t="str">
        <f>IFERROR(VLOOKUP($B106&amp;"|"&amp;$C106,测试原始数据!$A$2:$G$131,4,FALSE),"——")</f>
        <v>——</v>
      </c>
      <c r="S106" s="6" t="str">
        <f>IFERROR(VLOOKUP($B106&amp;"|"&amp;$C106,测试原始数据!$A$2:$G$131,5,FALSE),"——")</f>
        <v>——</v>
      </c>
      <c r="T106" s="6" t="str">
        <f>IFERROR(VLOOKUP($B106&amp;"|"&amp;$C106,[1]测试原始数据!$A$2:$G$131,6,FALSE),"——")</f>
        <v>——</v>
      </c>
    </row>
    <row r="107" spans="1:20" x14ac:dyDescent="0.35">
      <c r="A107" s="2">
        <v>106</v>
      </c>
      <c r="B107" s="2" t="s">
        <v>122</v>
      </c>
      <c r="C107" s="2" t="s">
        <v>21</v>
      </c>
      <c r="D107" s="4">
        <v>66.12</v>
      </c>
      <c r="E107" s="4">
        <v>0.61</v>
      </c>
      <c r="F107" s="4">
        <v>8.56</v>
      </c>
      <c r="G107" s="4">
        <v>0.7</v>
      </c>
      <c r="H107" s="4">
        <v>7.97</v>
      </c>
      <c r="I107" s="4">
        <v>0</v>
      </c>
      <c r="J107" s="4">
        <v>0</v>
      </c>
      <c r="K107" s="4">
        <v>2.76</v>
      </c>
      <c r="L107" s="4">
        <v>0</v>
      </c>
      <c r="M107" s="4">
        <v>1.36</v>
      </c>
      <c r="N107" s="4">
        <v>0.06</v>
      </c>
      <c r="O107" s="4">
        <v>12.69</v>
      </c>
      <c r="P107" s="4">
        <v>2.56</v>
      </c>
      <c r="Q107" s="4">
        <v>2.67</v>
      </c>
      <c r="R107" s="5" t="str">
        <f>IFERROR(VLOOKUP($B107&amp;"|"&amp;$C107,测试原始数据!$A$2:$G$131,4,FALSE),"——")</f>
        <v>——</v>
      </c>
      <c r="S107" s="6" t="str">
        <f>IFERROR(VLOOKUP($B107&amp;"|"&amp;$C107,测试原始数据!$A$2:$G$131,5,FALSE),"——")</f>
        <v>——</v>
      </c>
      <c r="T107" s="6" t="str">
        <f>IFERROR(VLOOKUP($B107&amp;"|"&amp;$C107,[1]测试原始数据!$A$2:$G$131,6,FALSE),"——")</f>
        <v>——</v>
      </c>
    </row>
    <row r="108" spans="1:20" x14ac:dyDescent="0.35">
      <c r="A108" s="2">
        <v>107</v>
      </c>
      <c r="B108" s="2" t="s">
        <v>123</v>
      </c>
      <c r="C108" s="2" t="s">
        <v>21</v>
      </c>
      <c r="D108" s="4">
        <v>66.02</v>
      </c>
      <c r="E108" s="4">
        <v>0.61</v>
      </c>
      <c r="F108" s="4">
        <v>14.62</v>
      </c>
      <c r="G108" s="4">
        <v>0</v>
      </c>
      <c r="H108" s="4">
        <v>1.76</v>
      </c>
      <c r="I108" s="4">
        <v>0</v>
      </c>
      <c r="J108" s="4">
        <v>0.43</v>
      </c>
      <c r="K108" s="4">
        <v>0</v>
      </c>
      <c r="L108" s="4">
        <v>0</v>
      </c>
      <c r="M108" s="4">
        <v>2.4700000000000002</v>
      </c>
      <c r="N108" s="4">
        <v>0.06</v>
      </c>
      <c r="O108" s="4">
        <v>10.43</v>
      </c>
      <c r="P108" s="4">
        <v>5.08</v>
      </c>
      <c r="Q108" s="4">
        <v>0</v>
      </c>
      <c r="R108" s="5" t="str">
        <f>IFERROR(VLOOKUP($B108&amp;"|"&amp;$C108,测试原始数据!$A$2:$G$131,4,FALSE),"——")</f>
        <v>——</v>
      </c>
      <c r="S108" s="6" t="str">
        <f>IFERROR(VLOOKUP($B108&amp;"|"&amp;$C108,测试原始数据!$A$2:$G$131,5,FALSE),"——")</f>
        <v>——</v>
      </c>
      <c r="T108" s="6" t="str">
        <f>IFERROR(VLOOKUP($B108&amp;"|"&amp;$C108,[1]测试原始数据!$A$2:$G$131,6,FALSE),"——")</f>
        <v>——</v>
      </c>
    </row>
    <row r="109" spans="1:20" x14ac:dyDescent="0.35">
      <c r="A109" s="2">
        <v>108</v>
      </c>
      <c r="B109" s="2" t="s">
        <v>124</v>
      </c>
      <c r="C109" s="2" t="s">
        <v>21</v>
      </c>
      <c r="D109" s="4">
        <v>66.150000000000006</v>
      </c>
      <c r="E109" s="4">
        <v>3.05</v>
      </c>
      <c r="F109" s="4">
        <v>13.39</v>
      </c>
      <c r="G109" s="4">
        <v>0.45</v>
      </c>
      <c r="H109" s="4">
        <v>0</v>
      </c>
      <c r="I109" s="4">
        <v>5.67</v>
      </c>
      <c r="J109" s="4">
        <v>0</v>
      </c>
      <c r="K109" s="4">
        <v>0</v>
      </c>
      <c r="L109" s="4">
        <v>1.5</v>
      </c>
      <c r="M109" s="4">
        <v>1</v>
      </c>
      <c r="N109" s="4">
        <v>0.06</v>
      </c>
      <c r="O109" s="4">
        <v>4.75</v>
      </c>
      <c r="P109" s="4">
        <v>16.899999999999999</v>
      </c>
      <c r="Q109" s="4">
        <v>2.75</v>
      </c>
      <c r="R109" s="5" t="str">
        <f>IFERROR(VLOOKUP($B109&amp;"|"&amp;$C109,测试原始数据!$A$2:$G$131,4,FALSE),"——")</f>
        <v>——</v>
      </c>
      <c r="S109" s="6" t="str">
        <f>IFERROR(VLOOKUP($B109&amp;"|"&amp;$C109,测试原始数据!$A$2:$G$131,5,FALSE),"——")</f>
        <v>——</v>
      </c>
      <c r="T109" s="6" t="str">
        <f>IFERROR(VLOOKUP($B109&amp;"|"&amp;$C109,[1]测试原始数据!$A$2:$G$131,6,FALSE),"——")</f>
        <v>——</v>
      </c>
    </row>
    <row r="110" spans="1:20" x14ac:dyDescent="0.35">
      <c r="A110" s="2">
        <v>109</v>
      </c>
      <c r="B110" s="2" t="s">
        <v>125</v>
      </c>
      <c r="C110" s="2" t="s">
        <v>21</v>
      </c>
      <c r="D110" s="4">
        <v>66.150000000000006</v>
      </c>
      <c r="E110" s="4">
        <v>0</v>
      </c>
      <c r="F110" s="4">
        <v>13.17</v>
      </c>
      <c r="G110" s="4">
        <v>0.2</v>
      </c>
      <c r="H110" s="4">
        <v>0</v>
      </c>
      <c r="I110" s="4">
        <v>3.98</v>
      </c>
      <c r="J110" s="4">
        <v>5.42</v>
      </c>
      <c r="K110" s="4">
        <v>0</v>
      </c>
      <c r="L110" s="4">
        <v>0</v>
      </c>
      <c r="M110" s="4">
        <v>2.04</v>
      </c>
      <c r="N110" s="4">
        <v>0.06</v>
      </c>
      <c r="O110" s="4">
        <v>0.45</v>
      </c>
      <c r="P110" s="4">
        <v>18.04</v>
      </c>
      <c r="Q110" s="4">
        <v>0</v>
      </c>
      <c r="R110" s="5" t="str">
        <f>IFERROR(VLOOKUP($B110&amp;"|"&amp;$C110,测试原始数据!$A$2:$G$131,4,FALSE),"——")</f>
        <v>——</v>
      </c>
      <c r="S110" s="6" t="str">
        <f>IFERROR(VLOOKUP($B110&amp;"|"&amp;$C110,测试原始数据!$A$2:$G$131,5,FALSE),"——")</f>
        <v>——</v>
      </c>
      <c r="T110" s="6" t="str">
        <f>IFERROR(VLOOKUP($B110&amp;"|"&amp;$C110,[1]测试原始数据!$A$2:$G$131,6,FALSE),"——")</f>
        <v>——</v>
      </c>
    </row>
    <row r="111" spans="1:20" x14ac:dyDescent="0.35">
      <c r="A111" s="2">
        <v>110</v>
      </c>
      <c r="B111" s="2" t="s">
        <v>126</v>
      </c>
      <c r="C111" s="2" t="s">
        <v>21</v>
      </c>
      <c r="D111" s="4">
        <v>66.010000000000005</v>
      </c>
      <c r="E111" s="4">
        <v>0.92</v>
      </c>
      <c r="F111" s="4">
        <v>6.89</v>
      </c>
      <c r="G111" s="4">
        <v>0.27</v>
      </c>
      <c r="H111" s="4">
        <v>0</v>
      </c>
      <c r="I111" s="4">
        <v>0</v>
      </c>
      <c r="J111" s="4">
        <v>0</v>
      </c>
      <c r="K111" s="4">
        <v>5.24</v>
      </c>
      <c r="L111" s="4">
        <v>0</v>
      </c>
      <c r="M111" s="4">
        <v>0.92</v>
      </c>
      <c r="N111" s="4">
        <v>0.06</v>
      </c>
      <c r="O111" s="4">
        <v>6.32</v>
      </c>
      <c r="P111" s="4">
        <v>5.33</v>
      </c>
      <c r="Q111" s="4">
        <v>0</v>
      </c>
      <c r="R111" s="5" t="str">
        <f>IFERROR(VLOOKUP($B111&amp;"|"&amp;$C111,测试原始数据!$A$2:$G$131,4,FALSE),"——")</f>
        <v>——</v>
      </c>
      <c r="S111" s="6" t="str">
        <f>IFERROR(VLOOKUP($B111&amp;"|"&amp;$C111,测试原始数据!$A$2:$G$131,5,FALSE),"——")</f>
        <v>——</v>
      </c>
      <c r="T111" s="6" t="str">
        <f>IFERROR(VLOOKUP($B111&amp;"|"&amp;$C111,[1]测试原始数据!$A$2:$G$131,6,FALSE),"——")</f>
        <v>——</v>
      </c>
    </row>
    <row r="112" spans="1:20" x14ac:dyDescent="0.35">
      <c r="A112" s="2">
        <v>111</v>
      </c>
      <c r="B112" s="2" t="s">
        <v>127</v>
      </c>
      <c r="C112" s="2" t="s">
        <v>21</v>
      </c>
      <c r="D112" s="4">
        <v>65.900000000000006</v>
      </c>
      <c r="E112" s="4">
        <v>1.1000000000000001</v>
      </c>
      <c r="F112" s="4">
        <v>11.44</v>
      </c>
      <c r="G112" s="4">
        <v>0</v>
      </c>
      <c r="H112" s="4">
        <v>2.5099999999999998</v>
      </c>
      <c r="I112" s="4">
        <v>6.22</v>
      </c>
      <c r="J112" s="4">
        <v>4.0599999999999996</v>
      </c>
      <c r="K112" s="4">
        <v>4.21</v>
      </c>
      <c r="L112" s="4">
        <v>0</v>
      </c>
      <c r="M112" s="4">
        <v>1.05</v>
      </c>
      <c r="N112" s="4">
        <v>0.06</v>
      </c>
      <c r="O112" s="4">
        <v>3.77</v>
      </c>
      <c r="P112" s="4">
        <v>17.96</v>
      </c>
      <c r="Q112" s="4">
        <v>3.18</v>
      </c>
      <c r="R112" s="5" t="str">
        <f>IFERROR(VLOOKUP($B112&amp;"|"&amp;$C112,测试原始数据!$A$2:$G$131,4,FALSE),"——")</f>
        <v>——</v>
      </c>
      <c r="S112" s="6" t="str">
        <f>IFERROR(VLOOKUP($B112&amp;"|"&amp;$C112,测试原始数据!$A$2:$G$131,5,FALSE),"——")</f>
        <v>——</v>
      </c>
      <c r="T112" s="6" t="str">
        <f>IFERROR(VLOOKUP($B112&amp;"|"&amp;$C112,[1]测试原始数据!$A$2:$G$131,6,FALSE),"——")</f>
        <v>——</v>
      </c>
    </row>
    <row r="113" spans="1:20" x14ac:dyDescent="0.35">
      <c r="A113" s="2">
        <v>112</v>
      </c>
      <c r="B113" s="2" t="s">
        <v>128</v>
      </c>
      <c r="C113" s="2" t="s">
        <v>21</v>
      </c>
      <c r="D113" s="4">
        <v>66.02</v>
      </c>
      <c r="E113" s="4">
        <v>0</v>
      </c>
      <c r="F113" s="4">
        <v>13.65</v>
      </c>
      <c r="G113" s="4">
        <v>0.52</v>
      </c>
      <c r="H113" s="4">
        <v>0</v>
      </c>
      <c r="I113" s="4">
        <v>7.23</v>
      </c>
      <c r="J113" s="4">
        <v>0</v>
      </c>
      <c r="K113" s="4">
        <v>3.74</v>
      </c>
      <c r="L113" s="4">
        <v>1.46</v>
      </c>
      <c r="M113" s="4">
        <v>1.6</v>
      </c>
      <c r="N113" s="4">
        <v>0.06</v>
      </c>
      <c r="O113" s="4">
        <v>11.92</v>
      </c>
      <c r="P113" s="4">
        <v>8.82</v>
      </c>
      <c r="Q113" s="4">
        <v>0.48</v>
      </c>
      <c r="R113" s="5" t="str">
        <f>IFERROR(VLOOKUP($B113&amp;"|"&amp;$C113,测试原始数据!$A$2:$G$131,4,FALSE),"——")</f>
        <v>——</v>
      </c>
      <c r="S113" s="6" t="str">
        <f>IFERROR(VLOOKUP($B113&amp;"|"&amp;$C113,测试原始数据!$A$2:$G$131,5,FALSE),"——")</f>
        <v>——</v>
      </c>
      <c r="T113" s="6" t="str">
        <f>IFERROR(VLOOKUP($B113&amp;"|"&amp;$C113,[1]测试原始数据!$A$2:$G$131,6,FALSE),"——")</f>
        <v>——</v>
      </c>
    </row>
    <row r="114" spans="1:20" x14ac:dyDescent="0.35">
      <c r="A114" s="2">
        <v>113</v>
      </c>
      <c r="B114" s="2" t="s">
        <v>129</v>
      </c>
      <c r="C114" s="2" t="s">
        <v>21</v>
      </c>
      <c r="D114" s="4">
        <v>66.010000000000005</v>
      </c>
      <c r="E114" s="4">
        <v>1.56</v>
      </c>
      <c r="F114" s="4">
        <v>8.25</v>
      </c>
      <c r="G114" s="4">
        <v>0</v>
      </c>
      <c r="H114" s="4">
        <v>1.7</v>
      </c>
      <c r="I114" s="4">
        <v>5.78</v>
      </c>
      <c r="J114" s="4">
        <v>4.95</v>
      </c>
      <c r="K114" s="4">
        <v>2.84</v>
      </c>
      <c r="L114" s="4">
        <v>1.66</v>
      </c>
      <c r="M114" s="4">
        <v>3.83</v>
      </c>
      <c r="N114" s="4">
        <v>0.06</v>
      </c>
      <c r="O114" s="4">
        <v>8.73</v>
      </c>
      <c r="P114" s="4">
        <v>10.24</v>
      </c>
      <c r="Q114" s="4">
        <v>3.2</v>
      </c>
      <c r="R114" s="5" t="str">
        <f>IFERROR(VLOOKUP($B114&amp;"|"&amp;$C114,测试原始数据!$A$2:$G$131,4,FALSE),"——")</f>
        <v>——</v>
      </c>
      <c r="S114" s="6" t="str">
        <f>IFERROR(VLOOKUP($B114&amp;"|"&amp;$C114,测试原始数据!$A$2:$G$131,5,FALSE),"——")</f>
        <v>——</v>
      </c>
      <c r="T114" s="6" t="str">
        <f>IFERROR(VLOOKUP($B114&amp;"|"&amp;$C114,[1]测试原始数据!$A$2:$G$131,6,FALSE),"——")</f>
        <v>——</v>
      </c>
    </row>
    <row r="115" spans="1:20" x14ac:dyDescent="0.35">
      <c r="A115" s="2">
        <v>114</v>
      </c>
      <c r="B115" s="2" t="s">
        <v>130</v>
      </c>
      <c r="C115" s="2" t="s">
        <v>21</v>
      </c>
      <c r="D115" s="4">
        <v>65.989999999999995</v>
      </c>
      <c r="E115" s="4">
        <v>0.51</v>
      </c>
      <c r="F115" s="4">
        <v>13.09</v>
      </c>
      <c r="G115" s="4">
        <v>0</v>
      </c>
      <c r="H115" s="4">
        <v>0</v>
      </c>
      <c r="I115" s="4">
        <v>7.52</v>
      </c>
      <c r="J115" s="4">
        <v>0</v>
      </c>
      <c r="K115" s="4">
        <v>0</v>
      </c>
      <c r="L115" s="4">
        <v>0</v>
      </c>
      <c r="M115" s="4">
        <v>0.92</v>
      </c>
      <c r="N115" s="4">
        <v>0.06</v>
      </c>
      <c r="O115" s="4">
        <v>9.99</v>
      </c>
      <c r="P115" s="4">
        <v>3.84</v>
      </c>
      <c r="Q115" s="4">
        <v>2.83</v>
      </c>
      <c r="R115" s="5" t="str">
        <f>IFERROR(VLOOKUP($B115&amp;"|"&amp;$C115,测试原始数据!$A$2:$G$131,4,FALSE),"——")</f>
        <v>——</v>
      </c>
      <c r="S115" s="6" t="str">
        <f>IFERROR(VLOOKUP($B115&amp;"|"&amp;$C115,测试原始数据!$A$2:$G$131,5,FALSE),"——")</f>
        <v>——</v>
      </c>
      <c r="T115" s="6" t="str">
        <f>IFERROR(VLOOKUP($B115&amp;"|"&amp;$C115,[1]测试原始数据!$A$2:$G$131,6,FALSE),"——")</f>
        <v>——</v>
      </c>
    </row>
    <row r="116" spans="1:20" x14ac:dyDescent="0.35">
      <c r="A116" s="2">
        <v>115</v>
      </c>
      <c r="B116" s="2" t="s">
        <v>131</v>
      </c>
      <c r="C116" s="2" t="s">
        <v>21</v>
      </c>
      <c r="D116" s="4">
        <v>66</v>
      </c>
      <c r="E116" s="4">
        <f>ROUND(SUMIF(换算明细!$A$2:$A$67,$B116,换算明细!$T$2:$T$67)*66/SUMIF(换算明细!$A$2:$A$67,$B116,换算明细!$S$2:$S$67),2)</f>
        <v>0.7</v>
      </c>
      <c r="F116" s="4">
        <f>ROUND(SUMIF(换算明细!$A$2:$A$67,$B116,换算明细!$U$2:$U$67)*66/SUMIF(换算明细!$A$2:$A$67,$B116,换算明细!$S$2:$S$67),2)</f>
        <v>10.32</v>
      </c>
      <c r="G116" s="4">
        <f>ROUND(SUMIF(换算明细!$A$2:$A$67,$B116,换算明细!$V$2:$V$67)*66/SUMIF(换算明细!$A$2:$A$67,$B116,换算明细!$S$2:$S$67),2)</f>
        <v>0.48</v>
      </c>
      <c r="H116" s="4">
        <f>ROUND(SUMIF(换算明细!$A$2:$A$67,$B116,换算明细!$W$2:$W$67)*66/SUMIF(换算明细!$A$2:$A$67,$B116,换算明细!$S$2:$S$67),2)</f>
        <v>3.46</v>
      </c>
      <c r="I116" s="4">
        <f>ROUND(SUMIF(换算明细!$A$2:$A$67,$B116,换算明细!$X$2:$X$67)*66/SUMIF(换算明细!$A$2:$A$67,$B116,换算明细!$S$2:$S$67),2)</f>
        <v>5.0999999999999996</v>
      </c>
      <c r="J116" s="4">
        <f>ROUND(SUMIF(换算明细!$A$2:$A$67,$B116,换算明细!$Y$2:$Y$67)*66/SUMIF(换算明细!$A$2:$A$67,$B116,换算明细!$S$2:$S$67),2)</f>
        <v>4.4800000000000004</v>
      </c>
      <c r="K116" s="4">
        <f>ROUND(SUMIF(换算明细!$A$2:$A$67,$B116,换算明细!$Z$2:$Z$67)*66/SUMIF(换算明细!$A$2:$A$67,$B116,换算明细!$S$2:$S$67),2)</f>
        <v>2.33</v>
      </c>
      <c r="L116" s="4">
        <f>ROUND(SUMIF(换算明细!$A$2:$A$67,$B116,换算明细!$AA$2:$AA$67)*66/SUMIF(换算明细!$A$2:$A$67,$B116,换算明细!$S$2:$S$67),2)</f>
        <v>0.98</v>
      </c>
      <c r="M116" s="4">
        <f>ROUND(SUMIF(换算明细!$A$2:$A$67,$B116,换算明细!$AB$2:$AB$67)*66/SUMIF(换算明细!$A$2:$A$67,$B116,换算明细!$S$2:$S$67),2)</f>
        <v>3.37</v>
      </c>
      <c r="N116" s="4">
        <f>ROUND(SUMIF(换算明细!$A$2:$A$67,$B116,换算明细!$AC$2:$AC$67)*66/SUMIF(换算明细!$A$2:$A$67,$B116,换算明细!$S$2:$S$67),2)</f>
        <v>0.06</v>
      </c>
      <c r="O116" s="4">
        <f>ROUND(SUMIF(换算明细!$A$2:$A$67,$B116,换算明细!$AD$2:$AD$67)*66/SUMIF(换算明细!$A$2:$A$67,$B116,换算明细!$S$2:$S$67),2)</f>
        <v>8.3000000000000007</v>
      </c>
      <c r="P116" s="4">
        <f>ROUND(SUMIF(换算明细!$A$2:$A$67,$B116,换算明细!$AE$2:$AE$67)*66/SUMIF(换算明细!$A$2:$A$67,$B116,换算明细!$S$2:$S$67),2)</f>
        <v>11.45</v>
      </c>
      <c r="Q116" s="4">
        <f>ROUND(SUMIF(换算明细!$A$2:$A$67,$B116,换算明细!$AF$2:$AF$67)*66/SUMIF(换算明细!$A$2:$A$67,$B116,换算明细!$S$2:$S$67),2)</f>
        <v>2.4</v>
      </c>
      <c r="R116" s="5">
        <f>IFERROR(VLOOKUP($B116&amp;"|"&amp;$C116,测试原始数据!$A$2:$G$131,4,FALSE),"——")</f>
        <v>18.61</v>
      </c>
      <c r="S116" s="6">
        <f>IFERROR(VLOOKUP($B116&amp;"|"&amp;$C116,测试原始数据!$A$2:$G$131,5,FALSE),"——")</f>
        <v>128</v>
      </c>
      <c r="T116" s="6" t="str">
        <f>IFERROR(VLOOKUP($B116&amp;"|"&amp;$C116,[1]测试原始数据!$A$2:$G$131,6,FALSE),"——")</f>
        <v>——</v>
      </c>
    </row>
    <row r="117" spans="1:20" x14ac:dyDescent="0.35">
      <c r="A117" s="2">
        <v>116</v>
      </c>
      <c r="B117" s="2" t="s">
        <v>132</v>
      </c>
      <c r="C117" s="2" t="s">
        <v>21</v>
      </c>
      <c r="D117" s="4">
        <v>66</v>
      </c>
      <c r="E117" s="4">
        <f>ROUND(SUMIF(换算明细!$A$2:$A$67,$B117,换算明细!$T$2:$T$67)*66/SUMIF(换算明细!$A$2:$A$67,$B117,换算明细!$S$2:$S$67),2)</f>
        <v>0</v>
      </c>
      <c r="F117" s="4">
        <f>ROUND(SUMIF(换算明细!$A$2:$A$67,$B117,换算明细!$U$2:$U$67)*66/SUMIF(换算明细!$A$2:$A$67,$B117,换算明细!$S$2:$S$67),2)</f>
        <v>9.9499999999999993</v>
      </c>
      <c r="G117" s="4">
        <f>ROUND(SUMIF(换算明细!$A$2:$A$67,$B117,换算明细!$V$2:$V$67)*66/SUMIF(换算明细!$A$2:$A$67,$B117,换算明细!$S$2:$S$67),2)</f>
        <v>0.17</v>
      </c>
      <c r="H117" s="4">
        <f>ROUND(SUMIF(换算明细!$A$2:$A$67,$B117,换算明细!$W$2:$W$67)*66/SUMIF(换算明细!$A$2:$A$67,$B117,换算明细!$S$2:$S$67),2)</f>
        <v>3.66</v>
      </c>
      <c r="I117" s="4">
        <f>ROUND(SUMIF(换算明细!$A$2:$A$67,$B117,换算明细!$X$2:$X$67)*66/SUMIF(换算明细!$A$2:$A$67,$B117,换算明细!$S$2:$S$67),2)</f>
        <v>4.3099999999999996</v>
      </c>
      <c r="J117" s="4">
        <f>ROUND(SUMIF(换算明细!$A$2:$A$67,$B117,换算明细!$Y$2:$Y$67)*66/SUMIF(换算明细!$A$2:$A$67,$B117,换算明细!$S$2:$S$67),2)</f>
        <v>6.19</v>
      </c>
      <c r="K117" s="4">
        <f>ROUND(SUMIF(换算明细!$A$2:$A$67,$B117,换算明细!$Z$2:$Z$67)*66/SUMIF(换算明细!$A$2:$A$67,$B117,换算明细!$S$2:$S$67),2)</f>
        <v>1.81</v>
      </c>
      <c r="L117" s="4">
        <f>ROUND(SUMIF(换算明细!$A$2:$A$67,$B117,换算明细!$AA$2:$AA$67)*66/SUMIF(换算明细!$A$2:$A$67,$B117,换算明细!$S$2:$S$67),2)</f>
        <v>0</v>
      </c>
      <c r="M117" s="4">
        <f>ROUND(SUMIF(换算明细!$A$2:$A$67,$B117,换算明细!$AB$2:$AB$67)*66/SUMIF(换算明细!$A$2:$A$67,$B117,换算明细!$S$2:$S$67),2)</f>
        <v>2.65</v>
      </c>
      <c r="N117" s="4">
        <f>ROUND(SUMIF(换算明细!$A$2:$A$67,$B117,换算明细!$AC$2:$AC$67)*66/SUMIF(换算明细!$A$2:$A$67,$B117,换算明细!$S$2:$S$67),2)</f>
        <v>0.06</v>
      </c>
      <c r="O117" s="4">
        <f>ROUND(SUMIF(换算明细!$A$2:$A$67,$B117,换算明细!$AD$2:$AD$67)*66/SUMIF(换算明细!$A$2:$A$67,$B117,换算明细!$S$2:$S$67),2)</f>
        <v>6.67</v>
      </c>
      <c r="P117" s="4">
        <f>ROUND(SUMIF(换算明细!$A$2:$A$67,$B117,换算明细!$AE$2:$AE$67)*66/SUMIF(换算明细!$A$2:$A$67,$B117,换算明细!$S$2:$S$67),2)</f>
        <v>12.44</v>
      </c>
      <c r="Q117" s="4">
        <f>ROUND(SUMIF(换算明细!$A$2:$A$67,$B117,换算明细!$AF$2:$AF$67)*66/SUMIF(换算明细!$A$2:$A$67,$B117,换算明细!$S$2:$S$67),2)</f>
        <v>1.68</v>
      </c>
      <c r="R117" s="5">
        <f>IFERROR(VLOOKUP($B117&amp;"|"&amp;$C117,测试原始数据!$A$2:$G$131,4,FALSE),"——")</f>
        <v>17.96</v>
      </c>
      <c r="S117" s="6">
        <f>IFERROR(VLOOKUP($B117&amp;"|"&amp;$C117,测试原始数据!$A$2:$G$131,5,FALSE),"——")</f>
        <v>92</v>
      </c>
      <c r="T117" s="6" t="str">
        <f>IFERROR(VLOOKUP($B117&amp;"|"&amp;$C117,[1]测试原始数据!$A$2:$G$131,6,FALSE),"——")</f>
        <v>——</v>
      </c>
    </row>
    <row r="118" spans="1:20" x14ac:dyDescent="0.35">
      <c r="A118" s="2">
        <v>117</v>
      </c>
      <c r="B118" s="2" t="s">
        <v>133</v>
      </c>
      <c r="C118" s="2" t="s">
        <v>21</v>
      </c>
      <c r="D118" s="4">
        <v>66</v>
      </c>
      <c r="E118" s="4">
        <f>ROUND(SUMIF(换算明细!$A$2:$A$67,$B118,换算明细!$T$2:$T$67)*66/SUMIF(换算明细!$A$2:$A$67,$B118,换算明细!$S$2:$S$67),2)</f>
        <v>1.57</v>
      </c>
      <c r="F118" s="4">
        <f>ROUND(SUMIF(换算明细!$A$2:$A$67,$B118,换算明细!$U$2:$U$67)*66/SUMIF(换算明细!$A$2:$A$67,$B118,换算明细!$S$2:$S$67),2)</f>
        <v>2.93</v>
      </c>
      <c r="G118" s="4">
        <f>ROUND(SUMIF(换算明细!$A$2:$A$67,$B118,换算明细!$V$2:$V$67)*66/SUMIF(换算明细!$A$2:$A$67,$B118,换算明细!$S$2:$S$67),2)</f>
        <v>0.06</v>
      </c>
      <c r="H118" s="4">
        <f>ROUND(SUMIF(换算明细!$A$2:$A$67,$B118,换算明细!$W$2:$W$67)*66/SUMIF(换算明细!$A$2:$A$67,$B118,换算明细!$S$2:$S$67),2)</f>
        <v>7.93</v>
      </c>
      <c r="I118" s="4">
        <f>ROUND(SUMIF(换算明细!$A$2:$A$67,$B118,换算明细!$X$2:$X$67)*66/SUMIF(换算明细!$A$2:$A$67,$B118,换算明细!$S$2:$S$67),2)</f>
        <v>7.85</v>
      </c>
      <c r="J118" s="4">
        <f>ROUND(SUMIF(换算明细!$A$2:$A$67,$B118,换算明细!$Y$2:$Y$67)*66/SUMIF(换算明细!$A$2:$A$67,$B118,换算明细!$S$2:$S$67),2)</f>
        <v>4.53</v>
      </c>
      <c r="K118" s="4">
        <f>ROUND(SUMIF(换算明细!$A$2:$A$67,$B118,换算明细!$Z$2:$Z$67)*66/SUMIF(换算明细!$A$2:$A$67,$B118,换算明细!$S$2:$S$67),2)</f>
        <v>1.88</v>
      </c>
      <c r="L118" s="4">
        <f>ROUND(SUMIF(换算明细!$A$2:$A$67,$B118,换算明细!$AA$2:$AA$67)*66/SUMIF(换算明细!$A$2:$A$67,$B118,换算明细!$S$2:$S$67),2)</f>
        <v>0.68</v>
      </c>
      <c r="M118" s="4">
        <f>ROUND(SUMIF(换算明细!$A$2:$A$67,$B118,换算明细!$AB$2:$AB$67)*66/SUMIF(换算明细!$A$2:$A$67,$B118,换算明细!$S$2:$S$67),2)</f>
        <v>2.14</v>
      </c>
      <c r="N118" s="4">
        <f>ROUND(SUMIF(换算明细!$A$2:$A$67,$B118,换算明细!$AC$2:$AC$67)*66/SUMIF(换算明细!$A$2:$A$67,$B118,换算明细!$S$2:$S$67),2)</f>
        <v>0.06</v>
      </c>
      <c r="O118" s="4">
        <f>ROUND(SUMIF(换算明细!$A$2:$A$67,$B118,换算明细!$AD$2:$AD$67)*66/SUMIF(换算明细!$A$2:$A$67,$B118,换算明细!$S$2:$S$67),2)</f>
        <v>10.36</v>
      </c>
      <c r="P118" s="4">
        <f>ROUND(SUMIF(换算明细!$A$2:$A$67,$B118,换算明细!$AE$2:$AE$67)*66/SUMIF(换算明细!$A$2:$A$67,$B118,换算明细!$S$2:$S$67),2)</f>
        <v>7.87</v>
      </c>
      <c r="Q118" s="4">
        <f>ROUND(SUMIF(换算明细!$A$2:$A$67,$B118,换算明细!$AF$2:$AF$67)*66/SUMIF(换算明细!$A$2:$A$67,$B118,换算明细!$S$2:$S$67),2)</f>
        <v>0.65</v>
      </c>
      <c r="R118" s="5">
        <f>IFERROR(VLOOKUP($B118&amp;"|"&amp;$C118,测试原始数据!$A$2:$G$131,4,FALSE),"——")</f>
        <v>20.015000000000001</v>
      </c>
      <c r="S118" s="6">
        <f>IFERROR(VLOOKUP($B118&amp;"|"&amp;$C118,测试原始数据!$A$2:$G$131,5,FALSE),"——")</f>
        <v>98</v>
      </c>
      <c r="T118" s="6" t="str">
        <f>IFERROR(VLOOKUP($B118&amp;"|"&amp;$C118,[1]测试原始数据!$A$2:$G$131,6,FALSE),"——")</f>
        <v>——</v>
      </c>
    </row>
    <row r="119" spans="1:20" x14ac:dyDescent="0.35">
      <c r="A119" s="2">
        <v>118</v>
      </c>
      <c r="B119" s="2" t="s">
        <v>134</v>
      </c>
      <c r="C119" s="2" t="s">
        <v>21</v>
      </c>
      <c r="D119" s="4">
        <v>66</v>
      </c>
      <c r="E119" s="4">
        <f>ROUND(SUMIF(换算明细!$A$2:$A$67,$B119,换算明细!$T$2:$T$67)*66/SUMIF(换算明细!$A$2:$A$67,$B119,换算明细!$S$2:$S$67),2)</f>
        <v>3.46</v>
      </c>
      <c r="F119" s="4">
        <f>ROUND(SUMIF(换算明细!$A$2:$A$67,$B119,换算明细!$U$2:$U$67)*66/SUMIF(换算明细!$A$2:$A$67,$B119,换算明细!$S$2:$S$67),2)</f>
        <v>4.07</v>
      </c>
      <c r="G119" s="4">
        <f>ROUND(SUMIF(换算明细!$A$2:$A$67,$B119,换算明细!$V$2:$V$67)*66/SUMIF(换算明细!$A$2:$A$67,$B119,换算明细!$S$2:$S$67),2)</f>
        <v>0.08</v>
      </c>
      <c r="H119" s="4">
        <f>ROUND(SUMIF(换算明细!$A$2:$A$67,$B119,换算明细!$W$2:$W$67)*66/SUMIF(换算明细!$A$2:$A$67,$B119,换算明细!$S$2:$S$67),2)</f>
        <v>5.48</v>
      </c>
      <c r="I119" s="4">
        <f>ROUND(SUMIF(换算明细!$A$2:$A$67,$B119,换算明细!$X$2:$X$67)*66/SUMIF(换算明细!$A$2:$A$67,$B119,换算明细!$S$2:$S$67),2)</f>
        <v>7.68</v>
      </c>
      <c r="J119" s="4">
        <f>ROUND(SUMIF(换算明细!$A$2:$A$67,$B119,换算明细!$Y$2:$Y$67)*66/SUMIF(换算明细!$A$2:$A$67,$B119,换算明细!$S$2:$S$67),2)</f>
        <v>3.73</v>
      </c>
      <c r="K119" s="4">
        <f>ROUND(SUMIF(换算明细!$A$2:$A$67,$B119,换算明细!$Z$2:$Z$67)*66/SUMIF(换算明细!$A$2:$A$67,$B119,换算明细!$S$2:$S$67),2)</f>
        <v>2.89</v>
      </c>
      <c r="L119" s="4">
        <f>ROUND(SUMIF(换算明细!$A$2:$A$67,$B119,换算明细!$AA$2:$AA$67)*66/SUMIF(换算明细!$A$2:$A$67,$B119,换算明细!$S$2:$S$67),2)</f>
        <v>1.48</v>
      </c>
      <c r="M119" s="4">
        <f>ROUND(SUMIF(换算明细!$A$2:$A$67,$B119,换算明细!$AB$2:$AB$67)*66/SUMIF(换算明细!$A$2:$A$67,$B119,换算明细!$S$2:$S$67),2)</f>
        <v>2.92</v>
      </c>
      <c r="N119" s="4">
        <f>ROUND(SUMIF(换算明细!$A$2:$A$67,$B119,换算明细!$AC$2:$AC$67)*66/SUMIF(换算明细!$A$2:$A$67,$B119,换算明细!$S$2:$S$67),2)</f>
        <v>0.06</v>
      </c>
      <c r="O119" s="4">
        <f>ROUND(SUMIF(换算明细!$A$2:$A$67,$B119,换算明细!$AD$2:$AD$67)*66/SUMIF(换算明细!$A$2:$A$67,$B119,换算明细!$S$2:$S$67),2)</f>
        <v>9.4600000000000009</v>
      </c>
      <c r="P119" s="4">
        <f>ROUND(SUMIF(换算明细!$A$2:$A$67,$B119,换算明细!$AE$2:$AE$67)*66/SUMIF(换算明细!$A$2:$A$67,$B119,换算明细!$S$2:$S$67),2)</f>
        <v>11.1</v>
      </c>
      <c r="Q119" s="4">
        <f>ROUND(SUMIF(换算明细!$A$2:$A$67,$B119,换算明细!$AF$2:$AF$67)*66/SUMIF(换算明细!$A$2:$A$67,$B119,换算明细!$S$2:$S$67),2)</f>
        <v>0.48</v>
      </c>
      <c r="R119" s="5">
        <f>IFERROR(VLOOKUP($B119&amp;"|"&amp;$C119,测试原始数据!$A$2:$G$131,4,FALSE),"——")</f>
        <v>19.799999999999997</v>
      </c>
      <c r="S119" s="6">
        <f>IFERROR(VLOOKUP($B119&amp;"|"&amp;$C119,测试原始数据!$A$2:$G$131,5,FALSE),"——")</f>
        <v>107</v>
      </c>
      <c r="T119" s="6" t="str">
        <f>IFERROR(VLOOKUP($B119&amp;"|"&amp;$C119,[1]测试原始数据!$A$2:$G$131,6,FALSE),"——")</f>
        <v>——</v>
      </c>
    </row>
    <row r="120" spans="1:20" x14ac:dyDescent="0.35">
      <c r="A120" s="2">
        <v>119</v>
      </c>
      <c r="B120" s="2" t="s">
        <v>135</v>
      </c>
      <c r="C120" s="2" t="s">
        <v>21</v>
      </c>
      <c r="D120" s="4">
        <v>66</v>
      </c>
      <c r="E120" s="4">
        <f>ROUND(SUMIF(换算明细!$A$2:$A$67,$B120,换算明细!$T$2:$T$67)*66/SUMIF(换算明细!$A$2:$A$67,$B120,换算明细!$S$2:$S$67),2)</f>
        <v>2.91</v>
      </c>
      <c r="F120" s="4">
        <f>ROUND(SUMIF(换算明细!$A$2:$A$67,$B120,换算明细!$U$2:$U$67)*66/SUMIF(换算明细!$A$2:$A$67,$B120,换算明细!$S$2:$S$67),2)</f>
        <v>4.79</v>
      </c>
      <c r="G120" s="4">
        <f>ROUND(SUMIF(换算明细!$A$2:$A$67,$B120,换算明细!$V$2:$V$67)*66/SUMIF(换算明细!$A$2:$A$67,$B120,换算明细!$S$2:$S$67),2)</f>
        <v>0.21</v>
      </c>
      <c r="H120" s="4">
        <f>ROUND(SUMIF(换算明细!$A$2:$A$67,$B120,换算明细!$W$2:$W$67)*66/SUMIF(换算明细!$A$2:$A$67,$B120,换算明细!$S$2:$S$67),2)</f>
        <v>3.55</v>
      </c>
      <c r="I120" s="4">
        <f>ROUND(SUMIF(换算明细!$A$2:$A$67,$B120,换算明细!$X$2:$X$67)*66/SUMIF(换算明细!$A$2:$A$67,$B120,换算明细!$S$2:$S$67),2)</f>
        <v>5.69</v>
      </c>
      <c r="J120" s="4">
        <f>ROUND(SUMIF(换算明细!$A$2:$A$67,$B120,换算明细!$Y$2:$Y$67)*66/SUMIF(换算明细!$A$2:$A$67,$B120,换算明细!$S$2:$S$67),2)</f>
        <v>3.76</v>
      </c>
      <c r="K120" s="4">
        <f>ROUND(SUMIF(换算明细!$A$2:$A$67,$B120,换算明细!$Z$2:$Z$67)*66/SUMIF(换算明细!$A$2:$A$67,$B120,换算明细!$S$2:$S$67),2)</f>
        <v>0.42</v>
      </c>
      <c r="L120" s="4">
        <f>ROUND(SUMIF(换算明细!$A$2:$A$67,$B120,换算明细!$AA$2:$AA$67)*66/SUMIF(换算明细!$A$2:$A$67,$B120,换算明细!$S$2:$S$67),2)</f>
        <v>1.64</v>
      </c>
      <c r="M120" s="4">
        <f>ROUND(SUMIF(换算明细!$A$2:$A$67,$B120,换算明细!$AB$2:$AB$67)*66/SUMIF(换算明细!$A$2:$A$67,$B120,换算明细!$S$2:$S$67),2)</f>
        <v>1.94</v>
      </c>
      <c r="N120" s="4">
        <f>ROUND(SUMIF(换算明细!$A$2:$A$67,$B120,换算明细!$AC$2:$AC$67)*66/SUMIF(换算明细!$A$2:$A$67,$B120,换算明细!$S$2:$S$67),2)</f>
        <v>0.06</v>
      </c>
      <c r="O120" s="4">
        <f>ROUND(SUMIF(换算明细!$A$2:$A$67,$B120,换算明细!$AD$2:$AD$67)*66/SUMIF(换算明细!$A$2:$A$67,$B120,换算明细!$S$2:$S$67),2)</f>
        <v>8.3800000000000008</v>
      </c>
      <c r="P120" s="4">
        <f>ROUND(SUMIF(换算明细!$A$2:$A$67,$B120,换算明细!$AE$2:$AE$67)*66/SUMIF(换算明细!$A$2:$A$67,$B120,换算明细!$S$2:$S$67),2)</f>
        <v>8.5</v>
      </c>
      <c r="Q120" s="4">
        <f>ROUND(SUMIF(换算明细!$A$2:$A$67,$B120,换算明细!$AF$2:$AF$67)*66/SUMIF(换算明细!$A$2:$A$67,$B120,换算明细!$S$2:$S$67),2)</f>
        <v>0.38</v>
      </c>
      <c r="R120" s="5">
        <f>IFERROR(VLOOKUP($B120&amp;"|"&amp;$C120,测试原始数据!$A$2:$G$131,4,FALSE),"——")</f>
        <v>18.675000000000001</v>
      </c>
      <c r="S120" s="6">
        <f>IFERROR(VLOOKUP($B120&amp;"|"&amp;$C120,测试原始数据!$A$2:$G$131,5,FALSE),"——")</f>
        <v>200</v>
      </c>
      <c r="T120" s="6" t="str">
        <f>IFERROR(VLOOKUP($B120&amp;"|"&amp;$C120,[1]测试原始数据!$A$2:$G$131,6,FALSE),"——")</f>
        <v>——</v>
      </c>
    </row>
    <row r="121" spans="1:20" x14ac:dyDescent="0.35">
      <c r="A121" s="2">
        <v>120</v>
      </c>
      <c r="B121" s="2" t="s">
        <v>136</v>
      </c>
      <c r="C121" s="2" t="s">
        <v>21</v>
      </c>
      <c r="D121" s="4">
        <v>66</v>
      </c>
      <c r="E121" s="4">
        <f>ROUND(SUMIF(换算明细!$A$2:$A$67,$B121,换算明细!$T$2:$T$67)*66/SUMIF(换算明细!$A$2:$A$67,$B121,换算明细!$S$2:$S$67),2)</f>
        <v>1.79</v>
      </c>
      <c r="F121" s="4">
        <f>ROUND(SUMIF(换算明细!$A$2:$A$67,$B121,换算明细!$U$2:$U$67)*66/SUMIF(换算明细!$A$2:$A$67,$B121,换算明细!$S$2:$S$67),2)</f>
        <v>5.36</v>
      </c>
      <c r="G121" s="4">
        <f>ROUND(SUMIF(换算明细!$A$2:$A$67,$B121,换算明细!$V$2:$V$67)*66/SUMIF(换算明细!$A$2:$A$67,$B121,换算明细!$S$2:$S$67),2)</f>
        <v>0.22</v>
      </c>
      <c r="H121" s="4">
        <f>ROUND(SUMIF(换算明细!$A$2:$A$67,$B121,换算明细!$W$2:$W$67)*66/SUMIF(换算明细!$A$2:$A$67,$B121,换算明细!$S$2:$S$67),2)</f>
        <v>6.35</v>
      </c>
      <c r="I121" s="4">
        <f>ROUND(SUMIF(换算明细!$A$2:$A$67,$B121,换算明细!$X$2:$X$67)*66/SUMIF(换算明细!$A$2:$A$67,$B121,换算明细!$S$2:$S$67),2)</f>
        <v>3.95</v>
      </c>
      <c r="J121" s="4">
        <f>ROUND(SUMIF(换算明细!$A$2:$A$67,$B121,换算明细!$Y$2:$Y$67)*66/SUMIF(换算明细!$A$2:$A$67,$B121,换算明细!$S$2:$S$67),2)</f>
        <v>3.93</v>
      </c>
      <c r="K121" s="4">
        <f>ROUND(SUMIF(换算明细!$A$2:$A$67,$B121,换算明细!$Z$2:$Z$67)*66/SUMIF(换算明细!$A$2:$A$67,$B121,换算明细!$S$2:$S$67),2)</f>
        <v>1.34</v>
      </c>
      <c r="L121" s="4">
        <f>ROUND(SUMIF(换算明细!$A$2:$A$67,$B121,换算明细!$AA$2:$AA$67)*66/SUMIF(换算明细!$A$2:$A$67,$B121,换算明细!$S$2:$S$67),2)</f>
        <v>1.84</v>
      </c>
      <c r="M121" s="4">
        <f>ROUND(SUMIF(换算明细!$A$2:$A$67,$B121,换算明细!$AB$2:$AB$67)*66/SUMIF(换算明细!$A$2:$A$67,$B121,换算明细!$S$2:$S$67),2)</f>
        <v>1.96</v>
      </c>
      <c r="N121" s="4">
        <f>ROUND(SUMIF(换算明细!$A$2:$A$67,$B121,换算明细!$AC$2:$AC$67)*66/SUMIF(换算明细!$A$2:$A$67,$B121,换算明细!$S$2:$S$67),2)</f>
        <v>0.06</v>
      </c>
      <c r="O121" s="4">
        <f>ROUND(SUMIF(换算明细!$A$2:$A$67,$B121,换算明细!$AD$2:$AD$67)*66/SUMIF(换算明细!$A$2:$A$67,$B121,换算明细!$S$2:$S$67),2)</f>
        <v>11.35</v>
      </c>
      <c r="P121" s="4">
        <f>ROUND(SUMIF(换算明细!$A$2:$A$67,$B121,换算明细!$AE$2:$AE$67)*66/SUMIF(换算明细!$A$2:$A$67,$B121,换算明细!$S$2:$S$67),2)</f>
        <v>6.43</v>
      </c>
      <c r="Q121" s="4">
        <f>ROUND(SUMIF(换算明细!$A$2:$A$67,$B121,换算明细!$AF$2:$AF$67)*66/SUMIF(换算明细!$A$2:$A$67,$B121,换算明细!$S$2:$S$67),2)</f>
        <v>1.33</v>
      </c>
      <c r="R121" s="5">
        <f>IFERROR(VLOOKUP($B121&amp;"|"&amp;$C121,测试原始数据!$A$2:$G$131,4,FALSE),"——")</f>
        <v>20.645000000000003</v>
      </c>
      <c r="S121" s="6">
        <f>IFERROR(VLOOKUP($B121&amp;"|"&amp;$C121,测试原始数据!$A$2:$G$131,5,FALSE),"——")</f>
        <v>300</v>
      </c>
      <c r="T121" s="6" t="str">
        <f>IFERROR(VLOOKUP($B121&amp;"|"&amp;$C121,[1]测试原始数据!$A$2:$G$131,6,FALSE),"——")</f>
        <v>——</v>
      </c>
    </row>
    <row r="122" spans="1:20" x14ac:dyDescent="0.35">
      <c r="A122" s="2">
        <v>121</v>
      </c>
      <c r="B122" s="2" t="s">
        <v>137</v>
      </c>
      <c r="C122" s="2" t="s">
        <v>21</v>
      </c>
      <c r="D122" s="4">
        <v>66</v>
      </c>
      <c r="E122" s="4">
        <f>ROUND(SUMIF(换算明细!$A$2:$A$67,$B122,换算明细!$T$2:$T$67)*66/SUMIF(换算明细!$A$2:$A$67,$B122,换算明细!$S$2:$S$67),2)</f>
        <v>0.7</v>
      </c>
      <c r="F122" s="4">
        <f>ROUND(SUMIF(换算明细!$A$2:$A$67,$B122,换算明细!$U$2:$U$67)*66/SUMIF(换算明细!$A$2:$A$67,$B122,换算明细!$S$2:$S$67),2)</f>
        <v>12.93</v>
      </c>
      <c r="G122" s="4">
        <f>ROUND(SUMIF(换算明细!$A$2:$A$67,$B122,换算明细!$V$2:$V$67)*66/SUMIF(换算明细!$A$2:$A$67,$B122,换算明细!$S$2:$S$67),2)</f>
        <v>0</v>
      </c>
      <c r="H122" s="4">
        <f>ROUND(SUMIF(换算明细!$A$2:$A$67,$B122,换算明细!$W$2:$W$67)*66/SUMIF(换算明细!$A$2:$A$67,$B122,换算明细!$S$2:$S$67),2)</f>
        <v>3.89</v>
      </c>
      <c r="I122" s="4">
        <f>ROUND(SUMIF(换算明细!$A$2:$A$67,$B122,换算明细!$X$2:$X$67)*66/SUMIF(换算明细!$A$2:$A$67,$B122,换算明细!$S$2:$S$67),2)</f>
        <v>2.33</v>
      </c>
      <c r="J122" s="4">
        <f>ROUND(SUMIF(换算明细!$A$2:$A$67,$B122,换算明细!$Y$2:$Y$67)*66/SUMIF(换算明细!$A$2:$A$67,$B122,换算明细!$S$2:$S$67),2)</f>
        <v>3.13</v>
      </c>
      <c r="K122" s="4">
        <f>ROUND(SUMIF(换算明细!$A$2:$A$67,$B122,换算明细!$Z$2:$Z$67)*66/SUMIF(换算明细!$A$2:$A$67,$B122,换算明细!$S$2:$S$67),2)</f>
        <v>1.44</v>
      </c>
      <c r="L122" s="4">
        <f>ROUND(SUMIF(换算明细!$A$2:$A$67,$B122,换算明细!$AA$2:$AA$67)*66/SUMIF(换算明细!$A$2:$A$67,$B122,换算明细!$S$2:$S$67),2)</f>
        <v>0.89</v>
      </c>
      <c r="M122" s="4">
        <f>ROUND(SUMIF(换算明细!$A$2:$A$67,$B122,换算明细!$AB$2:$AB$67)*66/SUMIF(换算明细!$A$2:$A$67,$B122,换算明细!$S$2:$S$67),2)</f>
        <v>2.2999999999999998</v>
      </c>
      <c r="N122" s="4">
        <f>ROUND(SUMIF(换算明细!$A$2:$A$67,$B122,换算明细!$AC$2:$AC$67)*66/SUMIF(换算明细!$A$2:$A$67,$B122,换算明细!$S$2:$S$67),2)</f>
        <v>0.06</v>
      </c>
      <c r="O122" s="4">
        <f>ROUND(SUMIF(换算明细!$A$2:$A$67,$B122,换算明细!$AD$2:$AD$67)*66/SUMIF(换算明细!$A$2:$A$67,$B122,换算明细!$S$2:$S$67),2)</f>
        <v>11.91</v>
      </c>
      <c r="P122" s="4">
        <f>ROUND(SUMIF(换算明细!$A$2:$A$67,$B122,换算明细!$AE$2:$AE$67)*66/SUMIF(换算明细!$A$2:$A$67,$B122,换算明细!$S$2:$S$67),2)</f>
        <v>7.39</v>
      </c>
      <c r="Q122" s="4">
        <f>ROUND(SUMIF(换算明细!$A$2:$A$67,$B122,换算明细!$AF$2:$AF$67)*66/SUMIF(换算明细!$A$2:$A$67,$B122,换算明细!$S$2:$S$67),2)</f>
        <v>2.38</v>
      </c>
      <c r="R122" s="5">
        <f>IFERROR(VLOOKUP($B122&amp;"|"&amp;$C122,测试原始数据!$A$2:$G$131,4,FALSE),"——")</f>
        <v>19.27</v>
      </c>
      <c r="S122" s="6">
        <f>IFERROR(VLOOKUP($B122&amp;"|"&amp;$C122,测试原始数据!$A$2:$G$131,5,FALSE),"——")</f>
        <v>300</v>
      </c>
      <c r="T122" s="6" t="str">
        <f>IFERROR(VLOOKUP($B122&amp;"|"&amp;$C122,[1]测试原始数据!$A$2:$G$131,6,FALSE),"——")</f>
        <v>——</v>
      </c>
    </row>
    <row r="123" spans="1:20" x14ac:dyDescent="0.35">
      <c r="A123" s="2">
        <v>122</v>
      </c>
      <c r="B123" s="2" t="s">
        <v>138</v>
      </c>
      <c r="C123" s="2" t="s">
        <v>21</v>
      </c>
      <c r="D123" s="4">
        <v>66</v>
      </c>
      <c r="E123" s="4">
        <f>ROUND(SUMIF(换算明细!$A$2:$A$67,$B123,换算明细!$T$2:$T$67)*66/SUMIF(换算明细!$A$2:$A$67,$B123,换算明细!$S$2:$S$67),2)</f>
        <v>0.88</v>
      </c>
      <c r="F123" s="4">
        <f>ROUND(SUMIF(换算明细!$A$2:$A$67,$B123,换算明细!$U$2:$U$67)*66/SUMIF(换算明细!$A$2:$A$67,$B123,换算明细!$S$2:$S$67),2)</f>
        <v>11.27</v>
      </c>
      <c r="G123" s="4">
        <f>ROUND(SUMIF(换算明细!$A$2:$A$67,$B123,换算明细!$V$2:$V$67)*66/SUMIF(换算明细!$A$2:$A$67,$B123,换算明细!$S$2:$S$67),2)</f>
        <v>0.25</v>
      </c>
      <c r="H123" s="4">
        <f>ROUND(SUMIF(换算明细!$A$2:$A$67,$B123,换算明细!$W$2:$W$67)*66/SUMIF(换算明细!$A$2:$A$67,$B123,换算明细!$S$2:$S$67),2)</f>
        <v>2.73</v>
      </c>
      <c r="I123" s="4">
        <f>ROUND(SUMIF(换算明细!$A$2:$A$67,$B123,换算明细!$X$2:$X$67)*66/SUMIF(换算明细!$A$2:$A$67,$B123,换算明细!$S$2:$S$67),2)</f>
        <v>4.05</v>
      </c>
      <c r="J123" s="4">
        <f>ROUND(SUMIF(换算明细!$A$2:$A$67,$B123,换算明细!$Y$2:$Y$67)*66/SUMIF(换算明细!$A$2:$A$67,$B123,换算明细!$S$2:$S$67),2)</f>
        <v>3.82</v>
      </c>
      <c r="K123" s="4">
        <f>ROUND(SUMIF(换算明细!$A$2:$A$67,$B123,换算明细!$Z$2:$Z$67)*66/SUMIF(换算明细!$A$2:$A$67,$B123,换算明细!$S$2:$S$67),2)</f>
        <v>0.49</v>
      </c>
      <c r="L123" s="4">
        <f>ROUND(SUMIF(换算明细!$A$2:$A$67,$B123,换算明细!$AA$2:$AA$67)*66/SUMIF(换算明细!$A$2:$A$67,$B123,换算明细!$S$2:$S$67),2)</f>
        <v>0.77</v>
      </c>
      <c r="M123" s="4">
        <f>ROUND(SUMIF(换算明细!$A$2:$A$67,$B123,换算明细!$AB$2:$AB$67)*66/SUMIF(换算明细!$A$2:$A$67,$B123,换算明细!$S$2:$S$67),2)</f>
        <v>2.1800000000000002</v>
      </c>
      <c r="N123" s="4">
        <f>ROUND(SUMIF(换算明细!$A$2:$A$67,$B123,换算明细!$AC$2:$AC$67)*66/SUMIF(换算明细!$A$2:$A$67,$B123,换算明细!$S$2:$S$67),2)</f>
        <v>0.06</v>
      </c>
      <c r="O123" s="4">
        <f>ROUND(SUMIF(换算明细!$A$2:$A$67,$B123,换算明细!$AD$2:$AD$67)*66/SUMIF(换算明细!$A$2:$A$67,$B123,换算明细!$S$2:$S$67),2)</f>
        <v>12.22</v>
      </c>
      <c r="P123" s="4">
        <f>ROUND(SUMIF(换算明细!$A$2:$A$67,$B123,换算明细!$AE$2:$AE$67)*66/SUMIF(换算明细!$A$2:$A$67,$B123,换算明细!$S$2:$S$67),2)</f>
        <v>5.42</v>
      </c>
      <c r="Q123" s="4">
        <f>ROUND(SUMIF(换算明细!$A$2:$A$67,$B123,换算明细!$AF$2:$AF$67)*66/SUMIF(换算明细!$A$2:$A$67,$B123,换算明细!$S$2:$S$67),2)</f>
        <v>2.5</v>
      </c>
      <c r="R123" s="5">
        <f>IFERROR(VLOOKUP($B123&amp;"|"&amp;$C123,测试原始数据!$A$2:$G$131,4,FALSE),"——")</f>
        <v>20.28</v>
      </c>
      <c r="S123" s="6">
        <f>IFERROR(VLOOKUP($B123&amp;"|"&amp;$C123,测试原始数据!$A$2:$G$131,5,FALSE),"——")</f>
        <v>300</v>
      </c>
      <c r="T123" s="6" t="str">
        <f>IFERROR(VLOOKUP($B123&amp;"|"&amp;$C123,[1]测试原始数据!$A$2:$G$131,6,FALSE),"——")</f>
        <v>——</v>
      </c>
    </row>
    <row r="124" spans="1:20" x14ac:dyDescent="0.35">
      <c r="A124" s="2">
        <v>123</v>
      </c>
      <c r="B124" s="2" t="s">
        <v>138</v>
      </c>
      <c r="C124" s="2" t="s">
        <v>45</v>
      </c>
      <c r="D124" s="4">
        <v>66</v>
      </c>
      <c r="E124" s="4">
        <f>ROUND(SUMIF(换算明细!$A$2:$A$67,$B124,换算明细!$T$2:$T$67)*66/SUMIF(换算明细!$A$2:$A$67,$B124,换算明细!$S$2:$S$67),2)</f>
        <v>0.88</v>
      </c>
      <c r="F124" s="4">
        <f>ROUND(SUMIF(换算明细!$A$2:$A$67,$B124,换算明细!$U$2:$U$67)*66/SUMIF(换算明细!$A$2:$A$67,$B124,换算明细!$S$2:$S$67),2)</f>
        <v>11.27</v>
      </c>
      <c r="G124" s="4">
        <f>ROUND(SUMIF(换算明细!$A$2:$A$67,$B124,换算明细!$V$2:$V$67)*66/SUMIF(换算明细!$A$2:$A$67,$B124,换算明细!$S$2:$S$67),2)</f>
        <v>0.25</v>
      </c>
      <c r="H124" s="4">
        <f>ROUND(SUMIF(换算明细!$A$2:$A$67,$B124,换算明细!$W$2:$W$67)*66/SUMIF(换算明细!$A$2:$A$67,$B124,换算明细!$S$2:$S$67),2)</f>
        <v>2.73</v>
      </c>
      <c r="I124" s="4">
        <f>ROUND(SUMIF(换算明细!$A$2:$A$67,$B124,换算明细!$X$2:$X$67)*66/SUMIF(换算明细!$A$2:$A$67,$B124,换算明细!$S$2:$S$67),2)</f>
        <v>4.05</v>
      </c>
      <c r="J124" s="4">
        <f>ROUND(SUMIF(换算明细!$A$2:$A$67,$B124,换算明细!$Y$2:$Y$67)*66/SUMIF(换算明细!$A$2:$A$67,$B124,换算明细!$S$2:$S$67),2)</f>
        <v>3.82</v>
      </c>
      <c r="K124" s="4">
        <f>ROUND(SUMIF(换算明细!$A$2:$A$67,$B124,换算明细!$Z$2:$Z$67)*66/SUMIF(换算明细!$A$2:$A$67,$B124,换算明细!$S$2:$S$67),2)</f>
        <v>0.49</v>
      </c>
      <c r="L124" s="4">
        <f>ROUND(SUMIF(换算明细!$A$2:$A$67,$B124,换算明细!$AA$2:$AA$67)*66/SUMIF(换算明细!$A$2:$A$67,$B124,换算明细!$S$2:$S$67),2)</f>
        <v>0.77</v>
      </c>
      <c r="M124" s="4">
        <f>ROUND(SUMIF(换算明细!$A$2:$A$67,$B124,换算明细!$AB$2:$AB$67)*66/SUMIF(换算明细!$A$2:$A$67,$B124,换算明细!$S$2:$S$67),2)</f>
        <v>2.1800000000000002</v>
      </c>
      <c r="N124" s="4">
        <f>ROUND(SUMIF(换算明细!$A$2:$A$67,$B124,换算明细!$AC$2:$AC$67)*66/SUMIF(换算明细!$A$2:$A$67,$B124,换算明细!$S$2:$S$67),2)</f>
        <v>0.06</v>
      </c>
      <c r="O124" s="4">
        <f>ROUND(SUMIF(换算明细!$A$2:$A$67,$B124,换算明细!$AD$2:$AD$67)*66/SUMIF(换算明细!$A$2:$A$67,$B124,换算明细!$S$2:$S$67),2)</f>
        <v>12.22</v>
      </c>
      <c r="P124" s="4">
        <f>ROUND(SUMIF(换算明细!$A$2:$A$67,$B124,换算明细!$AE$2:$AE$67)*66/SUMIF(换算明细!$A$2:$A$67,$B124,换算明细!$S$2:$S$67),2)</f>
        <v>5.42</v>
      </c>
      <c r="Q124" s="4">
        <f>ROUND(SUMIF(换算明细!$A$2:$A$67,$B124,换算明细!$AF$2:$AF$67)*66/SUMIF(换算明细!$A$2:$A$67,$B124,换算明细!$S$2:$S$67),2)</f>
        <v>2.5</v>
      </c>
      <c r="R124" s="5">
        <f>IFERROR(VLOOKUP($B124&amp;"|"&amp;$C124,测试原始数据!$A$2:$G$131,4,FALSE),"——")</f>
        <v>22.536666666666665</v>
      </c>
      <c r="S124" s="6">
        <f>IFERROR(VLOOKUP($B124&amp;"|"&amp;$C124,测试原始数据!$A$2:$G$131,5,FALSE),"——")</f>
        <v>300</v>
      </c>
      <c r="T124" s="6" t="str">
        <f>IFERROR(VLOOKUP($B124&amp;"|"&amp;$C124,[1]测试原始数据!$A$2:$G$131,6,FALSE),"——")</f>
        <v>——</v>
      </c>
    </row>
    <row r="125" spans="1:20" x14ac:dyDescent="0.35">
      <c r="A125" s="2">
        <v>124</v>
      </c>
      <c r="B125" s="2" t="s">
        <v>138</v>
      </c>
      <c r="C125" s="2" t="s">
        <v>46</v>
      </c>
      <c r="D125" s="4">
        <v>66</v>
      </c>
      <c r="E125" s="4">
        <f>ROUND(SUMIF(换算明细!$A$2:$A$67,$B125,换算明细!$T$2:$T$67)*66/SUMIF(换算明细!$A$2:$A$67,$B125,换算明细!$S$2:$S$67),2)</f>
        <v>0.88</v>
      </c>
      <c r="F125" s="4">
        <f>ROUND(SUMIF(换算明细!$A$2:$A$67,$B125,换算明细!$U$2:$U$67)*66/SUMIF(换算明细!$A$2:$A$67,$B125,换算明细!$S$2:$S$67),2)</f>
        <v>11.27</v>
      </c>
      <c r="G125" s="4">
        <f>ROUND(SUMIF(换算明细!$A$2:$A$67,$B125,换算明细!$V$2:$V$67)*66/SUMIF(换算明细!$A$2:$A$67,$B125,换算明细!$S$2:$S$67),2)</f>
        <v>0.25</v>
      </c>
      <c r="H125" s="4">
        <f>ROUND(SUMIF(换算明细!$A$2:$A$67,$B125,换算明细!$W$2:$W$67)*66/SUMIF(换算明细!$A$2:$A$67,$B125,换算明细!$S$2:$S$67),2)</f>
        <v>2.73</v>
      </c>
      <c r="I125" s="4">
        <f>ROUND(SUMIF(换算明细!$A$2:$A$67,$B125,换算明细!$X$2:$X$67)*66/SUMIF(换算明细!$A$2:$A$67,$B125,换算明细!$S$2:$S$67),2)</f>
        <v>4.05</v>
      </c>
      <c r="J125" s="4">
        <f>ROUND(SUMIF(换算明细!$A$2:$A$67,$B125,换算明细!$Y$2:$Y$67)*66/SUMIF(换算明细!$A$2:$A$67,$B125,换算明细!$S$2:$S$67),2)</f>
        <v>3.82</v>
      </c>
      <c r="K125" s="4">
        <f>ROUND(SUMIF(换算明细!$A$2:$A$67,$B125,换算明细!$Z$2:$Z$67)*66/SUMIF(换算明细!$A$2:$A$67,$B125,换算明细!$S$2:$S$67),2)</f>
        <v>0.49</v>
      </c>
      <c r="L125" s="4">
        <f>ROUND(SUMIF(换算明细!$A$2:$A$67,$B125,换算明细!$AA$2:$AA$67)*66/SUMIF(换算明细!$A$2:$A$67,$B125,换算明细!$S$2:$S$67),2)</f>
        <v>0.77</v>
      </c>
      <c r="M125" s="4">
        <f>ROUND(SUMIF(换算明细!$A$2:$A$67,$B125,换算明细!$AB$2:$AB$67)*66/SUMIF(换算明细!$A$2:$A$67,$B125,换算明细!$S$2:$S$67),2)</f>
        <v>2.1800000000000002</v>
      </c>
      <c r="N125" s="4">
        <f>ROUND(SUMIF(换算明细!$A$2:$A$67,$B125,换算明细!$AC$2:$AC$67)*66/SUMIF(换算明细!$A$2:$A$67,$B125,换算明细!$S$2:$S$67),2)</f>
        <v>0.06</v>
      </c>
      <c r="O125" s="4">
        <f>ROUND(SUMIF(换算明细!$A$2:$A$67,$B125,换算明细!$AD$2:$AD$67)*66/SUMIF(换算明细!$A$2:$A$67,$B125,换算明细!$S$2:$S$67),2)</f>
        <v>12.22</v>
      </c>
      <c r="P125" s="4">
        <f>ROUND(SUMIF(换算明细!$A$2:$A$67,$B125,换算明细!$AE$2:$AE$67)*66/SUMIF(换算明细!$A$2:$A$67,$B125,换算明细!$S$2:$S$67),2)</f>
        <v>5.42</v>
      </c>
      <c r="Q125" s="4">
        <f>ROUND(SUMIF(换算明细!$A$2:$A$67,$B125,换算明细!$AF$2:$AF$67)*66/SUMIF(换算明细!$A$2:$A$67,$B125,换算明细!$S$2:$S$67),2)</f>
        <v>2.5</v>
      </c>
      <c r="R125" s="5">
        <f>IFERROR(VLOOKUP($B125&amp;"|"&amp;$C125,测试原始数据!$A$2:$G$131,4,FALSE),"——")</f>
        <v>22.483333333333334</v>
      </c>
      <c r="S125" s="6">
        <f>IFERROR(VLOOKUP($B125&amp;"|"&amp;$C125,测试原始数据!$A$2:$G$131,5,FALSE),"——")</f>
        <v>300</v>
      </c>
      <c r="T125" s="6" t="str">
        <f>IFERROR(VLOOKUP($B125&amp;"|"&amp;$C125,[1]测试原始数据!$A$2:$G$131,6,FALSE),"——")</f>
        <v>——</v>
      </c>
    </row>
    <row r="126" spans="1:20" x14ac:dyDescent="0.35">
      <c r="A126" s="2">
        <v>125</v>
      </c>
      <c r="B126" s="2" t="s">
        <v>139</v>
      </c>
      <c r="C126" s="2" t="s">
        <v>21</v>
      </c>
      <c r="D126" s="4">
        <v>66</v>
      </c>
      <c r="E126" s="4">
        <f>ROUND(SUMIF(换算明细!$A$2:$A$67,$B126,换算明细!$T$2:$T$67)*66/SUMIF(换算明细!$A$2:$A$67,$B126,换算明细!$S$2:$S$67),2)</f>
        <v>2.36</v>
      </c>
      <c r="F126" s="4">
        <f>ROUND(SUMIF(换算明细!$A$2:$A$67,$B126,换算明细!$U$2:$U$67)*66/SUMIF(换算明细!$A$2:$A$67,$B126,换算明细!$S$2:$S$67),2)</f>
        <v>12.47</v>
      </c>
      <c r="G126" s="4">
        <f>ROUND(SUMIF(换算明细!$A$2:$A$67,$B126,换算明细!$V$2:$V$67)*66/SUMIF(换算明细!$A$2:$A$67,$B126,换算明细!$S$2:$S$67),2)</f>
        <v>0.53</v>
      </c>
      <c r="H126" s="4">
        <f>ROUND(SUMIF(换算明细!$A$2:$A$67,$B126,换算明细!$W$2:$W$67)*66/SUMIF(换算明细!$A$2:$A$67,$B126,换算明细!$S$2:$S$67),2)</f>
        <v>2.58</v>
      </c>
      <c r="I126" s="4">
        <f>ROUND(SUMIF(换算明细!$A$2:$A$67,$B126,换算明细!$X$2:$X$67)*66/SUMIF(换算明细!$A$2:$A$67,$B126,换算明细!$S$2:$S$67),2)</f>
        <v>0</v>
      </c>
      <c r="J126" s="4">
        <f>ROUND(SUMIF(换算明细!$A$2:$A$67,$B126,换算明细!$Y$2:$Y$67)*66/SUMIF(换算明细!$A$2:$A$67,$B126,换算明细!$S$2:$S$67),2)</f>
        <v>0</v>
      </c>
      <c r="K126" s="4">
        <f>ROUND(SUMIF(换算明细!$A$2:$A$67,$B126,换算明细!$Z$2:$Z$67)*66/SUMIF(换算明细!$A$2:$A$67,$B126,换算明细!$S$2:$S$67),2)</f>
        <v>1.44</v>
      </c>
      <c r="L126" s="4">
        <f>ROUND(SUMIF(换算明细!$A$2:$A$67,$B126,换算明细!$AA$2:$AA$67)*66/SUMIF(换算明细!$A$2:$A$67,$B126,换算明细!$S$2:$S$67),2)</f>
        <v>0.34</v>
      </c>
      <c r="M126" s="4">
        <f>ROUND(SUMIF(换算明细!$A$2:$A$67,$B126,换算明细!$AB$2:$AB$67)*66/SUMIF(换算明细!$A$2:$A$67,$B126,换算明细!$S$2:$S$67),2)</f>
        <v>2.71</v>
      </c>
      <c r="N126" s="4">
        <f>ROUND(SUMIF(换算明细!$A$2:$A$67,$B126,换算明细!$AC$2:$AC$67)*66/SUMIF(换算明细!$A$2:$A$67,$B126,换算明细!$S$2:$S$67),2)</f>
        <v>0.06</v>
      </c>
      <c r="O126" s="4">
        <f>ROUND(SUMIF(换算明细!$A$2:$A$67,$B126,换算明细!$AD$2:$AD$67)*66/SUMIF(换算明细!$A$2:$A$67,$B126,换算明细!$S$2:$S$67),2)</f>
        <v>3.61</v>
      </c>
      <c r="P126" s="4">
        <f>ROUND(SUMIF(换算明细!$A$2:$A$67,$B126,换算明细!$AE$2:$AE$67)*66/SUMIF(换算明细!$A$2:$A$67,$B126,换算明细!$S$2:$S$67),2)</f>
        <v>12.64</v>
      </c>
      <c r="Q126" s="4">
        <f>ROUND(SUMIF(换算明细!$A$2:$A$67,$B126,换算明细!$AF$2:$AF$67)*66/SUMIF(换算明细!$A$2:$A$67,$B126,换算明细!$S$2:$S$67),2)</f>
        <v>1.6</v>
      </c>
      <c r="R126" s="5">
        <f>IFERROR(VLOOKUP($B126&amp;"|"&amp;$C126,测试原始数据!$A$2:$G$131,4,FALSE),"——")</f>
        <v>17.545000000000002</v>
      </c>
      <c r="S126" s="6">
        <f>IFERROR(VLOOKUP($B126&amp;"|"&amp;$C126,测试原始数据!$A$2:$G$131,5,FALSE),"——")</f>
        <v>78</v>
      </c>
      <c r="T126" s="6" t="str">
        <f>IFERROR(VLOOKUP($B126&amp;"|"&amp;$C126,[1]测试原始数据!$A$2:$G$131,6,FALSE),"——")</f>
        <v>——</v>
      </c>
    </row>
    <row r="127" spans="1:20" x14ac:dyDescent="0.35">
      <c r="A127" s="2">
        <v>126</v>
      </c>
      <c r="B127" s="2" t="s">
        <v>140</v>
      </c>
      <c r="C127" s="2" t="s">
        <v>21</v>
      </c>
      <c r="D127" s="4">
        <v>66</v>
      </c>
      <c r="E127" s="4">
        <f>ROUND(SUMIF(换算明细!$A$2:$A$67,$B127,换算明细!$T$2:$T$67)*66/SUMIF(换算明细!$A$2:$A$67,$B127,换算明细!$S$2:$S$67),2)</f>
        <v>2.82</v>
      </c>
      <c r="F127" s="4">
        <f>ROUND(SUMIF(换算明细!$A$2:$A$67,$B127,换算明细!$U$2:$U$67)*66/SUMIF(换算明细!$A$2:$A$67,$B127,换算明细!$S$2:$S$67),2)</f>
        <v>5.8</v>
      </c>
      <c r="G127" s="4">
        <f>ROUND(SUMIF(换算明细!$A$2:$A$67,$B127,换算明细!$V$2:$V$67)*66/SUMIF(换算明细!$A$2:$A$67,$B127,换算明细!$S$2:$S$67),2)</f>
        <v>0.43</v>
      </c>
      <c r="H127" s="4">
        <f>ROUND(SUMIF(换算明细!$A$2:$A$67,$B127,换算明细!$W$2:$W$67)*66/SUMIF(换算明细!$A$2:$A$67,$B127,换算明细!$S$2:$S$67),2)</f>
        <v>0</v>
      </c>
      <c r="I127" s="4">
        <f>ROUND(SUMIF(换算明细!$A$2:$A$67,$B127,换算明细!$X$2:$X$67)*66/SUMIF(换算明细!$A$2:$A$67,$B127,换算明细!$S$2:$S$67),2)</f>
        <v>0</v>
      </c>
      <c r="J127" s="4">
        <f>ROUND(SUMIF(换算明细!$A$2:$A$67,$B127,换算明细!$Y$2:$Y$67)*66/SUMIF(换算明细!$A$2:$A$67,$B127,换算明细!$S$2:$S$67),2)</f>
        <v>3.26</v>
      </c>
      <c r="K127" s="4">
        <f>ROUND(SUMIF(换算明细!$A$2:$A$67,$B127,换算明细!$Z$2:$Z$67)*66/SUMIF(换算明细!$A$2:$A$67,$B127,换算明细!$S$2:$S$67),2)</f>
        <v>1.38</v>
      </c>
      <c r="L127" s="4">
        <f>ROUND(SUMIF(换算明细!$A$2:$A$67,$B127,换算明细!$AA$2:$AA$67)*66/SUMIF(换算明细!$A$2:$A$67,$B127,换算明细!$S$2:$S$67),2)</f>
        <v>0.98</v>
      </c>
      <c r="M127" s="4">
        <f>ROUND(SUMIF(换算明细!$A$2:$A$67,$B127,换算明细!$AB$2:$AB$67)*66/SUMIF(换算明细!$A$2:$A$67,$B127,换算明细!$S$2:$S$67),2)</f>
        <v>1.57</v>
      </c>
      <c r="N127" s="4">
        <f>ROUND(SUMIF(换算明细!$A$2:$A$67,$B127,换算明细!$AC$2:$AC$67)*66/SUMIF(换算明细!$A$2:$A$67,$B127,换算明细!$S$2:$S$67),2)</f>
        <v>0.06</v>
      </c>
      <c r="O127" s="4">
        <f>ROUND(SUMIF(换算明细!$A$2:$A$67,$B127,换算明细!$AD$2:$AD$67)*66/SUMIF(换算明细!$A$2:$A$67,$B127,换算明细!$S$2:$S$67),2)</f>
        <v>3.63</v>
      </c>
      <c r="P127" s="4">
        <f>ROUND(SUMIF(换算明细!$A$2:$A$67,$B127,换算明细!$AE$2:$AE$67)*66/SUMIF(换算明细!$A$2:$A$67,$B127,换算明细!$S$2:$S$67),2)</f>
        <v>7.82</v>
      </c>
      <c r="Q127" s="4">
        <f>ROUND(SUMIF(换算明细!$A$2:$A$67,$B127,换算明细!$AF$2:$AF$67)*66/SUMIF(换算明细!$A$2:$A$67,$B127,换算明细!$S$2:$S$67),2)</f>
        <v>1.3</v>
      </c>
      <c r="R127" s="5">
        <f>IFERROR(VLOOKUP($B127&amp;"|"&amp;$C127,测试原始数据!$A$2:$G$131,4,FALSE),"——")</f>
        <v>17.925000000000001</v>
      </c>
      <c r="S127" s="6">
        <f>IFERROR(VLOOKUP($B127&amp;"|"&amp;$C127,测试原始数据!$A$2:$G$131,5,FALSE),"——")</f>
        <v>94</v>
      </c>
      <c r="T127" s="6" t="str">
        <f>IFERROR(VLOOKUP($B127&amp;"|"&amp;$C127,[1]测试原始数据!$A$2:$G$131,6,FALSE),"——")</f>
        <v>——</v>
      </c>
    </row>
    <row r="128" spans="1:20" x14ac:dyDescent="0.35">
      <c r="A128" s="2">
        <v>127</v>
      </c>
      <c r="B128" s="2" t="s">
        <v>141</v>
      </c>
      <c r="C128" s="2" t="s">
        <v>21</v>
      </c>
      <c r="D128" s="4">
        <v>66</v>
      </c>
      <c r="E128" s="4">
        <f>ROUND(SUMIF(换算明细!$A$2:$A$67,$B128,换算明细!$T$2:$T$67)*66/SUMIF(换算明细!$A$2:$A$67,$B128,换算明细!$S$2:$S$67),2)</f>
        <v>2.36</v>
      </c>
      <c r="F128" s="4">
        <f>ROUND(SUMIF(换算明细!$A$2:$A$67,$B128,换算明细!$U$2:$U$67)*66/SUMIF(换算明细!$A$2:$A$67,$B128,换算明细!$S$2:$S$67),2)</f>
        <v>9.92</v>
      </c>
      <c r="G128" s="4">
        <f>ROUND(SUMIF(换算明细!$A$2:$A$67,$B128,换算明细!$V$2:$V$67)*66/SUMIF(换算明细!$A$2:$A$67,$B128,换算明细!$S$2:$S$67),2)</f>
        <v>0.54</v>
      </c>
      <c r="H128" s="4">
        <f>ROUND(SUMIF(换算明细!$A$2:$A$67,$B128,换算明细!$W$2:$W$67)*66/SUMIF(换算明细!$A$2:$A$67,$B128,换算明细!$S$2:$S$67),2)</f>
        <v>2.74</v>
      </c>
      <c r="I128" s="4">
        <f>ROUND(SUMIF(换算明细!$A$2:$A$67,$B128,换算明细!$X$2:$X$67)*66/SUMIF(换算明细!$A$2:$A$67,$B128,换算明细!$S$2:$S$67),2)</f>
        <v>0</v>
      </c>
      <c r="J128" s="4">
        <f>ROUND(SUMIF(换算明细!$A$2:$A$67,$B128,换算明细!$Y$2:$Y$67)*66/SUMIF(换算明细!$A$2:$A$67,$B128,换算明细!$S$2:$S$67),2)</f>
        <v>1.43</v>
      </c>
      <c r="K128" s="4">
        <f>ROUND(SUMIF(换算明细!$A$2:$A$67,$B128,换算明细!$Z$2:$Z$67)*66/SUMIF(换算明细!$A$2:$A$67,$B128,换算明细!$S$2:$S$67),2)</f>
        <v>1.69</v>
      </c>
      <c r="L128" s="4">
        <f>ROUND(SUMIF(换算明细!$A$2:$A$67,$B128,换算明细!$AA$2:$AA$67)*66/SUMIF(换算明细!$A$2:$A$67,$B128,换算明细!$S$2:$S$67),2)</f>
        <v>0.79</v>
      </c>
      <c r="M128" s="4">
        <f>ROUND(SUMIF(换算明细!$A$2:$A$67,$B128,换算明细!$AB$2:$AB$67)*66/SUMIF(换算明细!$A$2:$A$67,$B128,换算明细!$S$2:$S$67),2)</f>
        <v>2.5</v>
      </c>
      <c r="N128" s="4">
        <f>ROUND(SUMIF(换算明细!$A$2:$A$67,$B128,换算明细!$AC$2:$AC$67)*66/SUMIF(换算明细!$A$2:$A$67,$B128,换算明细!$S$2:$S$67),2)</f>
        <v>0.06</v>
      </c>
      <c r="O128" s="4">
        <f>ROUND(SUMIF(换算明细!$A$2:$A$67,$B128,换算明细!$AD$2:$AD$67)*66/SUMIF(换算明细!$A$2:$A$67,$B128,换算明细!$S$2:$S$67),2)</f>
        <v>3.69</v>
      </c>
      <c r="P128" s="4">
        <f>ROUND(SUMIF(换算明细!$A$2:$A$67,$B128,换算明细!$AE$2:$AE$67)*66/SUMIF(换算明细!$A$2:$A$67,$B128,换算明细!$S$2:$S$67),2)</f>
        <v>11.88</v>
      </c>
      <c r="Q128" s="4">
        <f>ROUND(SUMIF(换算明细!$A$2:$A$67,$B128,换算明细!$AF$2:$AF$67)*66/SUMIF(换算明细!$A$2:$A$67,$B128,换算明细!$S$2:$S$67),2)</f>
        <v>1.68</v>
      </c>
      <c r="R128" s="5">
        <f>IFERROR(VLOOKUP($B128&amp;"|"&amp;$C128,测试原始数据!$A$2:$G$131,4,FALSE),"——")</f>
        <v>18</v>
      </c>
      <c r="S128" s="6">
        <f>IFERROR(VLOOKUP($B128&amp;"|"&amp;$C128,测试原始数据!$A$2:$G$131,5,FALSE),"——")</f>
        <v>150</v>
      </c>
      <c r="T128" s="6" t="str">
        <f>IFERROR(VLOOKUP($B128&amp;"|"&amp;$C128,[1]测试原始数据!$A$2:$G$131,6,FALSE),"——")</f>
        <v>——</v>
      </c>
    </row>
    <row r="129" spans="1:20" x14ac:dyDescent="0.35">
      <c r="A129" s="2">
        <v>128</v>
      </c>
      <c r="B129" s="2" t="s">
        <v>142</v>
      </c>
      <c r="C129" s="2" t="s">
        <v>21</v>
      </c>
      <c r="D129" s="4">
        <v>66</v>
      </c>
      <c r="E129" s="4">
        <f>ROUND(SUMIF(换算明细!$A$2:$A$67,$B129,换算明细!$T$2:$T$67)*66/SUMIF(换算明细!$A$2:$A$67,$B129,换算明细!$S$2:$S$67),2)</f>
        <v>2.48</v>
      </c>
      <c r="F129" s="4">
        <f>ROUND(SUMIF(换算明细!$A$2:$A$67,$B129,换算明细!$U$2:$U$67)*66/SUMIF(换算明细!$A$2:$A$67,$B129,换算明细!$S$2:$S$67),2)</f>
        <v>7.0000000000000007E-2</v>
      </c>
      <c r="G129" s="4">
        <f>ROUND(SUMIF(换算明细!$A$2:$A$67,$B129,换算明细!$V$2:$V$67)*66/SUMIF(换算明细!$A$2:$A$67,$B129,换算明细!$S$2:$S$67),2)</f>
        <v>0.34</v>
      </c>
      <c r="H129" s="4">
        <f>ROUND(SUMIF(换算明细!$A$2:$A$67,$B129,换算明细!$W$2:$W$67)*66/SUMIF(换算明细!$A$2:$A$67,$B129,换算明细!$S$2:$S$67),2)</f>
        <v>3.17</v>
      </c>
      <c r="I129" s="4">
        <f>ROUND(SUMIF(换算明细!$A$2:$A$67,$B129,换算明细!$X$2:$X$67)*66/SUMIF(换算明细!$A$2:$A$67,$B129,换算明细!$S$2:$S$67),2)</f>
        <v>3.23</v>
      </c>
      <c r="J129" s="4">
        <f>ROUND(SUMIF(换算明细!$A$2:$A$67,$B129,换算明细!$Y$2:$Y$67)*66/SUMIF(换算明细!$A$2:$A$67,$B129,换算明细!$S$2:$S$67),2)</f>
        <v>3.29</v>
      </c>
      <c r="K129" s="4">
        <f>ROUND(SUMIF(换算明细!$A$2:$A$67,$B129,换算明细!$Z$2:$Z$67)*66/SUMIF(换算明细!$A$2:$A$67,$B129,换算明细!$S$2:$S$67),2)</f>
        <v>1.28</v>
      </c>
      <c r="L129" s="4">
        <f>ROUND(SUMIF(换算明细!$A$2:$A$67,$B129,换算明细!$AA$2:$AA$67)*66/SUMIF(换算明细!$A$2:$A$67,$B129,换算明细!$S$2:$S$67),2)</f>
        <v>1.17</v>
      </c>
      <c r="M129" s="4">
        <f>ROUND(SUMIF(换算明细!$A$2:$A$67,$B129,换算明细!$AB$2:$AB$67)*66/SUMIF(换算明细!$A$2:$A$67,$B129,换算明细!$S$2:$S$67),2)</f>
        <v>1.91</v>
      </c>
      <c r="N129" s="4">
        <f>ROUND(SUMIF(换算明细!$A$2:$A$67,$B129,换算明细!$AC$2:$AC$67)*66/SUMIF(换算明细!$A$2:$A$67,$B129,换算明细!$S$2:$S$67),2)</f>
        <v>0.06</v>
      </c>
      <c r="O129" s="4">
        <f>ROUND(SUMIF(换算明细!$A$2:$A$67,$B129,换算明细!$AD$2:$AD$67)*66/SUMIF(换算明细!$A$2:$A$67,$B129,换算明细!$S$2:$S$67),2)</f>
        <v>4.55</v>
      </c>
      <c r="P129" s="4">
        <f>ROUND(SUMIF(换算明细!$A$2:$A$67,$B129,换算明细!$AE$2:$AE$67)*66/SUMIF(换算明细!$A$2:$A$67,$B129,换算明细!$S$2:$S$67),2)</f>
        <v>4.2699999999999996</v>
      </c>
      <c r="Q129" s="4">
        <f>ROUND(SUMIF(换算明细!$A$2:$A$67,$B129,换算明细!$AF$2:$AF$67)*66/SUMIF(换算明细!$A$2:$A$67,$B129,换算明细!$S$2:$S$67),2)</f>
        <v>1.28</v>
      </c>
      <c r="R129" s="5">
        <f>IFERROR(VLOOKUP($B129&amp;"|"&amp;$C129,测试原始数据!$A$2:$G$131,4,FALSE),"——")</f>
        <v>17.725000000000001</v>
      </c>
      <c r="S129" s="6">
        <f>IFERROR(VLOOKUP($B129&amp;"|"&amp;$C129,测试原始数据!$A$2:$G$131,5,FALSE),"——")</f>
        <v>64</v>
      </c>
      <c r="T129" s="6" t="str">
        <f>IFERROR(VLOOKUP($B129&amp;"|"&amp;$C129,[1]测试原始数据!$A$2:$G$131,6,FALSE),"——")</f>
        <v>——</v>
      </c>
    </row>
    <row r="130" spans="1:20" x14ac:dyDescent="0.35">
      <c r="A130" s="2">
        <v>129</v>
      </c>
      <c r="B130" s="2" t="s">
        <v>143</v>
      </c>
      <c r="C130" s="2" t="s">
        <v>21</v>
      </c>
      <c r="D130" s="4">
        <v>66</v>
      </c>
      <c r="E130" s="4">
        <f>ROUND(SUMIF(换算明细!$A$2:$A$67,$B130,换算明细!$T$2:$T$67)*66/SUMIF(换算明细!$A$2:$A$67,$B130,换算明细!$S$2:$S$67),2)</f>
        <v>2.23</v>
      </c>
      <c r="F130" s="4">
        <f>ROUND(SUMIF(换算明细!$A$2:$A$67,$B130,换算明细!$U$2:$U$67)*66/SUMIF(换算明细!$A$2:$A$67,$B130,换算明细!$S$2:$S$67),2)</f>
        <v>0.06</v>
      </c>
      <c r="G130" s="4">
        <f>ROUND(SUMIF(换算明细!$A$2:$A$67,$B130,换算明细!$V$2:$V$67)*66/SUMIF(换算明细!$A$2:$A$67,$B130,换算明细!$S$2:$S$67),2)</f>
        <v>0.16</v>
      </c>
      <c r="H130" s="4">
        <f>ROUND(SUMIF(换算明细!$A$2:$A$67,$B130,换算明细!$W$2:$W$67)*66/SUMIF(换算明细!$A$2:$A$67,$B130,换算明细!$S$2:$S$67),2)</f>
        <v>6.54</v>
      </c>
      <c r="I130" s="4">
        <f>ROUND(SUMIF(换算明细!$A$2:$A$67,$B130,换算明细!$X$2:$X$67)*66/SUMIF(换算明细!$A$2:$A$67,$B130,换算明细!$S$2:$S$67),2)</f>
        <v>6.88</v>
      </c>
      <c r="J130" s="4">
        <f>ROUND(SUMIF(换算明细!$A$2:$A$67,$B130,换算明细!$Y$2:$Y$67)*66/SUMIF(换算明细!$A$2:$A$67,$B130,换算明细!$S$2:$S$67),2)</f>
        <v>2.8</v>
      </c>
      <c r="K130" s="4">
        <f>ROUND(SUMIF(换算明细!$A$2:$A$67,$B130,换算明细!$Z$2:$Z$67)*66/SUMIF(换算明细!$A$2:$A$67,$B130,换算明细!$S$2:$S$67),2)</f>
        <v>0.34</v>
      </c>
      <c r="L130" s="4">
        <f>ROUND(SUMIF(换算明细!$A$2:$A$67,$B130,换算明细!$AA$2:$AA$67)*66/SUMIF(换算明细!$A$2:$A$67,$B130,换算明细!$S$2:$S$67),2)</f>
        <v>0.54</v>
      </c>
      <c r="M130" s="4">
        <f>ROUND(SUMIF(换算明细!$A$2:$A$67,$B130,换算明细!$AB$2:$AB$67)*66/SUMIF(换算明细!$A$2:$A$67,$B130,换算明细!$S$2:$S$67),2)</f>
        <v>2.85</v>
      </c>
      <c r="N130" s="4">
        <f>ROUND(SUMIF(换算明细!$A$2:$A$67,$B130,换算明细!$AC$2:$AC$67)*66/SUMIF(换算明细!$A$2:$A$67,$B130,换算明细!$S$2:$S$67),2)</f>
        <v>0.06</v>
      </c>
      <c r="O130" s="4">
        <f>ROUND(SUMIF(换算明细!$A$2:$A$67,$B130,换算明细!$AD$2:$AD$67)*66/SUMIF(换算明细!$A$2:$A$67,$B130,换算明细!$S$2:$S$67),2)</f>
        <v>3.92</v>
      </c>
      <c r="P130" s="4">
        <f>ROUND(SUMIF(换算明细!$A$2:$A$67,$B130,换算明细!$AE$2:$AE$67)*66/SUMIF(换算明细!$A$2:$A$67,$B130,换算明细!$S$2:$S$67),2)</f>
        <v>6.1</v>
      </c>
      <c r="Q130" s="4">
        <f>ROUND(SUMIF(换算明细!$A$2:$A$67,$B130,换算明细!$AF$2:$AF$67)*66/SUMIF(换算明细!$A$2:$A$67,$B130,换算明细!$S$2:$S$67),2)</f>
        <v>1.78</v>
      </c>
      <c r="R130" s="5">
        <f>IFERROR(VLOOKUP($B130&amp;"|"&amp;$C130,测试原始数据!$A$2:$G$131,4,FALSE),"——")</f>
        <v>21.594999999999999</v>
      </c>
      <c r="S130" s="6">
        <f>IFERROR(VLOOKUP($B130&amp;"|"&amp;$C130,测试原始数据!$A$2:$G$131,5,FALSE),"——")</f>
        <v>57</v>
      </c>
      <c r="T130" s="6" t="str">
        <f>IFERROR(VLOOKUP($B130&amp;"|"&amp;$C130,[1]测试原始数据!$A$2:$G$131,6,FALSE),"——")</f>
        <v>——</v>
      </c>
    </row>
    <row r="131" spans="1:20" x14ac:dyDescent="0.35">
      <c r="A131" s="2">
        <v>130</v>
      </c>
      <c r="B131" s="2" t="s">
        <v>144</v>
      </c>
      <c r="C131" s="2" t="s">
        <v>21</v>
      </c>
      <c r="D131" s="4">
        <v>66</v>
      </c>
      <c r="E131" s="4">
        <f>ROUND(SUMIF(换算明细!$A$2:$A$67,$B131,换算明细!$T$2:$T$67)*66/SUMIF(换算明细!$A$2:$A$67,$B131,换算明细!$S$2:$S$67),2)</f>
        <v>1.1499999999999999</v>
      </c>
      <c r="F131" s="4">
        <f>ROUND(SUMIF(换算明细!$A$2:$A$67,$B131,换算明细!$U$2:$U$67)*66/SUMIF(换算明细!$A$2:$A$67,$B131,换算明细!$S$2:$S$67),2)</f>
        <v>1.88</v>
      </c>
      <c r="G131" s="4">
        <f>ROUND(SUMIF(换算明细!$A$2:$A$67,$B131,换算明细!$V$2:$V$67)*66/SUMIF(换算明细!$A$2:$A$67,$B131,换算明细!$S$2:$S$67),2)</f>
        <v>0.05</v>
      </c>
      <c r="H131" s="4">
        <f>ROUND(SUMIF(换算明细!$A$2:$A$67,$B131,换算明细!$W$2:$W$67)*66/SUMIF(换算明细!$A$2:$A$67,$B131,换算明细!$S$2:$S$67),2)</f>
        <v>7.03</v>
      </c>
      <c r="I131" s="4">
        <f>ROUND(SUMIF(换算明细!$A$2:$A$67,$B131,换算明细!$X$2:$X$67)*66/SUMIF(换算明细!$A$2:$A$67,$B131,换算明细!$S$2:$S$67),2)</f>
        <v>7.35</v>
      </c>
      <c r="J131" s="4">
        <f>ROUND(SUMIF(换算明细!$A$2:$A$67,$B131,换算明细!$Y$2:$Y$67)*66/SUMIF(换算明细!$A$2:$A$67,$B131,换算明细!$S$2:$S$67),2)</f>
        <v>3.5</v>
      </c>
      <c r="K131" s="4">
        <f>ROUND(SUMIF(换算明细!$A$2:$A$67,$B131,换算明细!$Z$2:$Z$67)*66/SUMIF(换算明细!$A$2:$A$67,$B131,换算明细!$S$2:$S$67),2)</f>
        <v>0.11</v>
      </c>
      <c r="L131" s="4">
        <f>ROUND(SUMIF(换算明细!$A$2:$A$67,$B131,换算明细!$AA$2:$AA$67)*66/SUMIF(换算明细!$A$2:$A$67,$B131,换算明细!$S$2:$S$67),2)</f>
        <v>0.63</v>
      </c>
      <c r="M131" s="4">
        <f>ROUND(SUMIF(换算明细!$A$2:$A$67,$B131,换算明细!$AB$2:$AB$67)*66/SUMIF(换算明细!$A$2:$A$67,$B131,换算明细!$S$2:$S$67),2)</f>
        <v>1.86</v>
      </c>
      <c r="N131" s="4">
        <f>ROUND(SUMIF(换算明细!$A$2:$A$67,$B131,换算明细!$AC$2:$AC$67)*66/SUMIF(换算明细!$A$2:$A$67,$B131,换算明细!$S$2:$S$67),2)</f>
        <v>0.06</v>
      </c>
      <c r="O131" s="4">
        <f>ROUND(SUMIF(换算明细!$A$2:$A$67,$B131,换算明细!$AD$2:$AD$67)*66/SUMIF(换算明细!$A$2:$A$67,$B131,换算明细!$S$2:$S$67),2)</f>
        <v>5.31</v>
      </c>
      <c r="P131" s="4">
        <f>ROUND(SUMIF(换算明细!$A$2:$A$67,$B131,换算明细!$AE$2:$AE$67)*66/SUMIF(换算明细!$A$2:$A$67,$B131,换算明细!$S$2:$S$67),2)</f>
        <v>6.88</v>
      </c>
      <c r="Q131" s="4">
        <f>ROUND(SUMIF(换算明细!$A$2:$A$67,$B131,换算明细!$AF$2:$AF$67)*66/SUMIF(换算明细!$A$2:$A$67,$B131,换算明细!$S$2:$S$67),2)</f>
        <v>1.61</v>
      </c>
      <c r="R131" s="5">
        <f>IFERROR(VLOOKUP($B131&amp;"|"&amp;$C131,测试原始数据!$A$2:$G$131,4,FALSE),"——")</f>
        <v>18.454999999999998</v>
      </c>
      <c r="S131" s="6">
        <f>IFERROR(VLOOKUP($B131&amp;"|"&amp;$C131,测试原始数据!$A$2:$G$131,5,FALSE),"——")</f>
        <v>62</v>
      </c>
      <c r="T131" s="6" t="str">
        <f>IFERROR(VLOOKUP($B131&amp;"|"&amp;$C131,[1]测试原始数据!$A$2:$G$131,6,FALSE),"——")</f>
        <v>——</v>
      </c>
    </row>
    <row r="132" spans="1:20" x14ac:dyDescent="0.35">
      <c r="A132" s="2">
        <v>131</v>
      </c>
      <c r="B132" s="2" t="s">
        <v>145</v>
      </c>
      <c r="C132" s="2" t="s">
        <v>21</v>
      </c>
      <c r="D132" s="4">
        <v>66</v>
      </c>
      <c r="E132" s="4">
        <f>ROUND(SUMIF(换算明细!$A$2:$A$67,$B132,换算明细!$T$2:$T$67)*66/SUMIF(换算明细!$A$2:$A$67,$B132,换算明细!$S$2:$S$67),2)</f>
        <v>0</v>
      </c>
      <c r="F132" s="4">
        <f>ROUND(SUMIF(换算明细!$A$2:$A$67,$B132,换算明细!$U$2:$U$67)*66/SUMIF(换算明细!$A$2:$A$67,$B132,换算明细!$S$2:$S$67),2)</f>
        <v>2.98</v>
      </c>
      <c r="G132" s="4">
        <f>ROUND(SUMIF(换算明细!$A$2:$A$67,$B132,换算明细!$V$2:$V$67)*66/SUMIF(换算明细!$A$2:$A$67,$B132,换算明细!$S$2:$S$67),2)</f>
        <v>0.34</v>
      </c>
      <c r="H132" s="4">
        <f>ROUND(SUMIF(换算明细!$A$2:$A$67,$B132,换算明细!$W$2:$W$67)*66/SUMIF(换算明细!$A$2:$A$67,$B132,换算明细!$S$2:$S$67),2)</f>
        <v>7.36</v>
      </c>
      <c r="I132" s="4">
        <f>ROUND(SUMIF(换算明细!$A$2:$A$67,$B132,换算明细!$X$2:$X$67)*66/SUMIF(换算明细!$A$2:$A$67,$B132,换算明细!$S$2:$S$67),2)</f>
        <v>7.61</v>
      </c>
      <c r="J132" s="4">
        <f>ROUND(SUMIF(换算明细!$A$2:$A$67,$B132,换算明细!$Y$2:$Y$67)*66/SUMIF(换算明细!$A$2:$A$67,$B132,换算明细!$S$2:$S$67),2)</f>
        <v>3.11</v>
      </c>
      <c r="K132" s="4">
        <f>ROUND(SUMIF(换算明细!$A$2:$A$67,$B132,换算明细!$Z$2:$Z$67)*66/SUMIF(换算明细!$A$2:$A$67,$B132,换算明细!$S$2:$S$67),2)</f>
        <v>0.24</v>
      </c>
      <c r="L132" s="4">
        <f>ROUND(SUMIF(换算明细!$A$2:$A$67,$B132,换算明细!$AA$2:$AA$67)*66/SUMIF(换算明细!$A$2:$A$67,$B132,换算明细!$S$2:$S$67),2)</f>
        <v>0.79</v>
      </c>
      <c r="M132" s="4">
        <f>ROUND(SUMIF(换算明细!$A$2:$A$67,$B132,换算明细!$AB$2:$AB$67)*66/SUMIF(换算明细!$A$2:$A$67,$B132,换算明细!$S$2:$S$67),2)</f>
        <v>1.41</v>
      </c>
      <c r="N132" s="4">
        <f>ROUND(SUMIF(换算明细!$A$2:$A$67,$B132,换算明细!$AC$2:$AC$67)*66/SUMIF(换算明细!$A$2:$A$67,$B132,换算明细!$S$2:$S$67),2)</f>
        <v>0.06</v>
      </c>
      <c r="O132" s="4">
        <f>ROUND(SUMIF(换算明细!$A$2:$A$67,$B132,换算明细!$AD$2:$AD$67)*66/SUMIF(换算明细!$A$2:$A$67,$B132,换算明细!$S$2:$S$67),2)</f>
        <v>8.7200000000000006</v>
      </c>
      <c r="P132" s="4">
        <f>ROUND(SUMIF(换算明细!$A$2:$A$67,$B132,换算明细!$AE$2:$AE$67)*66/SUMIF(换算明细!$A$2:$A$67,$B132,换算明细!$S$2:$S$67),2)</f>
        <v>4.21</v>
      </c>
      <c r="Q132" s="4">
        <f>ROUND(SUMIF(换算明细!$A$2:$A$67,$B132,换算明细!$AF$2:$AF$67)*66/SUMIF(换算明细!$A$2:$A$67,$B132,换算明细!$S$2:$S$67),2)</f>
        <v>1.04</v>
      </c>
      <c r="R132" s="5">
        <f>IFERROR(VLOOKUP($B132&amp;"|"&amp;$C132,测试原始数据!$A$2:$G$131,4,FALSE),"——")</f>
        <v>18.524999999999999</v>
      </c>
      <c r="S132" s="6">
        <f>IFERROR(VLOOKUP($B132&amp;"|"&amp;$C132,测试原始数据!$A$2:$G$131,5,FALSE),"——")</f>
        <v>35</v>
      </c>
      <c r="T132" s="6" t="str">
        <f>IFERROR(VLOOKUP($B132&amp;"|"&amp;$C132,[1]测试原始数据!$A$2:$G$131,6,FALSE),"——")</f>
        <v>——</v>
      </c>
    </row>
    <row r="133" spans="1:20" x14ac:dyDescent="0.35">
      <c r="A133" s="2">
        <v>132</v>
      </c>
      <c r="B133" s="2" t="s">
        <v>146</v>
      </c>
      <c r="C133" s="2" t="s">
        <v>21</v>
      </c>
      <c r="D133" s="4">
        <v>66</v>
      </c>
      <c r="E133" s="4">
        <f>ROUND(SUMIF(换算明细!$A$2:$A$67,$B133,换算明细!$T$2:$T$67)*66/SUMIF(换算明细!$A$2:$A$67,$B133,换算明细!$S$2:$S$67),2)</f>
        <v>0.85</v>
      </c>
      <c r="F133" s="4">
        <f>ROUND(SUMIF(换算明细!$A$2:$A$67,$B133,换算明细!$U$2:$U$67)*66/SUMIF(换算明细!$A$2:$A$67,$B133,换算明细!$S$2:$S$67),2)</f>
        <v>7.61</v>
      </c>
      <c r="G133" s="4">
        <f>ROUND(SUMIF(换算明细!$A$2:$A$67,$B133,换算明细!$V$2:$V$67)*66/SUMIF(换算明细!$A$2:$A$67,$B133,换算明细!$S$2:$S$67),2)</f>
        <v>0.67</v>
      </c>
      <c r="H133" s="4">
        <f>ROUND(SUMIF(换算明细!$A$2:$A$67,$B133,换算明细!$W$2:$W$67)*66/SUMIF(换算明细!$A$2:$A$67,$B133,换算明细!$S$2:$S$67),2)</f>
        <v>6.75</v>
      </c>
      <c r="I133" s="4">
        <f>ROUND(SUMIF(换算明细!$A$2:$A$67,$B133,换算明细!$X$2:$X$67)*66/SUMIF(换算明细!$A$2:$A$67,$B133,换算明细!$S$2:$S$67),2)</f>
        <v>3.99</v>
      </c>
      <c r="J133" s="4">
        <f>ROUND(SUMIF(换算明细!$A$2:$A$67,$B133,换算明细!$Y$2:$Y$67)*66/SUMIF(换算明细!$A$2:$A$67,$B133,换算明细!$S$2:$S$67),2)</f>
        <v>2.06</v>
      </c>
      <c r="K133" s="4">
        <f>ROUND(SUMIF(换算明细!$A$2:$A$67,$B133,换算明细!$Z$2:$Z$67)*66/SUMIF(换算明细!$A$2:$A$67,$B133,换算明细!$S$2:$S$67),2)</f>
        <v>1.24</v>
      </c>
      <c r="L133" s="4">
        <f>ROUND(SUMIF(换算明细!$A$2:$A$67,$B133,换算明细!$AA$2:$AA$67)*66/SUMIF(换算明细!$A$2:$A$67,$B133,换算明细!$S$2:$S$67),2)</f>
        <v>0.89</v>
      </c>
      <c r="M133" s="4">
        <f>ROUND(SUMIF(换算明细!$A$2:$A$67,$B133,换算明细!$AB$2:$AB$67)*66/SUMIF(换算明细!$A$2:$A$67,$B133,换算明细!$S$2:$S$67),2)</f>
        <v>2.68</v>
      </c>
      <c r="N133" s="4">
        <f>ROUND(SUMIF(换算明细!$A$2:$A$67,$B133,换算明细!$AC$2:$AC$67)*66/SUMIF(换算明细!$A$2:$A$67,$B133,换算明细!$S$2:$S$67),2)</f>
        <v>0.06</v>
      </c>
      <c r="O133" s="4">
        <f>ROUND(SUMIF(换算明细!$A$2:$A$67,$B133,换算明细!$AD$2:$AD$67)*66/SUMIF(换算明细!$A$2:$A$67,$B133,换算明细!$S$2:$S$67),2)</f>
        <v>6.95</v>
      </c>
      <c r="P133" s="4">
        <f>ROUND(SUMIF(换算明细!$A$2:$A$67,$B133,换算明细!$AE$2:$AE$67)*66/SUMIF(换算明细!$A$2:$A$67,$B133,换算明细!$S$2:$S$67),2)</f>
        <v>9.4</v>
      </c>
      <c r="Q133" s="4">
        <f>ROUND(SUMIF(换算明细!$A$2:$A$67,$B133,换算明细!$AF$2:$AF$67)*66/SUMIF(换算明细!$A$2:$A$67,$B133,换算明细!$S$2:$S$67),2)</f>
        <v>1.61</v>
      </c>
      <c r="R133" s="5">
        <f>IFERROR(VLOOKUP($B133&amp;"|"&amp;$C133,测试原始数据!$A$2:$G$131,4,FALSE),"——")</f>
        <v>17.21</v>
      </c>
      <c r="S133" s="6">
        <f>IFERROR(VLOOKUP($B133&amp;"|"&amp;$C133,测试原始数据!$A$2:$G$131,5,FALSE),"——")</f>
        <v>65</v>
      </c>
      <c r="T133" s="6" t="str">
        <f>IFERROR(VLOOKUP($B133&amp;"|"&amp;$C133,[1]测试原始数据!$A$2:$G$131,6,FALSE),"——")</f>
        <v>——</v>
      </c>
    </row>
    <row r="134" spans="1:20" x14ac:dyDescent="0.35">
      <c r="A134" s="2">
        <v>133</v>
      </c>
      <c r="B134" s="2" t="s">
        <v>147</v>
      </c>
      <c r="C134" s="2" t="s">
        <v>21</v>
      </c>
      <c r="D134" s="4">
        <v>66</v>
      </c>
      <c r="E134" s="4">
        <f>ROUND(SUMIF(换算明细!$A$2:$A$67,$B134,换算明细!$T$2:$T$67)*66/SUMIF(换算明细!$A$2:$A$67,$B134,换算明细!$S$2:$S$67),2)</f>
        <v>2.37</v>
      </c>
      <c r="F134" s="4">
        <f>ROUND(SUMIF(换算明细!$A$2:$A$67,$B134,换算明细!$U$2:$U$67)*66/SUMIF(换算明细!$A$2:$A$67,$B134,换算明细!$S$2:$S$67),2)</f>
        <v>4.92</v>
      </c>
      <c r="G134" s="4">
        <f>ROUND(SUMIF(换算明细!$A$2:$A$67,$B134,换算明细!$V$2:$V$67)*66/SUMIF(换算明细!$A$2:$A$67,$B134,换算明细!$S$2:$S$67),2)</f>
        <v>0.32</v>
      </c>
      <c r="H134" s="4">
        <f>ROUND(SUMIF(换算明细!$A$2:$A$67,$B134,换算明细!$W$2:$W$67)*66/SUMIF(换算明细!$A$2:$A$67,$B134,换算明细!$S$2:$S$67),2)</f>
        <v>3.79</v>
      </c>
      <c r="I134" s="4">
        <f>ROUND(SUMIF(换算明细!$A$2:$A$67,$B134,换算明细!$X$2:$X$67)*66/SUMIF(换算明细!$A$2:$A$67,$B134,换算明细!$S$2:$S$67),2)</f>
        <v>3.86</v>
      </c>
      <c r="J134" s="4">
        <f>ROUND(SUMIF(换算明细!$A$2:$A$67,$B134,换算明细!$Y$2:$Y$67)*66/SUMIF(换算明细!$A$2:$A$67,$B134,换算明细!$S$2:$S$67),2)</f>
        <v>0</v>
      </c>
      <c r="K134" s="4">
        <f>ROUND(SUMIF(换算明细!$A$2:$A$67,$B134,换算明细!$Z$2:$Z$67)*66/SUMIF(换算明细!$A$2:$A$67,$B134,换算明细!$S$2:$S$67),2)</f>
        <v>0.77</v>
      </c>
      <c r="L134" s="4">
        <f>ROUND(SUMIF(换算明细!$A$2:$A$67,$B134,换算明细!$AA$2:$AA$67)*66/SUMIF(换算明细!$A$2:$A$67,$B134,换算明细!$S$2:$S$67),2)</f>
        <v>0.22</v>
      </c>
      <c r="M134" s="4">
        <f>ROUND(SUMIF(换算明细!$A$2:$A$67,$B134,换算明细!$AB$2:$AB$67)*66/SUMIF(换算明细!$A$2:$A$67,$B134,换算明细!$S$2:$S$67),2)</f>
        <v>2.54</v>
      </c>
      <c r="N134" s="4">
        <f>ROUND(SUMIF(换算明细!$A$2:$A$67,$B134,换算明细!$AC$2:$AC$67)*66/SUMIF(换算明细!$A$2:$A$67,$B134,换算明细!$S$2:$S$67),2)</f>
        <v>0.06</v>
      </c>
      <c r="O134" s="4">
        <f>ROUND(SUMIF(换算明细!$A$2:$A$67,$B134,换算明细!$AD$2:$AD$67)*66/SUMIF(换算明细!$A$2:$A$67,$B134,换算明细!$S$2:$S$67),2)</f>
        <v>4.57</v>
      </c>
      <c r="P134" s="4">
        <f>ROUND(SUMIF(换算明细!$A$2:$A$67,$B134,换算明细!$AE$2:$AE$67)*66/SUMIF(换算明细!$A$2:$A$67,$B134,换算明细!$S$2:$S$67),2)</f>
        <v>5.7</v>
      </c>
      <c r="Q134" s="4">
        <f>ROUND(SUMIF(换算明细!$A$2:$A$67,$B134,换算明细!$AF$2:$AF$67)*66/SUMIF(换算明细!$A$2:$A$67,$B134,换算明细!$S$2:$S$67),2)</f>
        <v>1.1499999999999999</v>
      </c>
      <c r="R134" s="5">
        <f>IFERROR(VLOOKUP($B134&amp;"|"&amp;$C134,测试原始数据!$A$2:$G$131,4,FALSE),"——")</f>
        <v>17.174999999999997</v>
      </c>
      <c r="S134" s="6">
        <f>IFERROR(VLOOKUP($B134&amp;"|"&amp;$C134,测试原始数据!$A$2:$G$131,5,FALSE),"——")</f>
        <v>45</v>
      </c>
      <c r="T134" s="6" t="str">
        <f>IFERROR(VLOOKUP($B134&amp;"|"&amp;$C134,[1]测试原始数据!$A$2:$G$131,6,FALSE),"——")</f>
        <v>——</v>
      </c>
    </row>
    <row r="135" spans="1:20" x14ac:dyDescent="0.35">
      <c r="A135" s="2">
        <v>134</v>
      </c>
      <c r="B135" s="2" t="s">
        <v>148</v>
      </c>
      <c r="C135" s="2" t="s">
        <v>21</v>
      </c>
      <c r="D135" s="4">
        <v>66</v>
      </c>
      <c r="E135" s="4">
        <f>ROUND(SUMIF(换算明细!$A$2:$A$67,$B135,换算明细!$T$2:$T$67)*66/SUMIF(换算明细!$A$2:$A$67,$B135,换算明细!$S$2:$S$67),2)</f>
        <v>2.5499999999999998</v>
      </c>
      <c r="F135" s="4">
        <f>ROUND(SUMIF(换算明细!$A$2:$A$67,$B135,换算明细!$U$2:$U$67)*66/SUMIF(换算明细!$A$2:$A$67,$B135,换算明细!$S$2:$S$67),2)</f>
        <v>0</v>
      </c>
      <c r="G135" s="4">
        <f>ROUND(SUMIF(换算明细!$A$2:$A$67,$B135,换算明细!$V$2:$V$67)*66/SUMIF(换算明细!$A$2:$A$67,$B135,换算明细!$S$2:$S$67),2)</f>
        <v>0.23</v>
      </c>
      <c r="H135" s="4">
        <f>ROUND(SUMIF(换算明细!$A$2:$A$67,$B135,换算明细!$W$2:$W$67)*66/SUMIF(换算明细!$A$2:$A$67,$B135,换算明细!$S$2:$S$67),2)</f>
        <v>3.92</v>
      </c>
      <c r="I135" s="4">
        <f>ROUND(SUMIF(换算明细!$A$2:$A$67,$B135,换算明细!$X$2:$X$67)*66/SUMIF(换算明细!$A$2:$A$67,$B135,换算明细!$S$2:$S$67),2)</f>
        <v>4.21</v>
      </c>
      <c r="J135" s="4">
        <f>ROUND(SUMIF(换算明细!$A$2:$A$67,$B135,换算明细!$Y$2:$Y$67)*66/SUMIF(换算明细!$A$2:$A$67,$B135,换算明细!$S$2:$S$67),2)</f>
        <v>5.44</v>
      </c>
      <c r="K135" s="4">
        <f>ROUND(SUMIF(换算明细!$A$2:$A$67,$B135,换算明细!$Z$2:$Z$67)*66/SUMIF(换算明细!$A$2:$A$67,$B135,换算明细!$S$2:$S$67),2)</f>
        <v>0.81</v>
      </c>
      <c r="L135" s="4">
        <f>ROUND(SUMIF(换算明细!$A$2:$A$67,$B135,换算明细!$AA$2:$AA$67)*66/SUMIF(换算明细!$A$2:$A$67,$B135,换算明细!$S$2:$S$67),2)</f>
        <v>1.18</v>
      </c>
      <c r="M135" s="4">
        <f>ROUND(SUMIF(换算明细!$A$2:$A$67,$B135,换算明细!$AB$2:$AB$67)*66/SUMIF(换算明细!$A$2:$A$67,$B135,换算明细!$S$2:$S$67),2)</f>
        <v>2.12</v>
      </c>
      <c r="N135" s="4">
        <f>ROUND(SUMIF(换算明细!$A$2:$A$67,$B135,换算明细!$AC$2:$AC$67)*66/SUMIF(换算明细!$A$2:$A$67,$B135,换算明细!$S$2:$S$67),2)</f>
        <v>0.06</v>
      </c>
      <c r="O135" s="4">
        <f>ROUND(SUMIF(换算明细!$A$2:$A$67,$B135,换算明细!$AD$2:$AD$67)*66/SUMIF(换算明细!$A$2:$A$67,$B135,换算明细!$S$2:$S$67),2)</f>
        <v>3.28</v>
      </c>
      <c r="P135" s="4">
        <f>ROUND(SUMIF(换算明细!$A$2:$A$67,$B135,换算明细!$AE$2:$AE$67)*66/SUMIF(换算明细!$A$2:$A$67,$B135,换算明细!$S$2:$S$67),2)</f>
        <v>7.34</v>
      </c>
      <c r="Q135" s="4">
        <f>ROUND(SUMIF(换算明细!$A$2:$A$67,$B135,换算明细!$AF$2:$AF$67)*66/SUMIF(换算明细!$A$2:$A$67,$B135,换算明细!$S$2:$S$67),2)</f>
        <v>1.9</v>
      </c>
      <c r="R135" s="5">
        <f>IFERROR(VLOOKUP($B135&amp;"|"&amp;$C135,测试原始数据!$A$2:$G$131,4,FALSE),"——")</f>
        <v>19.009999999999998</v>
      </c>
      <c r="S135" s="6">
        <f>IFERROR(VLOOKUP($B135&amp;"|"&amp;$C135,测试原始数据!$A$2:$G$131,5,FALSE),"——")</f>
        <v>60</v>
      </c>
      <c r="T135" s="6" t="str">
        <f>IFERROR(VLOOKUP($B135&amp;"|"&amp;$C135,[1]测试原始数据!$A$2:$G$131,6,FALSE),"——")</f>
        <v>——</v>
      </c>
    </row>
    <row r="136" spans="1:20" x14ac:dyDescent="0.35">
      <c r="A136" s="2">
        <v>135</v>
      </c>
      <c r="B136" s="2" t="s">
        <v>149</v>
      </c>
      <c r="C136" s="2" t="s">
        <v>21</v>
      </c>
      <c r="D136" s="4">
        <v>66</v>
      </c>
      <c r="E136" s="4">
        <f>ROUND(SUMIF(换算明细!$A$2:$A$67,$B136,换算明细!$T$2:$T$67)*66/SUMIF(换算明细!$A$2:$A$67,$B136,换算明细!$S$2:$S$67),2)</f>
        <v>0.96</v>
      </c>
      <c r="F136" s="4">
        <f>ROUND(SUMIF(换算明细!$A$2:$A$67,$B136,换算明细!$U$2:$U$67)*66/SUMIF(换算明细!$A$2:$A$67,$B136,换算明细!$S$2:$S$67),2)</f>
        <v>8.91</v>
      </c>
      <c r="G136" s="4">
        <f>ROUND(SUMIF(换算明细!$A$2:$A$67,$B136,换算明细!$V$2:$V$67)*66/SUMIF(换算明细!$A$2:$A$67,$B136,换算明细!$S$2:$S$67),2)</f>
        <v>0.36</v>
      </c>
      <c r="H136" s="4">
        <f>ROUND(SUMIF(换算明细!$A$2:$A$67,$B136,换算明细!$W$2:$W$67)*66/SUMIF(换算明细!$A$2:$A$67,$B136,换算明细!$S$2:$S$67),2)</f>
        <v>6.76</v>
      </c>
      <c r="I136" s="4">
        <f>ROUND(SUMIF(换算明细!$A$2:$A$67,$B136,换算明细!$X$2:$X$67)*66/SUMIF(换算明细!$A$2:$A$67,$B136,换算明细!$S$2:$S$67),2)</f>
        <v>3.57</v>
      </c>
      <c r="J136" s="4">
        <f>ROUND(SUMIF(换算明细!$A$2:$A$67,$B136,换算明细!$Y$2:$Y$67)*66/SUMIF(换算明细!$A$2:$A$67,$B136,换算明细!$S$2:$S$67),2)</f>
        <v>1.07</v>
      </c>
      <c r="K136" s="4">
        <f>ROUND(SUMIF(换算明细!$A$2:$A$67,$B136,换算明细!$Z$2:$Z$67)*66/SUMIF(换算明细!$A$2:$A$67,$B136,换算明细!$S$2:$S$67),2)</f>
        <v>1.23</v>
      </c>
      <c r="L136" s="4">
        <f>ROUND(SUMIF(换算明细!$A$2:$A$67,$B136,换算明细!$AA$2:$AA$67)*66/SUMIF(换算明细!$A$2:$A$67,$B136,换算明细!$S$2:$S$67),2)</f>
        <v>0.72</v>
      </c>
      <c r="M136" s="4">
        <f>ROUND(SUMIF(换算明细!$A$2:$A$67,$B136,换算明细!$AB$2:$AB$67)*66/SUMIF(换算明细!$A$2:$A$67,$B136,换算明细!$S$2:$S$67),2)</f>
        <v>2.27</v>
      </c>
      <c r="N136" s="4">
        <f>ROUND(SUMIF(换算明细!$A$2:$A$67,$B136,换算明细!$AC$2:$AC$67)*66/SUMIF(换算明细!$A$2:$A$67,$B136,换算明细!$S$2:$S$67),2)</f>
        <v>0.06</v>
      </c>
      <c r="O136" s="4">
        <f>ROUND(SUMIF(换算明细!$A$2:$A$67,$B136,换算明细!$AD$2:$AD$67)*66/SUMIF(换算明细!$A$2:$A$67,$B136,换算明细!$S$2:$S$67),2)</f>
        <v>5.59</v>
      </c>
      <c r="P136" s="4">
        <f>ROUND(SUMIF(换算明细!$A$2:$A$67,$B136,换算明细!$AE$2:$AE$67)*66/SUMIF(换算明细!$A$2:$A$67,$B136,换算明细!$S$2:$S$67),2)</f>
        <v>11.23</v>
      </c>
      <c r="Q136" s="4">
        <f>ROUND(SUMIF(换算明细!$A$2:$A$67,$B136,换算明细!$AF$2:$AF$67)*66/SUMIF(换算明细!$A$2:$A$67,$B136,换算明细!$S$2:$S$67),2)</f>
        <v>1.63</v>
      </c>
      <c r="R136" s="5">
        <f>IFERROR(VLOOKUP($B136&amp;"|"&amp;$C136,测试原始数据!$A$2:$G$131,4,FALSE),"——")</f>
        <v>16.664999999999999</v>
      </c>
      <c r="S136" s="6">
        <f>IFERROR(VLOOKUP($B136&amp;"|"&amp;$C136,测试原始数据!$A$2:$G$131,5,FALSE),"——")</f>
        <v>47</v>
      </c>
      <c r="T136" s="6" t="str">
        <f>IFERROR(VLOOKUP($B136&amp;"|"&amp;$C136,[1]测试原始数据!$A$2:$G$131,6,FALSE),"——")</f>
        <v>——</v>
      </c>
    </row>
    <row r="137" spans="1:20" x14ac:dyDescent="0.35">
      <c r="A137" s="2">
        <v>136</v>
      </c>
      <c r="B137" s="2" t="s">
        <v>150</v>
      </c>
      <c r="C137" s="2" t="s">
        <v>21</v>
      </c>
      <c r="D137" s="4">
        <v>66</v>
      </c>
      <c r="E137" s="4">
        <f>ROUND(SUMIF(换算明细!$A$2:$A$67,$B137,换算明细!$T$2:$T$67)*66/SUMIF(换算明细!$A$2:$A$67,$B137,换算明细!$S$2:$S$67),2)</f>
        <v>2.44</v>
      </c>
      <c r="F137" s="4">
        <f>ROUND(SUMIF(换算明细!$A$2:$A$67,$B137,换算明细!$U$2:$U$67)*66/SUMIF(换算明细!$A$2:$A$67,$B137,换算明细!$S$2:$S$67),2)</f>
        <v>5.32</v>
      </c>
      <c r="G137" s="4">
        <f>ROUND(SUMIF(换算明细!$A$2:$A$67,$B137,换算明细!$V$2:$V$67)*66/SUMIF(换算明细!$A$2:$A$67,$B137,换算明细!$S$2:$S$67),2)</f>
        <v>0.52</v>
      </c>
      <c r="H137" s="4">
        <f>ROUND(SUMIF(换算明细!$A$2:$A$67,$B137,换算明细!$W$2:$W$67)*66/SUMIF(换算明细!$A$2:$A$67,$B137,换算明细!$S$2:$S$67),2)</f>
        <v>2.42</v>
      </c>
      <c r="I137" s="4">
        <f>ROUND(SUMIF(换算明细!$A$2:$A$67,$B137,换算明细!$X$2:$X$67)*66/SUMIF(换算明细!$A$2:$A$67,$B137,换算明细!$S$2:$S$67),2)</f>
        <v>0</v>
      </c>
      <c r="J137" s="4">
        <f>ROUND(SUMIF(换算明细!$A$2:$A$67,$B137,换算明细!$Y$2:$Y$67)*66/SUMIF(换算明细!$A$2:$A$67,$B137,换算明细!$S$2:$S$67),2)</f>
        <v>3.91</v>
      </c>
      <c r="K137" s="4">
        <f>ROUND(SUMIF(换算明细!$A$2:$A$67,$B137,换算明细!$Z$2:$Z$67)*66/SUMIF(换算明细!$A$2:$A$67,$B137,换算明细!$S$2:$S$67),2)</f>
        <v>1.99</v>
      </c>
      <c r="L137" s="4">
        <f>ROUND(SUMIF(换算明细!$A$2:$A$67,$B137,换算明细!$AA$2:$AA$67)*66/SUMIF(换算明细!$A$2:$A$67,$B137,换算明细!$S$2:$S$67),2)</f>
        <v>1.5</v>
      </c>
      <c r="M137" s="4">
        <f>ROUND(SUMIF(换算明细!$A$2:$A$67,$B137,换算明细!$AB$2:$AB$67)*66/SUMIF(换算明细!$A$2:$A$67,$B137,换算明细!$S$2:$S$67),2)</f>
        <v>2</v>
      </c>
      <c r="N137" s="4">
        <f>ROUND(SUMIF(换算明细!$A$2:$A$67,$B137,换算明细!$AC$2:$AC$67)*66/SUMIF(换算明细!$A$2:$A$67,$B137,换算明细!$S$2:$S$67),2)</f>
        <v>0.06</v>
      </c>
      <c r="O137" s="4">
        <f>ROUND(SUMIF(换算明细!$A$2:$A$67,$B137,换算明细!$AD$2:$AD$67)*66/SUMIF(换算明细!$A$2:$A$67,$B137,换算明细!$S$2:$S$67),2)</f>
        <v>3.79</v>
      </c>
      <c r="P137" s="4">
        <f>ROUND(SUMIF(换算明细!$A$2:$A$67,$B137,换算明细!$AE$2:$AE$67)*66/SUMIF(换算明细!$A$2:$A$67,$B137,换算明细!$S$2:$S$67),2)</f>
        <v>9.9499999999999993</v>
      </c>
      <c r="Q137" s="4">
        <f>ROUND(SUMIF(换算明细!$A$2:$A$67,$B137,换算明细!$AF$2:$AF$67)*66/SUMIF(换算明细!$A$2:$A$67,$B137,换算明细!$S$2:$S$67),2)</f>
        <v>1.72</v>
      </c>
      <c r="R137" s="5">
        <f>IFERROR(VLOOKUP($B137&amp;"|"&amp;$C137,测试原始数据!$A$2:$G$131,4,FALSE),"——")</f>
        <v>18.524999999999999</v>
      </c>
      <c r="S137" s="6">
        <f>IFERROR(VLOOKUP($B137&amp;"|"&amp;$C137,测试原始数据!$A$2:$G$131,5,FALSE),"——")</f>
        <v>55</v>
      </c>
      <c r="T137" s="6" t="str">
        <f>IFERROR(VLOOKUP($B137&amp;"|"&amp;$C137,[1]测试原始数据!$A$2:$G$131,6,FALSE),"——")</f>
        <v>——</v>
      </c>
    </row>
    <row r="138" spans="1:20" x14ac:dyDescent="0.35">
      <c r="A138" s="2">
        <v>137</v>
      </c>
      <c r="B138" s="2" t="s">
        <v>151</v>
      </c>
      <c r="C138" s="2" t="s">
        <v>21</v>
      </c>
      <c r="D138" s="4">
        <v>66</v>
      </c>
      <c r="E138" s="4">
        <f>ROUND(SUMIF(换算明细!$A$2:$A$67,$B138,换算明细!$T$2:$T$67)*66/SUMIF(换算明细!$A$2:$A$67,$B138,换算明细!$S$2:$S$67),2)</f>
        <v>1.32</v>
      </c>
      <c r="F138" s="4">
        <f>ROUND(SUMIF(换算明细!$A$2:$A$67,$B138,换算明细!$U$2:$U$67)*66/SUMIF(换算明细!$A$2:$A$67,$B138,换算明细!$S$2:$S$67),2)</f>
        <v>0.99</v>
      </c>
      <c r="G138" s="4">
        <f>ROUND(SUMIF(换算明细!$A$2:$A$67,$B138,换算明细!$V$2:$V$67)*66/SUMIF(换算明细!$A$2:$A$67,$B138,换算明细!$S$2:$S$67),2)</f>
        <v>0.35</v>
      </c>
      <c r="H138" s="4">
        <f>ROUND(SUMIF(换算明细!$A$2:$A$67,$B138,换算明细!$W$2:$W$67)*66/SUMIF(换算明细!$A$2:$A$67,$B138,换算明细!$S$2:$S$67),2)</f>
        <v>6.9</v>
      </c>
      <c r="I138" s="4">
        <f>ROUND(SUMIF(换算明细!$A$2:$A$67,$B138,换算明细!$X$2:$X$67)*66/SUMIF(换算明细!$A$2:$A$67,$B138,换算明细!$S$2:$S$67),2)</f>
        <v>7.32</v>
      </c>
      <c r="J138" s="4">
        <f>ROUND(SUMIF(换算明细!$A$2:$A$67,$B138,换算明细!$Y$2:$Y$67)*66/SUMIF(换算明细!$A$2:$A$67,$B138,换算明细!$S$2:$S$67),2)</f>
        <v>4.38</v>
      </c>
      <c r="K138" s="4">
        <f>ROUND(SUMIF(换算明细!$A$2:$A$67,$B138,换算明细!$Z$2:$Z$67)*66/SUMIF(换算明细!$A$2:$A$67,$B138,换算明细!$S$2:$S$67),2)</f>
        <v>0.21</v>
      </c>
      <c r="L138" s="4">
        <f>ROUND(SUMIF(换算明细!$A$2:$A$67,$B138,换算明细!$AA$2:$AA$67)*66/SUMIF(换算明细!$A$2:$A$67,$B138,换算明细!$S$2:$S$67),2)</f>
        <v>0.79</v>
      </c>
      <c r="M138" s="4">
        <f>ROUND(SUMIF(换算明细!$A$2:$A$67,$B138,换算明细!$AB$2:$AB$67)*66/SUMIF(换算明细!$A$2:$A$67,$B138,换算明细!$S$2:$S$67),2)</f>
        <v>2.4700000000000002</v>
      </c>
      <c r="N138" s="4">
        <f>ROUND(SUMIF(换算明细!$A$2:$A$67,$B138,换算明细!$AC$2:$AC$67)*66/SUMIF(换算明细!$A$2:$A$67,$B138,换算明细!$S$2:$S$67),2)</f>
        <v>0.06</v>
      </c>
      <c r="O138" s="4">
        <f>ROUND(SUMIF(换算明细!$A$2:$A$67,$B138,换算明细!$AD$2:$AD$67)*66/SUMIF(换算明细!$A$2:$A$67,$B138,换算明细!$S$2:$S$67),2)</f>
        <v>5.94</v>
      </c>
      <c r="P138" s="4">
        <f>ROUND(SUMIF(换算明细!$A$2:$A$67,$B138,换算明细!$AE$2:$AE$67)*66/SUMIF(换算明细!$A$2:$A$67,$B138,换算明细!$S$2:$S$67),2)</f>
        <v>6.08</v>
      </c>
      <c r="Q138" s="4">
        <f>ROUND(SUMIF(换算明细!$A$2:$A$67,$B138,换算明细!$AF$2:$AF$67)*66/SUMIF(换算明细!$A$2:$A$67,$B138,换算明细!$S$2:$S$67),2)</f>
        <v>1.73</v>
      </c>
      <c r="R138" s="5">
        <f>IFERROR(VLOOKUP($B138&amp;"|"&amp;$C138,测试原始数据!$A$2:$G$131,4,FALSE),"——")</f>
        <v>17.704999999999998</v>
      </c>
      <c r="S138" s="6">
        <f>IFERROR(VLOOKUP($B138&amp;"|"&amp;$C138,测试原始数据!$A$2:$G$131,5,FALSE),"——")</f>
        <v>127</v>
      </c>
      <c r="T138" s="6" t="str">
        <f>IFERROR(VLOOKUP($B138&amp;"|"&amp;$C138,[1]测试原始数据!$A$2:$G$131,6,FALSE),"——")</f>
        <v>——</v>
      </c>
    </row>
    <row r="139" spans="1:20" x14ac:dyDescent="0.35">
      <c r="A139" s="2">
        <v>138</v>
      </c>
      <c r="B139" s="2" t="s">
        <v>152</v>
      </c>
      <c r="C139" s="2" t="s">
        <v>21</v>
      </c>
      <c r="D139" s="4">
        <v>66</v>
      </c>
      <c r="E139" s="4">
        <f>ROUND(SUMIF(换算明细!$A$2:$A$67,$B139,换算明细!$T$2:$T$67)*66/SUMIF(换算明细!$A$2:$A$67,$B139,换算明细!$S$2:$S$67),2)</f>
        <v>1.17</v>
      </c>
      <c r="F139" s="4">
        <f>ROUND(SUMIF(换算明细!$A$2:$A$67,$B139,换算明细!$U$2:$U$67)*66/SUMIF(换算明细!$A$2:$A$67,$B139,换算明细!$S$2:$S$67),2)</f>
        <v>6.26</v>
      </c>
      <c r="G139" s="4">
        <f>ROUND(SUMIF(换算明细!$A$2:$A$67,$B139,换算明细!$V$2:$V$67)*66/SUMIF(换算明细!$A$2:$A$67,$B139,换算明细!$S$2:$S$67),2)</f>
        <v>0.56999999999999995</v>
      </c>
      <c r="H139" s="4">
        <f>ROUND(SUMIF(换算明细!$A$2:$A$67,$B139,换算明细!$W$2:$W$67)*66/SUMIF(换算明细!$A$2:$A$67,$B139,换算明细!$S$2:$S$67),2)</f>
        <v>4.2</v>
      </c>
      <c r="I139" s="4">
        <f>ROUND(SUMIF(换算明细!$A$2:$A$67,$B139,换算明细!$X$2:$X$67)*66/SUMIF(换算明细!$A$2:$A$67,$B139,换算明细!$S$2:$S$67),2)</f>
        <v>4.3899999999999997</v>
      </c>
      <c r="J139" s="4">
        <f>ROUND(SUMIF(换算明细!$A$2:$A$67,$B139,换算明细!$Y$2:$Y$67)*66/SUMIF(换算明细!$A$2:$A$67,$B139,换算明细!$S$2:$S$67),2)</f>
        <v>2.2599999999999998</v>
      </c>
      <c r="K139" s="4">
        <f>ROUND(SUMIF(换算明细!$A$2:$A$67,$B139,换算明细!$Z$2:$Z$67)*66/SUMIF(换算明细!$A$2:$A$67,$B139,换算明细!$S$2:$S$67),2)</f>
        <v>0.57999999999999996</v>
      </c>
      <c r="L139" s="4">
        <f>ROUND(SUMIF(换算明细!$A$2:$A$67,$B139,换算明细!$AA$2:$AA$67)*66/SUMIF(换算明细!$A$2:$A$67,$B139,换算明细!$S$2:$S$67),2)</f>
        <v>0.55000000000000004</v>
      </c>
      <c r="M139" s="4">
        <f>ROUND(SUMIF(换算明细!$A$2:$A$67,$B139,换算明细!$AB$2:$AB$67)*66/SUMIF(换算明细!$A$2:$A$67,$B139,换算明细!$S$2:$S$67),2)</f>
        <v>2.02</v>
      </c>
      <c r="N139" s="4">
        <f>ROUND(SUMIF(换算明细!$A$2:$A$67,$B139,换算明细!$AC$2:$AC$67)*66/SUMIF(换算明细!$A$2:$A$67,$B139,换算明细!$S$2:$S$67),2)</f>
        <v>0.06</v>
      </c>
      <c r="O139" s="4">
        <f>ROUND(SUMIF(换算明细!$A$2:$A$67,$B139,换算明细!$AD$2:$AD$67)*66/SUMIF(换算明细!$A$2:$A$67,$B139,换算明细!$S$2:$S$67),2)</f>
        <v>7.13</v>
      </c>
      <c r="P139" s="4">
        <f>ROUND(SUMIF(换算明细!$A$2:$A$67,$B139,换算明细!$AE$2:$AE$67)*66/SUMIF(换算明细!$A$2:$A$67,$B139,换算明细!$S$2:$S$67),2)</f>
        <v>5.97</v>
      </c>
      <c r="Q139" s="4">
        <f>ROUND(SUMIF(换算明细!$A$2:$A$67,$B139,换算明细!$AF$2:$AF$67)*66/SUMIF(换算明细!$A$2:$A$67,$B139,换算明细!$S$2:$S$67),2)</f>
        <v>1.1200000000000001</v>
      </c>
      <c r="R139" s="5">
        <f>IFERROR(VLOOKUP($B139&amp;"|"&amp;$C139,测试原始数据!$A$2:$G$131,4,FALSE),"——")</f>
        <v>16.225000000000001</v>
      </c>
      <c r="S139" s="6">
        <f>IFERROR(VLOOKUP($B139&amp;"|"&amp;$C139,测试原始数据!$A$2:$G$131,5,FALSE),"——")</f>
        <v>135</v>
      </c>
      <c r="T139" s="6" t="str">
        <f>IFERROR(VLOOKUP($B139&amp;"|"&amp;$C139,[1]测试原始数据!$A$2:$G$131,6,FALSE),"——")</f>
        <v>——</v>
      </c>
    </row>
    <row r="140" spans="1:20" x14ac:dyDescent="0.35">
      <c r="A140" s="2">
        <v>139</v>
      </c>
      <c r="B140" s="2" t="s">
        <v>153</v>
      </c>
      <c r="C140" s="2" t="s">
        <v>21</v>
      </c>
      <c r="D140" s="4">
        <v>66</v>
      </c>
      <c r="E140" s="4">
        <f>ROUND(SUMIF(换算明细!$A$2:$A$67,$B140,换算明细!$T$2:$T$67)*66/SUMIF(换算明细!$A$2:$A$67,$B140,换算明细!$S$2:$S$67),2)</f>
        <v>2.1</v>
      </c>
      <c r="F140" s="4">
        <f>ROUND(SUMIF(换算明细!$A$2:$A$67,$B140,换算明细!$U$2:$U$67)*66/SUMIF(换算明细!$A$2:$A$67,$B140,换算明细!$S$2:$S$67),2)</f>
        <v>6.02</v>
      </c>
      <c r="G140" s="4">
        <f>ROUND(SUMIF(换算明细!$A$2:$A$67,$B140,换算明细!$V$2:$V$67)*66/SUMIF(换算明细!$A$2:$A$67,$B140,换算明细!$S$2:$S$67),2)</f>
        <v>0.35</v>
      </c>
      <c r="H140" s="4">
        <f>ROUND(SUMIF(换算明细!$A$2:$A$67,$B140,换算明细!$W$2:$W$67)*66/SUMIF(换算明细!$A$2:$A$67,$B140,换算明细!$S$2:$S$67),2)</f>
        <v>6.4</v>
      </c>
      <c r="I140" s="4">
        <f>ROUND(SUMIF(换算明细!$A$2:$A$67,$B140,换算明细!$X$2:$X$67)*66/SUMIF(换算明细!$A$2:$A$67,$B140,换算明细!$S$2:$S$67),2)</f>
        <v>3.93</v>
      </c>
      <c r="J140" s="4">
        <f>ROUND(SUMIF(换算明细!$A$2:$A$67,$B140,换算明细!$Y$2:$Y$67)*66/SUMIF(换算明细!$A$2:$A$67,$B140,换算明细!$S$2:$S$67),2)</f>
        <v>2.63</v>
      </c>
      <c r="K140" s="4">
        <f>ROUND(SUMIF(换算明细!$A$2:$A$67,$B140,换算明细!$Z$2:$Z$67)*66/SUMIF(换算明细!$A$2:$A$67,$B140,换算明细!$S$2:$S$67),2)</f>
        <v>1.04</v>
      </c>
      <c r="L140" s="4">
        <f>ROUND(SUMIF(换算明细!$A$2:$A$67,$B140,换算明细!$AA$2:$AA$67)*66/SUMIF(换算明细!$A$2:$A$67,$B140,换算明细!$S$2:$S$67),2)</f>
        <v>0.73</v>
      </c>
      <c r="M140" s="4">
        <f>ROUND(SUMIF(换算明细!$A$2:$A$67,$B140,换算明细!$AB$2:$AB$67)*66/SUMIF(换算明细!$A$2:$A$67,$B140,换算明细!$S$2:$S$67),2)</f>
        <v>3.16</v>
      </c>
      <c r="N140" s="4">
        <f>ROUND(SUMIF(换算明细!$A$2:$A$67,$B140,换算明细!$AC$2:$AC$67)*66/SUMIF(换算明细!$A$2:$A$67,$B140,换算明细!$S$2:$S$67),2)</f>
        <v>0.06</v>
      </c>
      <c r="O140" s="4">
        <f>ROUND(SUMIF(换算明细!$A$2:$A$67,$B140,换算明细!$AD$2:$AD$67)*66/SUMIF(换算明细!$A$2:$A$67,$B140,换算明细!$S$2:$S$67),2)</f>
        <v>3.32</v>
      </c>
      <c r="P140" s="4">
        <f>ROUND(SUMIF(换算明细!$A$2:$A$67,$B140,换算明细!$AE$2:$AE$67)*66/SUMIF(换算明细!$A$2:$A$67,$B140,换算明细!$S$2:$S$67),2)</f>
        <v>11.98</v>
      </c>
      <c r="Q140" s="4">
        <f>ROUND(SUMIF(换算明细!$A$2:$A$67,$B140,换算明细!$AF$2:$AF$67)*66/SUMIF(换算明细!$A$2:$A$67,$B140,换算明细!$S$2:$S$67),2)</f>
        <v>2.21</v>
      </c>
      <c r="R140" s="5">
        <f>IFERROR(VLOOKUP($B140&amp;"|"&amp;$C140,测试原始数据!$A$2:$G$131,4,FALSE),"——")</f>
        <v>17.059999999999999</v>
      </c>
      <c r="S140" s="6">
        <f>IFERROR(VLOOKUP($B140&amp;"|"&amp;$C140,测试原始数据!$A$2:$G$131,5,FALSE),"——")</f>
        <v>153</v>
      </c>
      <c r="T140" s="6" t="str">
        <f>IFERROR(VLOOKUP($B140&amp;"|"&amp;$C140,[1]测试原始数据!$A$2:$G$131,6,FALSE),"——")</f>
        <v>——</v>
      </c>
    </row>
    <row r="141" spans="1:20" x14ac:dyDescent="0.35">
      <c r="A141" s="2">
        <v>140</v>
      </c>
      <c r="B141" s="2" t="s">
        <v>154</v>
      </c>
      <c r="C141" s="2" t="s">
        <v>21</v>
      </c>
      <c r="D141" s="4">
        <v>66</v>
      </c>
      <c r="E141" s="4">
        <f>ROUND(SUMIF(换算明细!$A$2:$A$67,$B141,换算明细!$T$2:$T$67)*66/SUMIF(换算明细!$A$2:$A$67,$B141,换算明细!$S$2:$S$67),2)</f>
        <v>0.38</v>
      </c>
      <c r="F141" s="4">
        <f>ROUND(SUMIF(换算明细!$A$2:$A$67,$B141,换算明细!$U$2:$U$67)*66/SUMIF(换算明细!$A$2:$A$67,$B141,换算明细!$S$2:$S$67),2)</f>
        <v>5.3</v>
      </c>
      <c r="G141" s="4">
        <f>ROUND(SUMIF(换算明细!$A$2:$A$67,$B141,换算明细!$V$2:$V$67)*66/SUMIF(换算明细!$A$2:$A$67,$B141,换算明细!$S$2:$S$67),2)</f>
        <v>0.35</v>
      </c>
      <c r="H141" s="4">
        <f>ROUND(SUMIF(换算明细!$A$2:$A$67,$B141,换算明细!$W$2:$W$67)*66/SUMIF(换算明细!$A$2:$A$67,$B141,换算明细!$S$2:$S$67),2)</f>
        <v>7.12</v>
      </c>
      <c r="I141" s="4">
        <f>ROUND(SUMIF(换算明细!$A$2:$A$67,$B141,换算明细!$X$2:$X$67)*66/SUMIF(换算明细!$A$2:$A$67,$B141,换算明细!$S$2:$S$67),2)</f>
        <v>6.02</v>
      </c>
      <c r="J141" s="4">
        <f>ROUND(SUMIF(换算明细!$A$2:$A$67,$B141,换算明细!$Y$2:$Y$67)*66/SUMIF(换算明细!$A$2:$A$67,$B141,换算明细!$S$2:$S$67),2)</f>
        <v>2.33</v>
      </c>
      <c r="K141" s="4">
        <f>ROUND(SUMIF(换算明细!$A$2:$A$67,$B141,换算明细!$Z$2:$Z$67)*66/SUMIF(换算明细!$A$2:$A$67,$B141,换算明细!$S$2:$S$67),2)</f>
        <v>0.63</v>
      </c>
      <c r="L141" s="4">
        <f>ROUND(SUMIF(换算明细!$A$2:$A$67,$B141,换算明细!$AA$2:$AA$67)*66/SUMIF(换算明细!$A$2:$A$67,$B141,换算明细!$S$2:$S$67),2)</f>
        <v>0.76</v>
      </c>
      <c r="M141" s="4">
        <f>ROUND(SUMIF(换算明细!$A$2:$A$67,$B141,换算明细!$AB$2:$AB$67)*66/SUMIF(换算明细!$A$2:$A$67,$B141,换算明细!$S$2:$S$67),2)</f>
        <v>1.76</v>
      </c>
      <c r="N141" s="4">
        <f>ROUND(SUMIF(换算明细!$A$2:$A$67,$B141,换算明细!$AC$2:$AC$67)*66/SUMIF(换算明细!$A$2:$A$67,$B141,换算明细!$S$2:$S$67),2)</f>
        <v>0.06</v>
      </c>
      <c r="O141" s="4">
        <f>ROUND(SUMIF(换算明细!$A$2:$A$67,$B141,换算明细!$AD$2:$AD$67)*66/SUMIF(换算明细!$A$2:$A$67,$B141,换算明细!$S$2:$S$67),2)</f>
        <v>7.51</v>
      </c>
      <c r="P141" s="4">
        <f>ROUND(SUMIF(换算明细!$A$2:$A$67,$B141,换算明细!$AE$2:$AE$67)*66/SUMIF(换算明细!$A$2:$A$67,$B141,换算明细!$S$2:$S$67),2)</f>
        <v>6.95</v>
      </c>
      <c r="Q141" s="4">
        <f>ROUND(SUMIF(换算明细!$A$2:$A$67,$B141,换算明细!$AF$2:$AF$67)*66/SUMIF(换算明细!$A$2:$A$67,$B141,换算明细!$S$2:$S$67),2)</f>
        <v>1.27</v>
      </c>
      <c r="R141" s="5">
        <f>IFERROR(VLOOKUP($B141&amp;"|"&amp;$C141,测试原始数据!$A$2:$G$131,4,FALSE),"——")</f>
        <v>16.865000000000002</v>
      </c>
      <c r="S141" s="6">
        <f>IFERROR(VLOOKUP($B141&amp;"|"&amp;$C141,测试原始数据!$A$2:$G$131,5,FALSE),"——")</f>
        <v>90</v>
      </c>
      <c r="T141" s="6" t="str">
        <f>IFERROR(VLOOKUP($B141&amp;"|"&amp;$C141,[1]测试原始数据!$A$2:$G$131,6,FALSE),"——")</f>
        <v>——</v>
      </c>
    </row>
    <row r="142" spans="1:20" x14ac:dyDescent="0.35">
      <c r="A142" s="2">
        <v>141</v>
      </c>
      <c r="B142" s="2" t="s">
        <v>154</v>
      </c>
      <c r="C142" s="2" t="s">
        <v>45</v>
      </c>
      <c r="D142" s="4">
        <v>66</v>
      </c>
      <c r="E142" s="4">
        <f>ROUND(SUMIF(换算明细!$A$2:$A$67,$B142,换算明细!$T$2:$T$67)*66/SUMIF(换算明细!$A$2:$A$67,$B142,换算明细!$S$2:$S$67),2)</f>
        <v>0.38</v>
      </c>
      <c r="F142" s="4">
        <f>ROUND(SUMIF(换算明细!$A$2:$A$67,$B142,换算明细!$U$2:$U$67)*66/SUMIF(换算明细!$A$2:$A$67,$B142,换算明细!$S$2:$S$67),2)</f>
        <v>5.3</v>
      </c>
      <c r="G142" s="4">
        <f>ROUND(SUMIF(换算明细!$A$2:$A$67,$B142,换算明细!$V$2:$V$67)*66/SUMIF(换算明细!$A$2:$A$67,$B142,换算明细!$S$2:$S$67),2)</f>
        <v>0.35</v>
      </c>
      <c r="H142" s="4">
        <f>ROUND(SUMIF(换算明细!$A$2:$A$67,$B142,换算明细!$W$2:$W$67)*66/SUMIF(换算明细!$A$2:$A$67,$B142,换算明细!$S$2:$S$67),2)</f>
        <v>7.12</v>
      </c>
      <c r="I142" s="4">
        <f>ROUND(SUMIF(换算明细!$A$2:$A$67,$B142,换算明细!$X$2:$X$67)*66/SUMIF(换算明细!$A$2:$A$67,$B142,换算明细!$S$2:$S$67),2)</f>
        <v>6.02</v>
      </c>
      <c r="J142" s="4">
        <f>ROUND(SUMIF(换算明细!$A$2:$A$67,$B142,换算明细!$Y$2:$Y$67)*66/SUMIF(换算明细!$A$2:$A$67,$B142,换算明细!$S$2:$S$67),2)</f>
        <v>2.33</v>
      </c>
      <c r="K142" s="4">
        <f>ROUND(SUMIF(换算明细!$A$2:$A$67,$B142,换算明细!$Z$2:$Z$67)*66/SUMIF(换算明细!$A$2:$A$67,$B142,换算明细!$S$2:$S$67),2)</f>
        <v>0.63</v>
      </c>
      <c r="L142" s="4">
        <f>ROUND(SUMIF(换算明细!$A$2:$A$67,$B142,换算明细!$AA$2:$AA$67)*66/SUMIF(换算明细!$A$2:$A$67,$B142,换算明细!$S$2:$S$67),2)</f>
        <v>0.76</v>
      </c>
      <c r="M142" s="4">
        <f>ROUND(SUMIF(换算明细!$A$2:$A$67,$B142,换算明细!$AB$2:$AB$67)*66/SUMIF(换算明细!$A$2:$A$67,$B142,换算明细!$S$2:$S$67),2)</f>
        <v>1.76</v>
      </c>
      <c r="N142" s="4">
        <f>ROUND(SUMIF(换算明细!$A$2:$A$67,$B142,换算明细!$AC$2:$AC$67)*66/SUMIF(换算明细!$A$2:$A$67,$B142,换算明细!$S$2:$S$67),2)</f>
        <v>0.06</v>
      </c>
      <c r="O142" s="4">
        <f>ROUND(SUMIF(换算明细!$A$2:$A$67,$B142,换算明细!$AD$2:$AD$67)*66/SUMIF(换算明细!$A$2:$A$67,$B142,换算明细!$S$2:$S$67),2)</f>
        <v>7.51</v>
      </c>
      <c r="P142" s="4">
        <f>ROUND(SUMIF(换算明细!$A$2:$A$67,$B142,换算明细!$AE$2:$AE$67)*66/SUMIF(换算明细!$A$2:$A$67,$B142,换算明细!$S$2:$S$67),2)</f>
        <v>6.95</v>
      </c>
      <c r="Q142" s="4">
        <f>ROUND(SUMIF(换算明细!$A$2:$A$67,$B142,换算明细!$AF$2:$AF$67)*66/SUMIF(换算明细!$A$2:$A$67,$B142,换算明细!$S$2:$S$67),2)</f>
        <v>1.27</v>
      </c>
      <c r="R142" s="5">
        <f>IFERROR(VLOOKUP($B142&amp;"|"&amp;$C142,测试原始数据!$A$2:$G$131,4,FALSE),"——")</f>
        <v>17.592499999999998</v>
      </c>
      <c r="S142" s="6">
        <f>IFERROR(VLOOKUP($B142&amp;"|"&amp;$C142,测试原始数据!$A$2:$G$131,5,FALSE),"——")</f>
        <v>50</v>
      </c>
      <c r="T142" s="6" t="str">
        <f>IFERROR(VLOOKUP($B142&amp;"|"&amp;$C142,[1]测试原始数据!$A$2:$G$131,6,FALSE),"——")</f>
        <v>——</v>
      </c>
    </row>
    <row r="143" spans="1:20" x14ac:dyDescent="0.35">
      <c r="A143" s="2">
        <v>142</v>
      </c>
      <c r="B143" s="2" t="s">
        <v>154</v>
      </c>
      <c r="C143" s="2" t="s">
        <v>46</v>
      </c>
      <c r="D143" s="4">
        <v>66</v>
      </c>
      <c r="E143" s="4">
        <f>ROUND(SUMIF(换算明细!$A$2:$A$67,$B143,换算明细!$T$2:$T$67)*66/SUMIF(换算明细!$A$2:$A$67,$B143,换算明细!$S$2:$S$67),2)</f>
        <v>0.38</v>
      </c>
      <c r="F143" s="4">
        <f>ROUND(SUMIF(换算明细!$A$2:$A$67,$B143,换算明细!$U$2:$U$67)*66/SUMIF(换算明细!$A$2:$A$67,$B143,换算明细!$S$2:$S$67),2)</f>
        <v>5.3</v>
      </c>
      <c r="G143" s="4">
        <f>ROUND(SUMIF(换算明细!$A$2:$A$67,$B143,换算明细!$V$2:$V$67)*66/SUMIF(换算明细!$A$2:$A$67,$B143,换算明细!$S$2:$S$67),2)</f>
        <v>0.35</v>
      </c>
      <c r="H143" s="4">
        <f>ROUND(SUMIF(换算明细!$A$2:$A$67,$B143,换算明细!$W$2:$W$67)*66/SUMIF(换算明细!$A$2:$A$67,$B143,换算明细!$S$2:$S$67),2)</f>
        <v>7.12</v>
      </c>
      <c r="I143" s="4">
        <f>ROUND(SUMIF(换算明细!$A$2:$A$67,$B143,换算明细!$X$2:$X$67)*66/SUMIF(换算明细!$A$2:$A$67,$B143,换算明细!$S$2:$S$67),2)</f>
        <v>6.02</v>
      </c>
      <c r="J143" s="4">
        <f>ROUND(SUMIF(换算明细!$A$2:$A$67,$B143,换算明细!$Y$2:$Y$67)*66/SUMIF(换算明细!$A$2:$A$67,$B143,换算明细!$S$2:$S$67),2)</f>
        <v>2.33</v>
      </c>
      <c r="K143" s="4">
        <f>ROUND(SUMIF(换算明细!$A$2:$A$67,$B143,换算明细!$Z$2:$Z$67)*66/SUMIF(换算明细!$A$2:$A$67,$B143,换算明细!$S$2:$S$67),2)</f>
        <v>0.63</v>
      </c>
      <c r="L143" s="4">
        <f>ROUND(SUMIF(换算明细!$A$2:$A$67,$B143,换算明细!$AA$2:$AA$67)*66/SUMIF(换算明细!$A$2:$A$67,$B143,换算明细!$S$2:$S$67),2)</f>
        <v>0.76</v>
      </c>
      <c r="M143" s="4">
        <f>ROUND(SUMIF(换算明细!$A$2:$A$67,$B143,换算明细!$AB$2:$AB$67)*66/SUMIF(换算明细!$A$2:$A$67,$B143,换算明细!$S$2:$S$67),2)</f>
        <v>1.76</v>
      </c>
      <c r="N143" s="4">
        <f>ROUND(SUMIF(换算明细!$A$2:$A$67,$B143,换算明细!$AC$2:$AC$67)*66/SUMIF(换算明细!$A$2:$A$67,$B143,换算明细!$S$2:$S$67),2)</f>
        <v>0.06</v>
      </c>
      <c r="O143" s="4">
        <f>ROUND(SUMIF(换算明细!$A$2:$A$67,$B143,换算明细!$AD$2:$AD$67)*66/SUMIF(换算明细!$A$2:$A$67,$B143,换算明细!$S$2:$S$67),2)</f>
        <v>7.51</v>
      </c>
      <c r="P143" s="4">
        <f>ROUND(SUMIF(换算明细!$A$2:$A$67,$B143,换算明细!$AE$2:$AE$67)*66/SUMIF(换算明细!$A$2:$A$67,$B143,换算明细!$S$2:$S$67),2)</f>
        <v>6.95</v>
      </c>
      <c r="Q143" s="4">
        <f>ROUND(SUMIF(换算明细!$A$2:$A$67,$B143,换算明细!$AF$2:$AF$67)*66/SUMIF(换算明细!$A$2:$A$67,$B143,换算明细!$S$2:$S$67),2)</f>
        <v>1.27</v>
      </c>
      <c r="R143" s="5">
        <f>IFERROR(VLOOKUP($B143&amp;"|"&amp;$C143,测试原始数据!$A$2:$G$131,4,FALSE),"——")</f>
        <v>17.759999999999998</v>
      </c>
      <c r="S143" s="6">
        <f>IFERROR(VLOOKUP($B143&amp;"|"&amp;$C143,测试原始数据!$A$2:$G$131,5,FALSE),"——")</f>
        <v>60</v>
      </c>
      <c r="T143" s="6" t="str">
        <f>IFERROR(VLOOKUP($B143&amp;"|"&amp;$C143,[1]测试原始数据!$A$2:$G$131,6,FALSE),"——")</f>
        <v>——</v>
      </c>
    </row>
    <row r="144" spans="1:20" x14ac:dyDescent="0.35">
      <c r="A144" s="2">
        <v>143</v>
      </c>
      <c r="B144" s="2" t="s">
        <v>155</v>
      </c>
      <c r="C144" s="2" t="s">
        <v>21</v>
      </c>
      <c r="D144" s="4">
        <v>66</v>
      </c>
      <c r="E144" s="4">
        <f>ROUND(SUMIF(换算明细!$A$2:$A$67,$B144,换算明细!$T$2:$T$67)*66/SUMIF(换算明细!$A$2:$A$67,$B144,换算明细!$S$2:$S$67),2)</f>
        <v>2.85</v>
      </c>
      <c r="F144" s="4">
        <f>ROUND(SUMIF(换算明细!$A$2:$A$67,$B144,换算明细!$U$2:$U$67)*66/SUMIF(换算明细!$A$2:$A$67,$B144,换算明细!$S$2:$S$67),2)</f>
        <v>8.7799999999999994</v>
      </c>
      <c r="G144" s="4">
        <f>ROUND(SUMIF(换算明细!$A$2:$A$67,$B144,换算明细!$V$2:$V$67)*66/SUMIF(换算明细!$A$2:$A$67,$B144,换算明细!$S$2:$S$67),2)</f>
        <v>0.69</v>
      </c>
      <c r="H144" s="4">
        <f>ROUND(SUMIF(换算明细!$A$2:$A$67,$B144,换算明细!$W$2:$W$67)*66/SUMIF(换算明细!$A$2:$A$67,$B144,换算明细!$S$2:$S$67),2)</f>
        <v>5.7</v>
      </c>
      <c r="I144" s="4">
        <f>ROUND(SUMIF(换算明细!$A$2:$A$67,$B144,换算明细!$X$2:$X$67)*66/SUMIF(换算明细!$A$2:$A$67,$B144,换算明细!$S$2:$S$67),2)</f>
        <v>0</v>
      </c>
      <c r="J144" s="4">
        <f>ROUND(SUMIF(换算明细!$A$2:$A$67,$B144,换算明细!$Y$2:$Y$67)*66/SUMIF(换算明细!$A$2:$A$67,$B144,换算明细!$S$2:$S$67),2)</f>
        <v>0</v>
      </c>
      <c r="K144" s="4">
        <f>ROUND(SUMIF(换算明细!$A$2:$A$67,$B144,换算明细!$Z$2:$Z$67)*66/SUMIF(换算明细!$A$2:$A$67,$B144,换算明细!$S$2:$S$67),2)</f>
        <v>1.69</v>
      </c>
      <c r="L144" s="4">
        <f>ROUND(SUMIF(换算明细!$A$2:$A$67,$B144,换算明细!$AA$2:$AA$67)*66/SUMIF(换算明细!$A$2:$A$67,$B144,换算明细!$S$2:$S$67),2)</f>
        <v>0</v>
      </c>
      <c r="M144" s="4">
        <f>ROUND(SUMIF(换算明细!$A$2:$A$67,$B144,换算明细!$AB$2:$AB$67)*66/SUMIF(换算明细!$A$2:$A$67,$B144,换算明细!$S$2:$S$67),2)</f>
        <v>1.59</v>
      </c>
      <c r="N144" s="4">
        <f>ROUND(SUMIF(换算明细!$A$2:$A$67,$B144,换算明细!$AC$2:$AC$67)*66/SUMIF(换算明细!$A$2:$A$67,$B144,换算明细!$S$2:$S$67),2)</f>
        <v>0.06</v>
      </c>
      <c r="O144" s="4">
        <f>ROUND(SUMIF(换算明细!$A$2:$A$67,$B144,换算明细!$AD$2:$AD$67)*66/SUMIF(换算明细!$A$2:$A$67,$B144,换算明细!$S$2:$S$67),2)</f>
        <v>4.49</v>
      </c>
      <c r="P144" s="4">
        <f>ROUND(SUMIF(换算明细!$A$2:$A$67,$B144,换算明细!$AE$2:$AE$67)*66/SUMIF(换算明细!$A$2:$A$67,$B144,换算明细!$S$2:$S$67),2)</f>
        <v>12.52</v>
      </c>
      <c r="Q144" s="4">
        <f>ROUND(SUMIF(换算明细!$A$2:$A$67,$B144,换算明细!$AF$2:$AF$67)*66/SUMIF(换算明细!$A$2:$A$67,$B144,换算明细!$S$2:$S$67),2)</f>
        <v>0.4</v>
      </c>
      <c r="R144" s="5" t="str">
        <f>IFERROR(VLOOKUP($B144&amp;"|"&amp;$C144,测试原始数据!$A$2:$G$131,4,FALSE),"——")</f>
        <v>——</v>
      </c>
      <c r="S144" s="6" t="str">
        <f>IFERROR(VLOOKUP($B144&amp;"|"&amp;$C144,测试原始数据!$A$2:$G$131,5,FALSE),"——")</f>
        <v>——</v>
      </c>
      <c r="T144" s="6" t="str">
        <f>IFERROR(VLOOKUP($B144&amp;"|"&amp;$C144,[1]测试原始数据!$A$2:$G$131,6,FALSE),"——")</f>
        <v>——</v>
      </c>
    </row>
    <row r="145" spans="1:20" x14ac:dyDescent="0.35">
      <c r="A145" s="2">
        <v>144</v>
      </c>
      <c r="B145" s="2" t="s">
        <v>156</v>
      </c>
      <c r="C145" s="2" t="s">
        <v>21</v>
      </c>
      <c r="D145" s="4">
        <v>66</v>
      </c>
      <c r="E145" s="4">
        <f>ROUND(SUMIF(换算明细!$A$2:$A$67,$B145,换算明细!$T$2:$T$67)*66/SUMIF(换算明细!$A$2:$A$67,$B145,换算明细!$S$2:$S$67),2)</f>
        <v>1.17</v>
      </c>
      <c r="F145" s="4">
        <f>ROUND(SUMIF(换算明细!$A$2:$A$67,$B145,换算明细!$U$2:$U$67)*66/SUMIF(换算明细!$A$2:$A$67,$B145,换算明细!$S$2:$S$67),2)</f>
        <v>10.86</v>
      </c>
      <c r="G145" s="4">
        <f>ROUND(SUMIF(换算明细!$A$2:$A$67,$B145,换算明细!$V$2:$V$67)*66/SUMIF(换算明细!$A$2:$A$67,$B145,换算明细!$S$2:$S$67),2)</f>
        <v>0.56999999999999995</v>
      </c>
      <c r="H145" s="4">
        <f>ROUND(SUMIF(换算明细!$A$2:$A$67,$B145,换算明细!$W$2:$W$67)*66/SUMIF(换算明细!$A$2:$A$67,$B145,换算明细!$S$2:$S$67),2)</f>
        <v>2.81</v>
      </c>
      <c r="I145" s="4">
        <f>ROUND(SUMIF(换算明细!$A$2:$A$67,$B145,换算明细!$X$2:$X$67)*66/SUMIF(换算明细!$A$2:$A$67,$B145,换算明细!$S$2:$S$67),2)</f>
        <v>3.96</v>
      </c>
      <c r="J145" s="4">
        <f>ROUND(SUMIF(换算明细!$A$2:$A$67,$B145,换算明细!$Y$2:$Y$67)*66/SUMIF(换算明细!$A$2:$A$67,$B145,换算明细!$S$2:$S$67),2)</f>
        <v>3.91</v>
      </c>
      <c r="K145" s="4">
        <f>ROUND(SUMIF(换算明细!$A$2:$A$67,$B145,换算明细!$Z$2:$Z$67)*66/SUMIF(换算明细!$A$2:$A$67,$B145,换算明细!$S$2:$S$67),2)</f>
        <v>1.84</v>
      </c>
      <c r="L145" s="4">
        <f>ROUND(SUMIF(换算明细!$A$2:$A$67,$B145,换算明细!$AA$2:$AA$67)*66/SUMIF(换算明细!$A$2:$A$67,$B145,换算明细!$S$2:$S$67),2)</f>
        <v>0</v>
      </c>
      <c r="M145" s="4">
        <f>ROUND(SUMIF(换算明细!$A$2:$A$67,$B145,换算明细!$AB$2:$AB$67)*66/SUMIF(换算明细!$A$2:$A$67,$B145,换算明细!$S$2:$S$67),2)</f>
        <v>1.59</v>
      </c>
      <c r="N145" s="4">
        <f>ROUND(SUMIF(换算明细!$A$2:$A$67,$B145,换算明细!$AC$2:$AC$67)*66/SUMIF(换算明细!$A$2:$A$67,$B145,换算明细!$S$2:$S$67),2)</f>
        <v>0.06</v>
      </c>
      <c r="O145" s="4">
        <f>ROUND(SUMIF(换算明细!$A$2:$A$67,$B145,换算明细!$AD$2:$AD$67)*66/SUMIF(换算明细!$A$2:$A$67,$B145,换算明细!$S$2:$S$67),2)</f>
        <v>6.98</v>
      </c>
      <c r="P145" s="4">
        <f>ROUND(SUMIF(换算明细!$A$2:$A$67,$B145,换算明细!$AE$2:$AE$67)*66/SUMIF(换算明细!$A$2:$A$67,$B145,换算明细!$S$2:$S$67),2)</f>
        <v>13.16</v>
      </c>
      <c r="Q145" s="4">
        <f>ROUND(SUMIF(换算明细!$A$2:$A$67,$B145,换算明细!$AF$2:$AF$67)*66/SUMIF(换算明细!$A$2:$A$67,$B145,换算明细!$S$2:$S$67),2)</f>
        <v>1.33</v>
      </c>
      <c r="R145" s="5" t="str">
        <f>IFERROR(VLOOKUP($B145&amp;"|"&amp;$C145,测试原始数据!$A$2:$G$131,4,FALSE),"——")</f>
        <v>——</v>
      </c>
      <c r="S145" s="6" t="str">
        <f>IFERROR(VLOOKUP($B145&amp;"|"&amp;$C145,测试原始数据!$A$2:$G$131,5,FALSE),"——")</f>
        <v>——</v>
      </c>
      <c r="T145" s="6" t="str">
        <f>IFERROR(VLOOKUP($B145&amp;"|"&amp;$C145,[1]测试原始数据!$A$2:$G$131,6,FALSE),"——")</f>
        <v>——</v>
      </c>
    </row>
    <row r="146" spans="1:20" x14ac:dyDescent="0.35">
      <c r="A146" s="2">
        <v>145</v>
      </c>
      <c r="B146" s="2" t="s">
        <v>157</v>
      </c>
      <c r="C146" s="2" t="s">
        <v>21</v>
      </c>
      <c r="D146" s="4">
        <v>66</v>
      </c>
      <c r="E146" s="4">
        <f>ROUND(SUMIF(换算明细!$A$2:$A$67,$B146,换算明细!$T$2:$T$67)*66/SUMIF(换算明细!$A$2:$A$67,$B146,换算明细!$S$2:$S$67),2)</f>
        <v>0.28000000000000003</v>
      </c>
      <c r="F146" s="4">
        <f>ROUND(SUMIF(换算明细!$A$2:$A$67,$B146,换算明细!$U$2:$U$67)*66/SUMIF(换算明细!$A$2:$A$67,$B146,换算明细!$S$2:$S$67),2)</f>
        <v>8.5299999999999994</v>
      </c>
      <c r="G146" s="4">
        <f>ROUND(SUMIF(换算明细!$A$2:$A$67,$B146,换算明细!$V$2:$V$67)*66/SUMIF(换算明细!$A$2:$A$67,$B146,换算明细!$S$2:$S$67),2)</f>
        <v>0.56000000000000005</v>
      </c>
      <c r="H146" s="4">
        <f>ROUND(SUMIF(换算明细!$A$2:$A$67,$B146,换算明细!$W$2:$W$67)*66/SUMIF(换算明细!$A$2:$A$67,$B146,换算明细!$S$2:$S$67),2)</f>
        <v>3.69</v>
      </c>
      <c r="I146" s="4">
        <f>ROUND(SUMIF(换算明细!$A$2:$A$67,$B146,换算明细!$X$2:$X$67)*66/SUMIF(换算明细!$A$2:$A$67,$B146,换算明细!$S$2:$S$67),2)</f>
        <v>4.28</v>
      </c>
      <c r="J146" s="4">
        <f>ROUND(SUMIF(换算明细!$A$2:$A$67,$B146,换算明细!$Y$2:$Y$67)*66/SUMIF(换算明细!$A$2:$A$67,$B146,换算明细!$S$2:$S$67),2)</f>
        <v>4.2300000000000004</v>
      </c>
      <c r="K146" s="4">
        <f>ROUND(SUMIF(换算明细!$A$2:$A$67,$B146,换算明细!$Z$2:$Z$67)*66/SUMIF(换算明细!$A$2:$A$67,$B146,换算明细!$S$2:$S$67),2)</f>
        <v>1.28</v>
      </c>
      <c r="L146" s="4">
        <f>ROUND(SUMIF(换算明细!$A$2:$A$67,$B146,换算明细!$AA$2:$AA$67)*66/SUMIF(换算明细!$A$2:$A$67,$B146,换算明细!$S$2:$S$67),2)</f>
        <v>0</v>
      </c>
      <c r="M146" s="4">
        <f>ROUND(SUMIF(换算明细!$A$2:$A$67,$B146,换算明细!$AB$2:$AB$67)*66/SUMIF(换算明细!$A$2:$A$67,$B146,换算明细!$S$2:$S$67),2)</f>
        <v>1.69</v>
      </c>
      <c r="N146" s="4">
        <f>ROUND(SUMIF(换算明细!$A$2:$A$67,$B146,换算明细!$AC$2:$AC$67)*66/SUMIF(换算明细!$A$2:$A$67,$B146,换算明细!$S$2:$S$67),2)</f>
        <v>0.06</v>
      </c>
      <c r="O146" s="4">
        <f>ROUND(SUMIF(换算明细!$A$2:$A$67,$B146,换算明细!$AD$2:$AD$67)*66/SUMIF(换算明细!$A$2:$A$67,$B146,换算明细!$S$2:$S$67),2)</f>
        <v>12.04</v>
      </c>
      <c r="P146" s="4">
        <f>ROUND(SUMIF(换算明细!$A$2:$A$67,$B146,换算明细!$AE$2:$AE$67)*66/SUMIF(换算明细!$A$2:$A$67,$B146,换算明细!$S$2:$S$67),2)</f>
        <v>3.62</v>
      </c>
      <c r="Q146" s="4">
        <f>ROUND(SUMIF(换算明细!$A$2:$A$67,$B146,换算明细!$AF$2:$AF$67)*66/SUMIF(换算明细!$A$2:$A$67,$B146,换算明细!$S$2:$S$67),2)</f>
        <v>2.67</v>
      </c>
      <c r="R146" s="5" t="str">
        <f>IFERROR(VLOOKUP($B146&amp;"|"&amp;$C146,测试原始数据!$A$2:$G$131,4,FALSE),"——")</f>
        <v>——</v>
      </c>
      <c r="S146" s="6" t="str">
        <f>IFERROR(VLOOKUP($B146&amp;"|"&amp;$C146,测试原始数据!$A$2:$G$131,5,FALSE),"——")</f>
        <v>——</v>
      </c>
      <c r="T146" s="6" t="str">
        <f>IFERROR(VLOOKUP($B146&amp;"|"&amp;$C146,[1]测试原始数据!$A$2:$G$131,6,FALSE),"——")</f>
        <v>——</v>
      </c>
    </row>
    <row r="147" spans="1:20" x14ac:dyDescent="0.35">
      <c r="A147" s="2">
        <v>146</v>
      </c>
      <c r="B147" s="2" t="s">
        <v>158</v>
      </c>
      <c r="C147" s="2" t="s">
        <v>21</v>
      </c>
      <c r="D147" s="4">
        <v>66</v>
      </c>
      <c r="E147" s="4">
        <f>ROUND(SUMIF(换算明细!$A$2:$A$67,$B147,换算明细!$T$2:$T$67)*66/SUMIF(换算明细!$A$2:$A$67,$B147,换算明细!$S$2:$S$67),2)</f>
        <v>0.61</v>
      </c>
      <c r="F147" s="4">
        <f>ROUND(SUMIF(换算明细!$A$2:$A$67,$B147,换算明细!$U$2:$U$67)*66/SUMIF(换算明细!$A$2:$A$67,$B147,换算明细!$S$2:$S$67),2)</f>
        <v>11.57</v>
      </c>
      <c r="G147" s="4">
        <f>ROUND(SUMIF(换算明细!$A$2:$A$67,$B147,换算明细!$V$2:$V$67)*66/SUMIF(换算明细!$A$2:$A$67,$B147,换算明细!$S$2:$S$67),2)</f>
        <v>0.35</v>
      </c>
      <c r="H147" s="4">
        <f>ROUND(SUMIF(换算明细!$A$2:$A$67,$B147,换算明细!$W$2:$W$67)*66/SUMIF(换算明细!$A$2:$A$67,$B147,换算明细!$S$2:$S$67),2)</f>
        <v>4.87</v>
      </c>
      <c r="I147" s="4">
        <f>ROUND(SUMIF(换算明细!$A$2:$A$67,$B147,换算明细!$X$2:$X$67)*66/SUMIF(换算明细!$A$2:$A$67,$B147,换算明细!$S$2:$S$67),2)</f>
        <v>0</v>
      </c>
      <c r="J147" s="4">
        <f>ROUND(SUMIF(换算明细!$A$2:$A$67,$B147,换算明细!$Y$2:$Y$67)*66/SUMIF(换算明细!$A$2:$A$67,$B147,换算明细!$S$2:$S$67),2)</f>
        <v>0.21</v>
      </c>
      <c r="K147" s="4">
        <f>ROUND(SUMIF(换算明细!$A$2:$A$67,$B147,换算明细!$Z$2:$Z$67)*66/SUMIF(换算明细!$A$2:$A$67,$B147,换算明细!$S$2:$S$67),2)</f>
        <v>1.38</v>
      </c>
      <c r="L147" s="4">
        <f>ROUND(SUMIF(换算明细!$A$2:$A$67,$B147,换算明细!$AA$2:$AA$67)*66/SUMIF(换算明细!$A$2:$A$67,$B147,换算明细!$S$2:$S$67),2)</f>
        <v>0</v>
      </c>
      <c r="M147" s="4">
        <f>ROUND(SUMIF(换算明细!$A$2:$A$67,$B147,换算明细!$AB$2:$AB$67)*66/SUMIF(换算明细!$A$2:$A$67,$B147,换算明细!$S$2:$S$67),2)</f>
        <v>1.91</v>
      </c>
      <c r="N147" s="4">
        <f>ROUND(SUMIF(换算明细!$A$2:$A$67,$B147,换算明细!$AC$2:$AC$67)*66/SUMIF(换算明细!$A$2:$A$67,$B147,换算明细!$S$2:$S$67),2)</f>
        <v>0.06</v>
      </c>
      <c r="O147" s="4">
        <f>ROUND(SUMIF(换算明细!$A$2:$A$67,$B147,换算明细!$AD$2:$AD$67)*66/SUMIF(换算明细!$A$2:$A$67,$B147,换算明细!$S$2:$S$67),2)</f>
        <v>11.55</v>
      </c>
      <c r="P147" s="4">
        <f>ROUND(SUMIF(换算明细!$A$2:$A$67,$B147,换算明细!$AE$2:$AE$67)*66/SUMIF(换算明细!$A$2:$A$67,$B147,换算明细!$S$2:$S$67),2)</f>
        <v>3.81</v>
      </c>
      <c r="Q147" s="4">
        <f>ROUND(SUMIF(换算明细!$A$2:$A$67,$B147,换算明细!$AF$2:$AF$67)*66/SUMIF(换算明细!$A$2:$A$67,$B147,换算明细!$S$2:$S$67),2)</f>
        <v>1.34</v>
      </c>
      <c r="R147" s="5" t="str">
        <f>IFERROR(VLOOKUP($B147&amp;"|"&amp;$C147,测试原始数据!$A$2:$G$131,4,FALSE),"——")</f>
        <v>——</v>
      </c>
      <c r="S147" s="6" t="str">
        <f>IFERROR(VLOOKUP($B147&amp;"|"&amp;$C147,测试原始数据!$A$2:$G$131,5,FALSE),"——")</f>
        <v>——</v>
      </c>
      <c r="T147" s="6" t="str">
        <f>IFERROR(VLOOKUP($B147&amp;"|"&amp;$C147,[1]测试原始数据!$A$2:$G$131,6,FALSE),"——")</f>
        <v>——</v>
      </c>
    </row>
    <row r="148" spans="1:20" x14ac:dyDescent="0.35">
      <c r="A148" s="2">
        <v>147</v>
      </c>
      <c r="B148" s="2" t="s">
        <v>159</v>
      </c>
      <c r="C148" s="2" t="s">
        <v>21</v>
      </c>
      <c r="D148" s="4">
        <v>66</v>
      </c>
      <c r="E148" s="4">
        <f>ROUND(SUMIF(换算明细!$A$2:$A$67,$B148,换算明细!$T$2:$T$67)*66/SUMIF(换算明细!$A$2:$A$67,$B148,换算明细!$S$2:$S$67),2)</f>
        <v>1.65</v>
      </c>
      <c r="F148" s="4">
        <f>ROUND(SUMIF(换算明细!$A$2:$A$67,$B148,换算明细!$U$2:$U$67)*66/SUMIF(换算明细!$A$2:$A$67,$B148,换算明细!$S$2:$S$67),2)</f>
        <v>14.08</v>
      </c>
      <c r="G148" s="4">
        <f>ROUND(SUMIF(换算明细!$A$2:$A$67,$B148,换算明细!$V$2:$V$67)*66/SUMIF(换算明细!$A$2:$A$67,$B148,换算明细!$S$2:$S$67),2)</f>
        <v>0.19</v>
      </c>
      <c r="H148" s="4">
        <f>ROUND(SUMIF(换算明细!$A$2:$A$67,$B148,换算明细!$W$2:$W$67)*66/SUMIF(换算明细!$A$2:$A$67,$B148,换算明细!$S$2:$S$67),2)</f>
        <v>1.01</v>
      </c>
      <c r="I148" s="4">
        <f>ROUND(SUMIF(换算明细!$A$2:$A$67,$B148,换算明细!$X$2:$X$67)*66/SUMIF(换算明细!$A$2:$A$67,$B148,换算明细!$S$2:$S$67),2)</f>
        <v>2.42</v>
      </c>
      <c r="J148" s="4">
        <f>ROUND(SUMIF(换算明细!$A$2:$A$67,$B148,换算明细!$Y$2:$Y$67)*66/SUMIF(换算明细!$A$2:$A$67,$B148,换算明细!$S$2:$S$67),2)</f>
        <v>0.25</v>
      </c>
      <c r="K148" s="4">
        <f>ROUND(SUMIF(换算明细!$A$2:$A$67,$B148,换算明细!$Z$2:$Z$67)*66/SUMIF(换算明细!$A$2:$A$67,$B148,换算明细!$S$2:$S$67),2)</f>
        <v>0</v>
      </c>
      <c r="L148" s="4">
        <f>ROUND(SUMIF(换算明细!$A$2:$A$67,$B148,换算明细!$AA$2:$AA$67)*66/SUMIF(换算明细!$A$2:$A$67,$B148,换算明细!$S$2:$S$67),2)</f>
        <v>0.64</v>
      </c>
      <c r="M148" s="4">
        <f>ROUND(SUMIF(换算明细!$A$2:$A$67,$B148,换算明细!$AB$2:$AB$67)*66/SUMIF(换算明细!$A$2:$A$67,$B148,换算明细!$S$2:$S$67),2)</f>
        <v>1.84</v>
      </c>
      <c r="N148" s="4">
        <f>ROUND(SUMIF(换算明细!$A$2:$A$67,$B148,换算明细!$AC$2:$AC$67)*66/SUMIF(换算明细!$A$2:$A$67,$B148,换算明细!$S$2:$S$67),2)</f>
        <v>0.06</v>
      </c>
      <c r="O148" s="4">
        <f>ROUND(SUMIF(换算明细!$A$2:$A$67,$B148,换算明细!$AD$2:$AD$67)*66/SUMIF(换算明细!$A$2:$A$67,$B148,换算明细!$S$2:$S$67),2)</f>
        <v>7.99</v>
      </c>
      <c r="P148" s="4">
        <f>ROUND(SUMIF(换算明细!$A$2:$A$67,$B148,换算明细!$AE$2:$AE$67)*66/SUMIF(换算明细!$A$2:$A$67,$B148,换算明细!$S$2:$S$67),2)</f>
        <v>10.119999999999999</v>
      </c>
      <c r="Q148" s="4">
        <f>ROUND(SUMIF(换算明细!$A$2:$A$67,$B148,换算明细!$AF$2:$AF$67)*66/SUMIF(换算明细!$A$2:$A$67,$B148,换算明细!$S$2:$S$67),2)</f>
        <v>1.17</v>
      </c>
      <c r="R148" s="5" t="str">
        <f>IFERROR(VLOOKUP($B148&amp;"|"&amp;$C148,测试原始数据!$A$2:$G$131,4,FALSE),"——")</f>
        <v>——</v>
      </c>
      <c r="S148" s="6" t="str">
        <f>IFERROR(VLOOKUP($B148&amp;"|"&amp;$C148,测试原始数据!$A$2:$G$131,5,FALSE),"——")</f>
        <v>——</v>
      </c>
      <c r="T148" s="6" t="str">
        <f>IFERROR(VLOOKUP($B148&amp;"|"&amp;$C148,[1]测试原始数据!$A$2:$G$131,6,FALSE),"——")</f>
        <v>——</v>
      </c>
    </row>
    <row r="149" spans="1:20" x14ac:dyDescent="0.35">
      <c r="A149" s="2">
        <v>148</v>
      </c>
      <c r="B149" s="2" t="s">
        <v>160</v>
      </c>
      <c r="C149" s="2" t="s">
        <v>21</v>
      </c>
      <c r="D149" s="4">
        <v>66</v>
      </c>
      <c r="E149" s="4">
        <f>ROUND(SUMIF(换算明细!$A$2:$A$67,$B149,换算明细!$T$2:$T$67)*66/SUMIF(换算明细!$A$2:$A$67,$B149,换算明细!$S$2:$S$67),2)</f>
        <v>1.66</v>
      </c>
      <c r="F149" s="4">
        <f>ROUND(SUMIF(换算明细!$A$2:$A$67,$B149,换算明细!$U$2:$U$67)*66/SUMIF(换算明细!$A$2:$A$67,$B149,换算明细!$S$2:$S$67),2)</f>
        <v>13.26</v>
      </c>
      <c r="G149" s="4">
        <f>ROUND(SUMIF(换算明细!$A$2:$A$67,$B149,换算明细!$V$2:$V$67)*66/SUMIF(换算明细!$A$2:$A$67,$B149,换算明细!$S$2:$S$67),2)</f>
        <v>0.34</v>
      </c>
      <c r="H149" s="4">
        <f>ROUND(SUMIF(换算明细!$A$2:$A$67,$B149,换算明细!$W$2:$W$67)*66/SUMIF(换算明细!$A$2:$A$67,$B149,换算明细!$S$2:$S$67),2)</f>
        <v>0</v>
      </c>
      <c r="I149" s="4">
        <f>ROUND(SUMIF(换算明细!$A$2:$A$67,$B149,换算明细!$X$2:$X$67)*66/SUMIF(换算明细!$A$2:$A$67,$B149,换算明细!$S$2:$S$67),2)</f>
        <v>4.8899999999999997</v>
      </c>
      <c r="J149" s="4">
        <f>ROUND(SUMIF(换算明细!$A$2:$A$67,$B149,换算明细!$Y$2:$Y$67)*66/SUMIF(换算明细!$A$2:$A$67,$B149,换算明细!$S$2:$S$67),2)</f>
        <v>2.46</v>
      </c>
      <c r="K149" s="4">
        <f>ROUND(SUMIF(换算明细!$A$2:$A$67,$B149,换算明细!$Z$2:$Z$67)*66/SUMIF(换算明细!$A$2:$A$67,$B149,换算明细!$S$2:$S$67),2)</f>
        <v>0</v>
      </c>
      <c r="L149" s="4">
        <f>ROUND(SUMIF(换算明细!$A$2:$A$67,$B149,换算明细!$AA$2:$AA$67)*66/SUMIF(换算明细!$A$2:$A$67,$B149,换算明细!$S$2:$S$67),2)</f>
        <v>0.82</v>
      </c>
      <c r="M149" s="4">
        <f>ROUND(SUMIF(换算明细!$A$2:$A$67,$B149,换算明细!$AB$2:$AB$67)*66/SUMIF(换算明细!$A$2:$A$67,$B149,换算明细!$S$2:$S$67),2)</f>
        <v>1.47</v>
      </c>
      <c r="N149" s="4">
        <f>ROUND(SUMIF(换算明细!$A$2:$A$67,$B149,换算明细!$AC$2:$AC$67)*66/SUMIF(换算明细!$A$2:$A$67,$B149,换算明细!$S$2:$S$67),2)</f>
        <v>0.06</v>
      </c>
      <c r="O149" s="4">
        <f>ROUND(SUMIF(换算明细!$A$2:$A$67,$B149,换算明细!$AD$2:$AD$67)*66/SUMIF(换算明细!$A$2:$A$67,$B149,换算明细!$S$2:$S$67),2)</f>
        <v>2.79</v>
      </c>
      <c r="P149" s="4">
        <f>ROUND(SUMIF(换算明细!$A$2:$A$67,$B149,换算明细!$AE$2:$AE$67)*66/SUMIF(换算明细!$A$2:$A$67,$B149,换算明细!$S$2:$S$67),2)</f>
        <v>17.38</v>
      </c>
      <c r="Q149" s="4">
        <f>ROUND(SUMIF(换算明细!$A$2:$A$67,$B149,换算明细!$AF$2:$AF$67)*66/SUMIF(换算明细!$A$2:$A$67,$B149,换算明细!$S$2:$S$67),2)</f>
        <v>1.5</v>
      </c>
      <c r="R149" s="5" t="str">
        <f>IFERROR(VLOOKUP($B149&amp;"|"&amp;$C149,测试原始数据!$A$2:$G$131,4,FALSE),"——")</f>
        <v>——</v>
      </c>
      <c r="S149" s="6" t="str">
        <f>IFERROR(VLOOKUP($B149&amp;"|"&amp;$C149,测试原始数据!$A$2:$G$131,5,FALSE),"——")</f>
        <v>——</v>
      </c>
      <c r="T149" s="6" t="str">
        <f>IFERROR(VLOOKUP($B149&amp;"|"&amp;$C149,[1]测试原始数据!$A$2:$G$131,6,FALSE),"——")</f>
        <v>——</v>
      </c>
    </row>
    <row r="150" spans="1:20" x14ac:dyDescent="0.35">
      <c r="A150" s="2">
        <v>149</v>
      </c>
      <c r="B150" s="2" t="s">
        <v>161</v>
      </c>
      <c r="C150" s="2" t="s">
        <v>21</v>
      </c>
      <c r="D150" s="4">
        <v>66</v>
      </c>
      <c r="E150" s="4">
        <f>ROUND(SUMIF(换算明细!$A$2:$A$67,$B150,换算明细!$T$2:$T$67)*66/SUMIF(换算明细!$A$2:$A$67,$B150,换算明细!$S$2:$S$67),2)</f>
        <v>0.52</v>
      </c>
      <c r="F150" s="4">
        <f>ROUND(SUMIF(换算明细!$A$2:$A$67,$B150,换算明细!$U$2:$U$67)*66/SUMIF(换算明细!$A$2:$A$67,$B150,换算明细!$S$2:$S$67),2)</f>
        <v>9.6199999999999992</v>
      </c>
      <c r="G150" s="4">
        <f>ROUND(SUMIF(换算明细!$A$2:$A$67,$B150,换算明细!$V$2:$V$67)*66/SUMIF(换算明细!$A$2:$A$67,$B150,换算明细!$S$2:$S$67),2)</f>
        <v>0.24</v>
      </c>
      <c r="H150" s="4">
        <f>ROUND(SUMIF(换算明细!$A$2:$A$67,$B150,换算明细!$W$2:$W$67)*66/SUMIF(换算明细!$A$2:$A$67,$B150,换算明细!$S$2:$S$67),2)</f>
        <v>0</v>
      </c>
      <c r="I150" s="4">
        <f>ROUND(SUMIF(换算明细!$A$2:$A$67,$B150,换算明细!$X$2:$X$67)*66/SUMIF(换算明细!$A$2:$A$67,$B150,换算明细!$S$2:$S$67),2)</f>
        <v>1.73</v>
      </c>
      <c r="J150" s="4">
        <f>ROUND(SUMIF(换算明细!$A$2:$A$67,$B150,换算明细!$Y$2:$Y$67)*66/SUMIF(换算明细!$A$2:$A$67,$B150,换算明细!$S$2:$S$67),2)</f>
        <v>2.36</v>
      </c>
      <c r="K150" s="4">
        <f>ROUND(SUMIF(换算明细!$A$2:$A$67,$B150,换算明细!$Z$2:$Z$67)*66/SUMIF(换算明细!$A$2:$A$67,$B150,换算明细!$S$2:$S$67),2)</f>
        <v>2.95</v>
      </c>
      <c r="L150" s="4">
        <f>ROUND(SUMIF(换算明细!$A$2:$A$67,$B150,换算明细!$AA$2:$AA$67)*66/SUMIF(换算明细!$A$2:$A$67,$B150,换算明细!$S$2:$S$67),2)</f>
        <v>0</v>
      </c>
      <c r="M150" s="4">
        <f>ROUND(SUMIF(换算明细!$A$2:$A$67,$B150,换算明细!$AB$2:$AB$67)*66/SUMIF(换算明细!$A$2:$A$67,$B150,换算明细!$S$2:$S$67),2)</f>
        <v>1.41</v>
      </c>
      <c r="N150" s="4">
        <f>ROUND(SUMIF(换算明细!$A$2:$A$67,$B150,换算明细!$AC$2:$AC$67)*66/SUMIF(换算明细!$A$2:$A$67,$B150,换算明细!$S$2:$S$67),2)</f>
        <v>0.06</v>
      </c>
      <c r="O150" s="4">
        <f>ROUND(SUMIF(换算明细!$A$2:$A$67,$B150,换算明细!$AD$2:$AD$67)*66/SUMIF(换算明细!$A$2:$A$67,$B150,换算明细!$S$2:$S$67),2)</f>
        <v>3.76</v>
      </c>
      <c r="P150" s="4">
        <f>ROUND(SUMIF(换算明细!$A$2:$A$67,$B150,换算明细!$AE$2:$AE$67)*66/SUMIF(换算明细!$A$2:$A$67,$B150,换算明细!$S$2:$S$67),2)</f>
        <v>10.86</v>
      </c>
      <c r="Q150" s="4">
        <f>ROUND(SUMIF(换算明细!$A$2:$A$67,$B150,换算明细!$AF$2:$AF$67)*66/SUMIF(换算明细!$A$2:$A$67,$B150,换算明细!$S$2:$S$67),2)</f>
        <v>0</v>
      </c>
      <c r="R150" s="5" t="str">
        <f>IFERROR(VLOOKUP($B150&amp;"|"&amp;$C150,测试原始数据!$A$2:$G$131,4,FALSE),"——")</f>
        <v>——</v>
      </c>
      <c r="S150" s="6" t="str">
        <f>IFERROR(VLOOKUP($B150&amp;"|"&amp;$C150,测试原始数据!$A$2:$G$131,5,FALSE),"——")</f>
        <v>——</v>
      </c>
      <c r="T150" s="6" t="str">
        <f>IFERROR(VLOOKUP($B150&amp;"|"&amp;$C150,[1]测试原始数据!$A$2:$G$131,6,FALSE),"——")</f>
        <v>——</v>
      </c>
    </row>
    <row r="151" spans="1:20" x14ac:dyDescent="0.35">
      <c r="A151" s="2">
        <v>150</v>
      </c>
      <c r="B151" s="2" t="s">
        <v>162</v>
      </c>
      <c r="C151" s="2" t="s">
        <v>21</v>
      </c>
      <c r="D151" s="4">
        <v>66</v>
      </c>
      <c r="E151" s="4">
        <f>ROUND(SUMIF(换算明细!$A$2:$A$67,$B151,换算明细!$T$2:$T$67)*66/SUMIF(换算明细!$A$2:$A$67,$B151,换算明细!$S$2:$S$67),2)</f>
        <v>1.8</v>
      </c>
      <c r="F151" s="4">
        <f>ROUND(SUMIF(换算明细!$A$2:$A$67,$B151,换算明细!$U$2:$U$67)*66/SUMIF(换算明细!$A$2:$A$67,$B151,换算明细!$S$2:$S$67),2)</f>
        <v>6.61</v>
      </c>
      <c r="G151" s="4">
        <f>ROUND(SUMIF(换算明细!$A$2:$A$67,$B151,换算明细!$V$2:$V$67)*66/SUMIF(换算明细!$A$2:$A$67,$B151,换算明细!$S$2:$S$67),2)</f>
        <v>0.43</v>
      </c>
      <c r="H151" s="4">
        <f>ROUND(SUMIF(换算明细!$A$2:$A$67,$B151,换算明细!$W$2:$W$67)*66/SUMIF(换算明细!$A$2:$A$67,$B151,换算明细!$S$2:$S$67),2)</f>
        <v>2.25</v>
      </c>
      <c r="I151" s="4">
        <f>ROUND(SUMIF(换算明细!$A$2:$A$67,$B151,换算明细!$X$2:$X$67)*66/SUMIF(换算明细!$A$2:$A$67,$B151,换算明细!$S$2:$S$67),2)</f>
        <v>0</v>
      </c>
      <c r="J151" s="4">
        <f>ROUND(SUMIF(换算明细!$A$2:$A$67,$B151,换算明细!$Y$2:$Y$67)*66/SUMIF(换算明细!$A$2:$A$67,$B151,换算明细!$S$2:$S$67),2)</f>
        <v>0</v>
      </c>
      <c r="K151" s="4">
        <f>ROUND(SUMIF(换算明细!$A$2:$A$67,$B151,换算明细!$Z$2:$Z$67)*66/SUMIF(换算明细!$A$2:$A$67,$B151,换算明细!$S$2:$S$67),2)</f>
        <v>3.41</v>
      </c>
      <c r="L151" s="4">
        <f>ROUND(SUMIF(换算明细!$A$2:$A$67,$B151,换算明细!$AA$2:$AA$67)*66/SUMIF(换算明细!$A$2:$A$67,$B151,换算明细!$S$2:$S$67),2)</f>
        <v>0</v>
      </c>
      <c r="M151" s="4">
        <f>ROUND(SUMIF(换算明细!$A$2:$A$67,$B151,换算明细!$AB$2:$AB$67)*66/SUMIF(换算明细!$A$2:$A$67,$B151,换算明细!$S$2:$S$67),2)</f>
        <v>1.27</v>
      </c>
      <c r="N151" s="4">
        <f>ROUND(SUMIF(换算明细!$A$2:$A$67,$B151,换算明细!$AC$2:$AC$67)*66/SUMIF(换算明细!$A$2:$A$67,$B151,换算明细!$S$2:$S$67),2)</f>
        <v>0.06</v>
      </c>
      <c r="O151" s="4">
        <f>ROUND(SUMIF(换算明细!$A$2:$A$67,$B151,换算明细!$AD$2:$AD$67)*66/SUMIF(换算明细!$A$2:$A$67,$B151,换算明细!$S$2:$S$67),2)</f>
        <v>6.06</v>
      </c>
      <c r="P151" s="4">
        <f>ROUND(SUMIF(换算明细!$A$2:$A$67,$B151,换算明细!$AE$2:$AE$67)*66/SUMIF(换算明细!$A$2:$A$67,$B151,换算明细!$S$2:$S$67),2)</f>
        <v>6.03</v>
      </c>
      <c r="Q151" s="4">
        <f>ROUND(SUMIF(换算明细!$A$2:$A$67,$B151,换算明细!$AF$2:$AF$67)*66/SUMIF(换算明细!$A$2:$A$67,$B151,换算明细!$S$2:$S$67),2)</f>
        <v>0.25</v>
      </c>
      <c r="R151" s="5" t="str">
        <f>IFERROR(VLOOKUP($B151&amp;"|"&amp;$C151,测试原始数据!$A$2:$G$131,4,FALSE),"——")</f>
        <v>——</v>
      </c>
      <c r="S151" s="6" t="str">
        <f>IFERROR(VLOOKUP($B151&amp;"|"&amp;$C151,测试原始数据!$A$2:$G$131,5,FALSE),"——")</f>
        <v>——</v>
      </c>
      <c r="T151" s="6" t="str">
        <f>IFERROR(VLOOKUP($B151&amp;"|"&amp;$C151,[1]测试原始数据!$A$2:$G$131,6,FALSE),"——")</f>
        <v>——</v>
      </c>
    </row>
    <row r="152" spans="1:20" x14ac:dyDescent="0.35">
      <c r="A152" s="2">
        <v>151</v>
      </c>
      <c r="B152" s="2" t="s">
        <v>337</v>
      </c>
      <c r="C152" s="2" t="s">
        <v>338</v>
      </c>
      <c r="D152" s="4">
        <v>66.11</v>
      </c>
      <c r="E152" s="4">
        <v>1.66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1.98</v>
      </c>
      <c r="N152" s="4">
        <v>0.06</v>
      </c>
      <c r="O152" s="4">
        <v>0</v>
      </c>
      <c r="P152" s="4">
        <v>0.63</v>
      </c>
      <c r="Q152" s="4">
        <v>0.5</v>
      </c>
      <c r="R152" s="5">
        <v>13.45</v>
      </c>
      <c r="S152" s="6">
        <v>37</v>
      </c>
      <c r="T152" s="6">
        <v>4</v>
      </c>
    </row>
    <row r="153" spans="1:20" x14ac:dyDescent="0.35">
      <c r="A153" s="2">
        <v>152</v>
      </c>
      <c r="B153" s="2" t="s">
        <v>339</v>
      </c>
      <c r="C153" s="2" t="s">
        <v>338</v>
      </c>
      <c r="D153" s="4">
        <v>65.87</v>
      </c>
      <c r="E153" s="4">
        <v>4.95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1.99</v>
      </c>
      <c r="N153" s="4">
        <v>0.06</v>
      </c>
      <c r="O153" s="4">
        <v>0</v>
      </c>
      <c r="P153" s="4">
        <v>3.95</v>
      </c>
      <c r="Q153" s="4">
        <v>0.5</v>
      </c>
      <c r="R153" s="5">
        <v>16.195</v>
      </c>
      <c r="S153" s="6">
        <v>45</v>
      </c>
      <c r="T153" s="6">
        <v>2</v>
      </c>
    </row>
    <row r="154" spans="1:20" x14ac:dyDescent="0.35">
      <c r="A154" s="2">
        <v>153</v>
      </c>
      <c r="B154" s="2" t="s">
        <v>340</v>
      </c>
      <c r="C154" s="2" t="s">
        <v>21</v>
      </c>
      <c r="D154" s="4">
        <v>66.09</v>
      </c>
      <c r="E154" s="4">
        <v>9.9600000000000009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1.99</v>
      </c>
      <c r="N154" s="4">
        <v>0.06</v>
      </c>
      <c r="O154" s="4">
        <v>0</v>
      </c>
      <c r="P154" s="4">
        <v>8.8699999999999992</v>
      </c>
      <c r="Q154" s="4">
        <v>0.56000000000000005</v>
      </c>
      <c r="R154" s="5">
        <v>19.850000000000001</v>
      </c>
      <c r="S154" s="6">
        <v>89</v>
      </c>
      <c r="T154" s="6">
        <v>2</v>
      </c>
    </row>
    <row r="155" spans="1:20" x14ac:dyDescent="0.35">
      <c r="A155" s="2">
        <v>154</v>
      </c>
      <c r="B155" s="2" t="s">
        <v>341</v>
      </c>
      <c r="C155" s="2" t="s">
        <v>21</v>
      </c>
      <c r="D155" s="4">
        <v>65.94</v>
      </c>
      <c r="E155" s="4">
        <v>16.47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2.0099999999999998</v>
      </c>
      <c r="N155" s="4">
        <v>0.06</v>
      </c>
      <c r="O155" s="4">
        <v>0</v>
      </c>
      <c r="P155" s="4">
        <v>15.49</v>
      </c>
      <c r="Q155" s="4">
        <v>0.51</v>
      </c>
      <c r="R155" s="5">
        <v>21.560000000000002</v>
      </c>
      <c r="S155" s="6" t="s">
        <v>342</v>
      </c>
      <c r="T155" s="6">
        <v>2</v>
      </c>
    </row>
    <row r="156" spans="1:20" x14ac:dyDescent="0.35">
      <c r="A156" s="2">
        <v>155</v>
      </c>
      <c r="B156" s="2" t="s">
        <v>343</v>
      </c>
      <c r="C156" s="2" t="s">
        <v>21</v>
      </c>
      <c r="D156" s="4">
        <v>65.94</v>
      </c>
      <c r="E156" s="4">
        <v>0</v>
      </c>
      <c r="F156" s="4">
        <v>1.64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2.0299999999999998</v>
      </c>
      <c r="N156" s="4">
        <v>0.06</v>
      </c>
      <c r="O156" s="4">
        <v>0</v>
      </c>
      <c r="P156" s="4">
        <v>0.65</v>
      </c>
      <c r="Q156" s="4">
        <v>0.56000000000000005</v>
      </c>
      <c r="R156" s="5">
        <v>15.830000000000002</v>
      </c>
      <c r="S156" s="6">
        <v>4</v>
      </c>
      <c r="T156" s="6" t="s">
        <v>344</v>
      </c>
    </row>
    <row r="157" spans="1:20" x14ac:dyDescent="0.35">
      <c r="A157" s="2">
        <v>156</v>
      </c>
      <c r="B157" s="2" t="s">
        <v>345</v>
      </c>
      <c r="C157" s="2" t="s">
        <v>21</v>
      </c>
      <c r="D157" s="4">
        <v>65.95</v>
      </c>
      <c r="E157" s="4">
        <v>0</v>
      </c>
      <c r="F157" s="4">
        <v>5.0199999999999996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2.11</v>
      </c>
      <c r="N157" s="4">
        <v>0.06</v>
      </c>
      <c r="O157" s="4">
        <v>0</v>
      </c>
      <c r="P157" s="4">
        <v>3.91</v>
      </c>
      <c r="Q157" s="4">
        <v>0.52</v>
      </c>
      <c r="R157" s="5">
        <v>13.765000000000001</v>
      </c>
      <c r="S157" s="6">
        <v>55</v>
      </c>
      <c r="T157" s="6">
        <v>2</v>
      </c>
    </row>
    <row r="158" spans="1:20" x14ac:dyDescent="0.35">
      <c r="A158" s="2">
        <v>157</v>
      </c>
      <c r="B158" s="2" t="s">
        <v>346</v>
      </c>
      <c r="C158" s="2" t="s">
        <v>21</v>
      </c>
      <c r="D158" s="4">
        <v>65.87</v>
      </c>
      <c r="E158" s="4">
        <v>0</v>
      </c>
      <c r="F158" s="4">
        <v>9.91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2</v>
      </c>
      <c r="N158" s="4">
        <v>0.06</v>
      </c>
      <c r="O158" s="4">
        <v>0</v>
      </c>
      <c r="P158" s="4">
        <v>8.89</v>
      </c>
      <c r="Q158" s="4">
        <v>0.52</v>
      </c>
      <c r="R158" s="5">
        <v>14.98</v>
      </c>
      <c r="S158" s="6">
        <v>60</v>
      </c>
      <c r="T158" s="6">
        <v>2</v>
      </c>
    </row>
    <row r="159" spans="1:20" x14ac:dyDescent="0.35">
      <c r="A159" s="2">
        <v>158</v>
      </c>
      <c r="B159" s="2" t="s">
        <v>347</v>
      </c>
      <c r="C159" s="2" t="s">
        <v>21</v>
      </c>
      <c r="D159" s="4">
        <v>65.989999999999995</v>
      </c>
      <c r="E159" s="4">
        <v>0</v>
      </c>
      <c r="F159" s="4">
        <v>16.48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1.98</v>
      </c>
      <c r="N159" s="4">
        <v>0.06</v>
      </c>
      <c r="O159" s="4">
        <v>0</v>
      </c>
      <c r="P159" s="4">
        <v>15.48</v>
      </c>
      <c r="Q159" s="4">
        <v>0.51</v>
      </c>
      <c r="R159" s="5">
        <v>16.195</v>
      </c>
      <c r="S159" s="6">
        <v>170</v>
      </c>
      <c r="T159" s="6">
        <v>2</v>
      </c>
    </row>
    <row r="160" spans="1:20" x14ac:dyDescent="0.35">
      <c r="A160" s="2">
        <v>159</v>
      </c>
      <c r="B160" s="2" t="s">
        <v>348</v>
      </c>
      <c r="C160" s="2" t="s">
        <v>21</v>
      </c>
      <c r="D160" s="4">
        <v>66.17</v>
      </c>
      <c r="E160" s="4">
        <v>0</v>
      </c>
      <c r="F160" s="4">
        <v>0</v>
      </c>
      <c r="G160" s="4">
        <v>3.82</v>
      </c>
      <c r="H160" s="4">
        <v>0</v>
      </c>
      <c r="I160" s="4">
        <v>0</v>
      </c>
      <c r="J160" s="4">
        <v>0</v>
      </c>
      <c r="K160" s="4">
        <v>3.3</v>
      </c>
      <c r="L160" s="4">
        <v>0</v>
      </c>
      <c r="M160" s="4">
        <v>1.99</v>
      </c>
      <c r="N160" s="4">
        <v>0.06</v>
      </c>
      <c r="O160" s="4">
        <v>0</v>
      </c>
      <c r="P160" s="4">
        <v>2.13</v>
      </c>
      <c r="Q160" s="4">
        <v>0.52</v>
      </c>
      <c r="R160" s="5">
        <v>16.54</v>
      </c>
      <c r="S160" s="6">
        <v>35</v>
      </c>
      <c r="T160" s="6">
        <v>4</v>
      </c>
    </row>
    <row r="161" spans="1:20" x14ac:dyDescent="0.35">
      <c r="A161" s="2">
        <v>160</v>
      </c>
      <c r="B161" s="2" t="s">
        <v>349</v>
      </c>
      <c r="C161" s="2" t="s">
        <v>21</v>
      </c>
      <c r="D161" s="4">
        <v>65.930000000000007</v>
      </c>
      <c r="E161" s="4">
        <v>0</v>
      </c>
      <c r="F161" s="4">
        <v>0</v>
      </c>
      <c r="G161" s="4">
        <v>11.26</v>
      </c>
      <c r="H161" s="4">
        <v>0</v>
      </c>
      <c r="I161" s="4">
        <v>0</v>
      </c>
      <c r="J161" s="4">
        <v>0</v>
      </c>
      <c r="K161" s="4">
        <v>3.08</v>
      </c>
      <c r="L161" s="4">
        <v>0</v>
      </c>
      <c r="M161" s="4">
        <v>2.0099999999999998</v>
      </c>
      <c r="N161" s="4">
        <v>0.06</v>
      </c>
      <c r="O161" s="4">
        <v>0</v>
      </c>
      <c r="P161" s="4">
        <v>1.8</v>
      </c>
      <c r="Q161" s="4">
        <v>0.53</v>
      </c>
      <c r="R161" s="5">
        <v>16.215</v>
      </c>
      <c r="S161" s="6">
        <v>152</v>
      </c>
      <c r="T161" s="6">
        <v>4</v>
      </c>
    </row>
    <row r="162" spans="1:20" x14ac:dyDescent="0.35">
      <c r="A162" s="2">
        <v>161</v>
      </c>
      <c r="B162" s="2" t="s">
        <v>350</v>
      </c>
      <c r="C162" s="2" t="s">
        <v>21</v>
      </c>
      <c r="D162" s="4">
        <v>65.88</v>
      </c>
      <c r="E162" s="4">
        <v>0</v>
      </c>
      <c r="F162" s="4">
        <v>0</v>
      </c>
      <c r="G162" s="4">
        <v>22.48</v>
      </c>
      <c r="H162" s="4">
        <v>0</v>
      </c>
      <c r="I162" s="4">
        <v>0</v>
      </c>
      <c r="J162" s="4">
        <v>0</v>
      </c>
      <c r="K162" s="4">
        <v>3.01</v>
      </c>
      <c r="L162" s="4">
        <v>0</v>
      </c>
      <c r="M162" s="4">
        <v>2.09</v>
      </c>
      <c r="N162" s="4">
        <v>0.06</v>
      </c>
      <c r="O162" s="4">
        <v>0</v>
      </c>
      <c r="P162" s="4">
        <v>1.41</v>
      </c>
      <c r="Q162" s="4">
        <v>0.52</v>
      </c>
      <c r="R162" s="5">
        <v>19.083333333333332</v>
      </c>
      <c r="S162" s="6">
        <v>157</v>
      </c>
      <c r="T162" s="6">
        <v>4</v>
      </c>
    </row>
    <row r="163" spans="1:20" x14ac:dyDescent="0.35">
      <c r="A163" s="2">
        <v>162</v>
      </c>
      <c r="B163" s="2" t="s">
        <v>351</v>
      </c>
      <c r="C163" s="2" t="s">
        <v>21</v>
      </c>
      <c r="D163" s="4">
        <v>66.150000000000006</v>
      </c>
      <c r="E163" s="4">
        <v>0</v>
      </c>
      <c r="F163" s="4">
        <v>0</v>
      </c>
      <c r="G163" s="4">
        <v>37.49</v>
      </c>
      <c r="H163" s="4">
        <v>0</v>
      </c>
      <c r="I163" s="4">
        <v>0</v>
      </c>
      <c r="J163" s="4">
        <v>0</v>
      </c>
      <c r="K163" s="4">
        <v>3.01</v>
      </c>
      <c r="L163" s="4">
        <v>0</v>
      </c>
      <c r="M163" s="4">
        <v>2.27</v>
      </c>
      <c r="N163" s="4">
        <v>0.06</v>
      </c>
      <c r="O163" s="4">
        <v>0</v>
      </c>
      <c r="P163" s="4">
        <v>0.83</v>
      </c>
      <c r="Q163" s="4">
        <v>0.54</v>
      </c>
      <c r="R163" s="5">
        <v>19.8</v>
      </c>
      <c r="S163" s="6">
        <v>274</v>
      </c>
      <c r="T163" s="6">
        <v>4</v>
      </c>
    </row>
    <row r="164" spans="1:20" x14ac:dyDescent="0.35">
      <c r="A164" s="2">
        <v>163</v>
      </c>
      <c r="B164" s="2" t="s">
        <v>352</v>
      </c>
      <c r="C164" s="2" t="s">
        <v>21</v>
      </c>
      <c r="D164" s="4">
        <v>65.81</v>
      </c>
      <c r="E164" s="4">
        <v>0</v>
      </c>
      <c r="F164" s="4">
        <v>0</v>
      </c>
      <c r="G164" s="4">
        <v>0</v>
      </c>
      <c r="H164" s="4">
        <v>1.98</v>
      </c>
      <c r="I164" s="4">
        <v>0</v>
      </c>
      <c r="J164" s="4">
        <v>0</v>
      </c>
      <c r="K164" s="4">
        <v>0</v>
      </c>
      <c r="L164" s="4">
        <v>0</v>
      </c>
      <c r="M164" s="4">
        <v>1.98</v>
      </c>
      <c r="N164" s="4">
        <v>0.06</v>
      </c>
      <c r="O164" s="4">
        <v>0</v>
      </c>
      <c r="P164" s="4">
        <v>0.28000000000000003</v>
      </c>
      <c r="Q164" s="4">
        <v>0.55000000000000004</v>
      </c>
      <c r="R164" s="5">
        <v>17.085000000000001</v>
      </c>
      <c r="S164" s="6">
        <v>5</v>
      </c>
      <c r="T164" s="6" t="s">
        <v>344</v>
      </c>
    </row>
    <row r="165" spans="1:20" x14ac:dyDescent="0.35">
      <c r="A165" s="2">
        <v>164</v>
      </c>
      <c r="B165" s="2" t="s">
        <v>353</v>
      </c>
      <c r="C165" s="2" t="s">
        <v>21</v>
      </c>
      <c r="D165" s="4">
        <v>66.13</v>
      </c>
      <c r="E165" s="4">
        <v>0</v>
      </c>
      <c r="F165" s="4">
        <v>0</v>
      </c>
      <c r="G165" s="4">
        <v>0</v>
      </c>
      <c r="H165" s="4">
        <v>6.04</v>
      </c>
      <c r="I165" s="4">
        <v>0</v>
      </c>
      <c r="J165" s="4">
        <v>0</v>
      </c>
      <c r="K165" s="4">
        <v>0</v>
      </c>
      <c r="L165" s="4">
        <v>0</v>
      </c>
      <c r="M165" s="4">
        <v>1.97</v>
      </c>
      <c r="N165" s="4">
        <v>0.06</v>
      </c>
      <c r="O165" s="4">
        <v>0</v>
      </c>
      <c r="P165" s="4">
        <v>2.98</v>
      </c>
      <c r="Q165" s="4">
        <v>0.49</v>
      </c>
      <c r="R165" s="5">
        <v>14.855</v>
      </c>
      <c r="S165" s="6">
        <v>92</v>
      </c>
      <c r="T165" s="6">
        <v>3</v>
      </c>
    </row>
    <row r="166" spans="1:20" x14ac:dyDescent="0.35">
      <c r="A166" s="2">
        <v>165</v>
      </c>
      <c r="B166" s="2" t="s">
        <v>354</v>
      </c>
      <c r="C166" s="2" t="s">
        <v>21</v>
      </c>
      <c r="D166" s="4">
        <v>65.900000000000006</v>
      </c>
      <c r="E166" s="4">
        <v>0</v>
      </c>
      <c r="F166" s="4">
        <v>0</v>
      </c>
      <c r="G166" s="4">
        <v>0</v>
      </c>
      <c r="H166" s="4">
        <v>11.92</v>
      </c>
      <c r="I166" s="4">
        <v>0</v>
      </c>
      <c r="J166" s="4">
        <v>0</v>
      </c>
      <c r="K166" s="4">
        <v>0</v>
      </c>
      <c r="L166" s="4">
        <v>0</v>
      </c>
      <c r="M166" s="4">
        <v>2.0099999999999998</v>
      </c>
      <c r="N166" s="4">
        <v>0.06</v>
      </c>
      <c r="O166" s="4">
        <v>0</v>
      </c>
      <c r="P166" s="4">
        <v>6.87</v>
      </c>
      <c r="Q166" s="4">
        <v>0.53</v>
      </c>
      <c r="R166" s="5">
        <v>19.145</v>
      </c>
      <c r="S166" s="6">
        <v>198</v>
      </c>
      <c r="T166" s="6">
        <v>2</v>
      </c>
    </row>
    <row r="167" spans="1:20" x14ac:dyDescent="0.35">
      <c r="A167" s="2">
        <v>166</v>
      </c>
      <c r="B167" s="2" t="s">
        <v>355</v>
      </c>
      <c r="C167" s="2" t="s">
        <v>21</v>
      </c>
      <c r="D167" s="4">
        <v>65.86</v>
      </c>
      <c r="E167" s="4">
        <v>0</v>
      </c>
      <c r="F167" s="4">
        <v>0</v>
      </c>
      <c r="G167" s="4">
        <v>0</v>
      </c>
      <c r="H167" s="4">
        <v>19.809999999999999</v>
      </c>
      <c r="I167" s="4">
        <v>0</v>
      </c>
      <c r="J167" s="4">
        <v>0</v>
      </c>
      <c r="K167" s="4">
        <v>0</v>
      </c>
      <c r="L167" s="4">
        <v>0</v>
      </c>
      <c r="M167" s="4">
        <v>2.13</v>
      </c>
      <c r="N167" s="4">
        <v>0.06</v>
      </c>
      <c r="O167" s="4">
        <v>0</v>
      </c>
      <c r="P167" s="4">
        <v>12.16</v>
      </c>
      <c r="Q167" s="4">
        <v>0.55000000000000004</v>
      </c>
      <c r="R167" s="5">
        <v>21.365000000000002</v>
      </c>
      <c r="S167" s="6" t="s">
        <v>342</v>
      </c>
      <c r="T167" s="6">
        <v>2</v>
      </c>
    </row>
    <row r="168" spans="1:20" x14ac:dyDescent="0.35">
      <c r="A168" s="2">
        <v>167</v>
      </c>
      <c r="B168" s="2" t="s">
        <v>356</v>
      </c>
      <c r="C168" s="2" t="s">
        <v>21</v>
      </c>
      <c r="D168" s="4">
        <v>66.02</v>
      </c>
      <c r="E168" s="4">
        <v>0</v>
      </c>
      <c r="F168" s="4">
        <v>0</v>
      </c>
      <c r="G168" s="4">
        <v>0</v>
      </c>
      <c r="H168" s="4">
        <v>0</v>
      </c>
      <c r="I168" s="4">
        <v>2.4</v>
      </c>
      <c r="J168" s="4">
        <v>0</v>
      </c>
      <c r="K168" s="4">
        <v>0</v>
      </c>
      <c r="L168" s="4">
        <v>0</v>
      </c>
      <c r="M168" s="4">
        <v>2.04</v>
      </c>
      <c r="N168" s="4">
        <v>0.06</v>
      </c>
      <c r="O168" s="4">
        <v>0</v>
      </c>
      <c r="P168" s="4">
        <v>0.04</v>
      </c>
      <c r="Q168" s="4">
        <v>0.32</v>
      </c>
      <c r="R168" s="5">
        <v>19.925000000000001</v>
      </c>
      <c r="S168" s="6">
        <v>3</v>
      </c>
      <c r="T168" s="6" t="s">
        <v>344</v>
      </c>
    </row>
    <row r="169" spans="1:20" x14ac:dyDescent="0.35">
      <c r="A169" s="2">
        <v>168</v>
      </c>
      <c r="B169" s="2" t="s">
        <v>357</v>
      </c>
      <c r="C169" s="2" t="s">
        <v>21</v>
      </c>
      <c r="D169" s="4">
        <v>66.069999999999993</v>
      </c>
      <c r="E169" s="4">
        <v>0</v>
      </c>
      <c r="F169" s="4">
        <v>0</v>
      </c>
      <c r="G169" s="4">
        <v>0</v>
      </c>
      <c r="H169" s="4">
        <v>0</v>
      </c>
      <c r="I169" s="4">
        <v>7.13</v>
      </c>
      <c r="J169" s="4">
        <v>0</v>
      </c>
      <c r="K169" s="4">
        <v>0</v>
      </c>
      <c r="L169" s="4">
        <v>0</v>
      </c>
      <c r="M169" s="4">
        <v>2.0299999999999998</v>
      </c>
      <c r="N169" s="4">
        <v>0.06</v>
      </c>
      <c r="O169" s="4">
        <v>0</v>
      </c>
      <c r="P169" s="4">
        <v>1.83</v>
      </c>
      <c r="Q169" s="4">
        <v>0.59</v>
      </c>
      <c r="R169" s="5">
        <v>15.060000000000002</v>
      </c>
      <c r="S169" s="6">
        <v>27</v>
      </c>
      <c r="T169" s="6">
        <v>3</v>
      </c>
    </row>
    <row r="170" spans="1:20" x14ac:dyDescent="0.35">
      <c r="A170" s="2">
        <v>169</v>
      </c>
      <c r="B170" s="2" t="s">
        <v>358</v>
      </c>
      <c r="C170" s="2" t="s">
        <v>21</v>
      </c>
      <c r="D170" s="4">
        <v>66.03</v>
      </c>
      <c r="E170" s="4">
        <v>0</v>
      </c>
      <c r="F170" s="4">
        <v>0</v>
      </c>
      <c r="G170" s="4">
        <v>0</v>
      </c>
      <c r="H170" s="4">
        <v>0</v>
      </c>
      <c r="I170" s="4">
        <v>14.36</v>
      </c>
      <c r="J170" s="4">
        <v>0</v>
      </c>
      <c r="K170" s="4">
        <v>0</v>
      </c>
      <c r="L170" s="4">
        <v>0</v>
      </c>
      <c r="M170" s="4">
        <v>2.0099999999999998</v>
      </c>
      <c r="N170" s="4">
        <v>0.06</v>
      </c>
      <c r="O170" s="4">
        <v>0</v>
      </c>
      <c r="P170" s="4">
        <v>4.7</v>
      </c>
      <c r="Q170" s="4">
        <v>0.5</v>
      </c>
      <c r="R170" s="5">
        <v>16.57</v>
      </c>
      <c r="S170" s="6">
        <v>154</v>
      </c>
      <c r="T170" s="6">
        <v>2</v>
      </c>
    </row>
    <row r="171" spans="1:20" x14ac:dyDescent="0.35">
      <c r="A171" s="2">
        <v>170</v>
      </c>
      <c r="B171" s="2" t="s">
        <v>359</v>
      </c>
      <c r="C171" s="2" t="s">
        <v>21</v>
      </c>
      <c r="D171" s="4">
        <v>66.14</v>
      </c>
      <c r="E171" s="4">
        <v>0</v>
      </c>
      <c r="F171" s="4">
        <v>0</v>
      </c>
      <c r="G171" s="4">
        <v>0</v>
      </c>
      <c r="H171" s="4">
        <v>0</v>
      </c>
      <c r="I171" s="4">
        <v>23.87</v>
      </c>
      <c r="J171" s="4">
        <v>0</v>
      </c>
      <c r="K171" s="4">
        <v>0</v>
      </c>
      <c r="L171" s="4">
        <v>0</v>
      </c>
      <c r="M171" s="4">
        <v>1.99</v>
      </c>
      <c r="N171" s="4">
        <v>0.06</v>
      </c>
      <c r="O171" s="4">
        <v>0</v>
      </c>
      <c r="P171" s="4">
        <v>8.2200000000000006</v>
      </c>
      <c r="Q171" s="4">
        <v>0.51</v>
      </c>
      <c r="R171" s="5">
        <v>19.743333333333336</v>
      </c>
      <c r="S171" s="6" t="s">
        <v>342</v>
      </c>
      <c r="T171" s="6">
        <v>2</v>
      </c>
    </row>
    <row r="172" spans="1:20" x14ac:dyDescent="0.35">
      <c r="A172" s="2">
        <v>171</v>
      </c>
      <c r="B172" s="2" t="s">
        <v>360</v>
      </c>
      <c r="C172" s="2" t="s">
        <v>21</v>
      </c>
      <c r="D172" s="4">
        <v>66.03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1.81</v>
      </c>
      <c r="K172" s="4">
        <v>0</v>
      </c>
      <c r="L172" s="4">
        <v>0</v>
      </c>
      <c r="M172" s="4">
        <v>2</v>
      </c>
      <c r="N172" s="4">
        <v>0.06</v>
      </c>
      <c r="O172" s="4">
        <v>0</v>
      </c>
      <c r="P172" s="4">
        <v>0.46</v>
      </c>
      <c r="Q172" s="4">
        <v>0.55000000000000004</v>
      </c>
      <c r="R172" s="5" t="s">
        <v>361</v>
      </c>
      <c r="S172" s="6">
        <v>3</v>
      </c>
      <c r="T172" s="6" t="s">
        <v>344</v>
      </c>
    </row>
    <row r="173" spans="1:20" x14ac:dyDescent="0.35">
      <c r="A173" s="2">
        <v>172</v>
      </c>
      <c r="B173" s="2" t="s">
        <v>362</v>
      </c>
      <c r="C173" s="2" t="s">
        <v>21</v>
      </c>
      <c r="D173" s="4">
        <v>66.06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5.63</v>
      </c>
      <c r="K173" s="4">
        <v>0</v>
      </c>
      <c r="L173" s="4">
        <v>0</v>
      </c>
      <c r="M173" s="4">
        <v>2.0299999999999998</v>
      </c>
      <c r="N173" s="4">
        <v>0.06</v>
      </c>
      <c r="O173" s="4">
        <v>0</v>
      </c>
      <c r="P173" s="4">
        <v>3.5</v>
      </c>
      <c r="Q173" s="4">
        <v>0.56000000000000005</v>
      </c>
      <c r="R173" s="5">
        <v>20.806666666666668</v>
      </c>
      <c r="S173" s="6">
        <v>2</v>
      </c>
      <c r="T173" s="6" t="s">
        <v>344</v>
      </c>
    </row>
    <row r="174" spans="1:20" x14ac:dyDescent="0.35">
      <c r="A174" s="2">
        <v>173</v>
      </c>
      <c r="B174" s="2" t="s">
        <v>363</v>
      </c>
      <c r="C174" s="2" t="s">
        <v>21</v>
      </c>
      <c r="D174" s="4">
        <v>65.959999999999994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10.86</v>
      </c>
      <c r="K174" s="4">
        <v>0</v>
      </c>
      <c r="L174" s="4">
        <v>0</v>
      </c>
      <c r="M174" s="4">
        <v>1.98</v>
      </c>
      <c r="N174" s="4">
        <v>0.06</v>
      </c>
      <c r="O174" s="4">
        <v>0</v>
      </c>
      <c r="P174" s="4">
        <v>8.0500000000000007</v>
      </c>
      <c r="Q174" s="4">
        <v>0.54</v>
      </c>
      <c r="R174" s="5">
        <v>20.285</v>
      </c>
      <c r="S174" s="6">
        <v>3</v>
      </c>
      <c r="T174" s="6" t="s">
        <v>344</v>
      </c>
    </row>
    <row r="175" spans="1:20" x14ac:dyDescent="0.35">
      <c r="A175" s="2">
        <v>174</v>
      </c>
      <c r="B175" s="2" t="s">
        <v>364</v>
      </c>
      <c r="C175" s="2" t="s">
        <v>21</v>
      </c>
      <c r="D175" s="4">
        <v>66.19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18.07</v>
      </c>
      <c r="K175" s="4">
        <v>0</v>
      </c>
      <c r="L175" s="4">
        <v>0</v>
      </c>
      <c r="M175" s="4">
        <v>2.04</v>
      </c>
      <c r="N175" s="4">
        <v>0.06</v>
      </c>
      <c r="O175" s="4">
        <v>0</v>
      </c>
      <c r="P175" s="4">
        <v>14.05</v>
      </c>
      <c r="Q175" s="4">
        <v>0.54</v>
      </c>
      <c r="R175" s="5">
        <v>18.23</v>
      </c>
      <c r="S175" s="6">
        <v>10</v>
      </c>
      <c r="T175" s="6" t="s">
        <v>344</v>
      </c>
    </row>
    <row r="176" spans="1:20" x14ac:dyDescent="0.35">
      <c r="A176" s="2">
        <v>175</v>
      </c>
      <c r="B176" s="2" t="s">
        <v>365</v>
      </c>
      <c r="C176" s="2" t="s">
        <v>21</v>
      </c>
      <c r="D176" s="4">
        <v>65.95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1.68</v>
      </c>
      <c r="M176" s="4">
        <v>2.09</v>
      </c>
      <c r="N176" s="4">
        <v>0.06</v>
      </c>
      <c r="O176" s="4">
        <v>0</v>
      </c>
      <c r="P176" s="4">
        <v>0.66</v>
      </c>
      <c r="Q176" s="4">
        <v>0.49</v>
      </c>
      <c r="R176" s="5">
        <v>17.43</v>
      </c>
      <c r="S176" s="6">
        <v>11</v>
      </c>
      <c r="T176" s="6">
        <v>4</v>
      </c>
    </row>
    <row r="177" spans="1:20" x14ac:dyDescent="0.35">
      <c r="A177" s="2">
        <v>176</v>
      </c>
      <c r="B177" s="2" t="s">
        <v>366</v>
      </c>
      <c r="C177" s="2" t="s">
        <v>21</v>
      </c>
      <c r="D177" s="4">
        <v>66.05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4.79</v>
      </c>
      <c r="M177" s="4">
        <v>2.0099999999999998</v>
      </c>
      <c r="N177" s="4">
        <v>0.06</v>
      </c>
      <c r="O177" s="4">
        <v>0</v>
      </c>
      <c r="P177" s="4">
        <v>4.2300000000000004</v>
      </c>
      <c r="Q177" s="4">
        <v>0.5</v>
      </c>
      <c r="R177" s="5">
        <v>17.146666666666665</v>
      </c>
      <c r="S177" s="6" t="s">
        <v>367</v>
      </c>
      <c r="T177" s="6">
        <v>2</v>
      </c>
    </row>
    <row r="178" spans="1:20" x14ac:dyDescent="0.35">
      <c r="A178" s="2">
        <v>177</v>
      </c>
      <c r="B178" s="2" t="s">
        <v>368</v>
      </c>
      <c r="C178" s="2" t="s">
        <v>21</v>
      </c>
      <c r="D178" s="4">
        <v>65.97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9.51</v>
      </c>
      <c r="M178" s="4">
        <v>1.99</v>
      </c>
      <c r="N178" s="4">
        <v>0.06</v>
      </c>
      <c r="O178" s="4">
        <v>0</v>
      </c>
      <c r="P178" s="4">
        <v>9.27</v>
      </c>
      <c r="Q178" s="4">
        <v>0.54</v>
      </c>
      <c r="R178" s="5">
        <v>19.53</v>
      </c>
      <c r="S178" s="6" t="s">
        <v>342</v>
      </c>
      <c r="T178" s="6">
        <v>2</v>
      </c>
    </row>
    <row r="179" spans="1:20" x14ac:dyDescent="0.35">
      <c r="A179" s="2">
        <v>178</v>
      </c>
      <c r="B179" s="2" t="s">
        <v>369</v>
      </c>
      <c r="C179" s="2" t="s">
        <v>21</v>
      </c>
      <c r="D179" s="4">
        <v>65.959999999999994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15.89</v>
      </c>
      <c r="M179" s="4">
        <v>2.0099999999999998</v>
      </c>
      <c r="N179" s="4">
        <v>0.06</v>
      </c>
      <c r="O179" s="4">
        <v>0</v>
      </c>
      <c r="P179" s="4">
        <v>16.18</v>
      </c>
      <c r="Q179" s="4">
        <v>0.51</v>
      </c>
      <c r="R179" s="5">
        <v>22.655000000000001</v>
      </c>
      <c r="S179" s="6" t="s">
        <v>342</v>
      </c>
      <c r="T179" s="6">
        <v>2</v>
      </c>
    </row>
    <row r="180" spans="1:20" x14ac:dyDescent="0.35">
      <c r="A180" s="2">
        <v>179</v>
      </c>
      <c r="B180" s="2" t="s">
        <v>370</v>
      </c>
      <c r="C180" s="2" t="s">
        <v>21</v>
      </c>
      <c r="D180" s="4">
        <v>65.88</v>
      </c>
      <c r="E180" s="4">
        <v>7.3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15.02</v>
      </c>
      <c r="L180" s="4">
        <v>0</v>
      </c>
      <c r="M180" s="4">
        <v>2.19</v>
      </c>
      <c r="N180" s="4">
        <v>0.06</v>
      </c>
      <c r="O180" s="4">
        <v>0</v>
      </c>
      <c r="P180" s="4">
        <v>22.52</v>
      </c>
      <c r="Q180" s="4">
        <v>0.49</v>
      </c>
      <c r="R180" s="5">
        <v>18.743333333333336</v>
      </c>
      <c r="S180" s="6">
        <v>65</v>
      </c>
      <c r="T180" s="6">
        <v>3</v>
      </c>
    </row>
    <row r="181" spans="1:20" x14ac:dyDescent="0.35">
      <c r="A181" s="2">
        <v>180</v>
      </c>
      <c r="B181" s="2" t="s">
        <v>371</v>
      </c>
      <c r="C181" s="2" t="s">
        <v>21</v>
      </c>
      <c r="D181" s="4">
        <v>66.03</v>
      </c>
      <c r="E181" s="4">
        <v>0</v>
      </c>
      <c r="F181" s="4">
        <v>7.86</v>
      </c>
      <c r="G181" s="4">
        <v>0</v>
      </c>
      <c r="H181" s="4">
        <v>0</v>
      </c>
      <c r="I181" s="4">
        <v>0</v>
      </c>
      <c r="J181" s="4">
        <v>0</v>
      </c>
      <c r="K181" s="4">
        <v>15.15</v>
      </c>
      <c r="L181" s="4">
        <v>0</v>
      </c>
      <c r="M181" s="4">
        <v>2.0499999999999998</v>
      </c>
      <c r="N181" s="4">
        <v>0.06</v>
      </c>
      <c r="O181" s="4">
        <v>0</v>
      </c>
      <c r="P181" s="4">
        <v>22.76</v>
      </c>
      <c r="Q181" s="4">
        <v>0.55000000000000004</v>
      </c>
      <c r="R181" s="5" t="e">
        <v>#DIV/0!</v>
      </c>
      <c r="S181" s="6">
        <v>7</v>
      </c>
      <c r="T181" s="6" t="s">
        <v>344</v>
      </c>
    </row>
    <row r="182" spans="1:20" x14ac:dyDescent="0.35">
      <c r="A182" s="2">
        <v>181</v>
      </c>
      <c r="B182" s="2" t="s">
        <v>372</v>
      </c>
      <c r="C182" s="2" t="s">
        <v>21</v>
      </c>
      <c r="D182" s="4">
        <v>66.06</v>
      </c>
      <c r="E182" s="4">
        <v>0</v>
      </c>
      <c r="F182" s="4">
        <v>0</v>
      </c>
      <c r="G182" s="4">
        <v>15.16</v>
      </c>
      <c r="H182" s="4">
        <v>0</v>
      </c>
      <c r="I182" s="4">
        <v>0</v>
      </c>
      <c r="J182" s="4">
        <v>0</v>
      </c>
      <c r="K182" s="4">
        <v>15.03</v>
      </c>
      <c r="L182" s="4">
        <v>0</v>
      </c>
      <c r="M182" s="4">
        <v>1.97</v>
      </c>
      <c r="N182" s="4">
        <v>0.06</v>
      </c>
      <c r="O182" s="4">
        <v>0</v>
      </c>
      <c r="P182" s="4">
        <v>14.75</v>
      </c>
      <c r="Q182" s="4">
        <v>0.54</v>
      </c>
      <c r="R182" s="5">
        <v>18.524999999999999</v>
      </c>
      <c r="S182" s="6" t="s">
        <v>342</v>
      </c>
      <c r="T182" s="6" t="s">
        <v>344</v>
      </c>
    </row>
    <row r="183" spans="1:20" x14ac:dyDescent="0.35">
      <c r="A183" s="2">
        <v>182</v>
      </c>
      <c r="B183" s="2" t="s">
        <v>373</v>
      </c>
      <c r="C183" s="2" t="s">
        <v>21</v>
      </c>
      <c r="D183" s="4">
        <v>66.069999999999993</v>
      </c>
      <c r="E183" s="4">
        <v>0</v>
      </c>
      <c r="F183" s="4">
        <v>0</v>
      </c>
      <c r="G183" s="4">
        <v>0</v>
      </c>
      <c r="H183" s="4">
        <v>8.77</v>
      </c>
      <c r="I183" s="4">
        <v>0</v>
      </c>
      <c r="J183" s="4">
        <v>0</v>
      </c>
      <c r="K183" s="4">
        <v>15.15</v>
      </c>
      <c r="L183" s="4">
        <v>0</v>
      </c>
      <c r="M183" s="4">
        <v>2.08</v>
      </c>
      <c r="N183" s="4">
        <v>0.06</v>
      </c>
      <c r="O183" s="4">
        <v>0</v>
      </c>
      <c r="P183" s="4">
        <v>21.67</v>
      </c>
      <c r="Q183" s="4">
        <v>0.54</v>
      </c>
      <c r="R183" s="5" t="s">
        <v>361</v>
      </c>
      <c r="S183" s="6">
        <v>4</v>
      </c>
      <c r="T183" s="6" t="s">
        <v>344</v>
      </c>
    </row>
    <row r="184" spans="1:20" x14ac:dyDescent="0.35">
      <c r="A184" s="2">
        <v>183</v>
      </c>
      <c r="B184" s="2" t="s">
        <v>374</v>
      </c>
      <c r="C184" s="2" t="s">
        <v>21</v>
      </c>
      <c r="D184" s="4">
        <v>66.19</v>
      </c>
      <c r="E184" s="4">
        <v>0</v>
      </c>
      <c r="F184" s="4">
        <v>0</v>
      </c>
      <c r="G184" s="4">
        <v>0</v>
      </c>
      <c r="H184" s="4">
        <v>0</v>
      </c>
      <c r="I184" s="4">
        <v>10.67</v>
      </c>
      <c r="J184" s="4">
        <v>0</v>
      </c>
      <c r="K184" s="4">
        <v>15.05</v>
      </c>
      <c r="L184" s="4">
        <v>0</v>
      </c>
      <c r="M184" s="4">
        <v>2.0299999999999998</v>
      </c>
      <c r="N184" s="4">
        <v>0.06</v>
      </c>
      <c r="O184" s="4">
        <v>0</v>
      </c>
      <c r="P184" s="4">
        <v>19.38</v>
      </c>
      <c r="Q184" s="4">
        <v>0.49</v>
      </c>
      <c r="R184" s="5" t="s">
        <v>361</v>
      </c>
      <c r="S184" s="6">
        <v>5</v>
      </c>
      <c r="T184" s="6" t="s">
        <v>344</v>
      </c>
    </row>
    <row r="185" spans="1:20" x14ac:dyDescent="0.35">
      <c r="A185" s="2">
        <v>184</v>
      </c>
      <c r="B185" s="2" t="s">
        <v>375</v>
      </c>
      <c r="C185" s="2" t="s">
        <v>21</v>
      </c>
      <c r="D185" s="4">
        <v>65.989999999999995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8.0299999999999994</v>
      </c>
      <c r="K185" s="4">
        <v>15.24</v>
      </c>
      <c r="L185" s="4">
        <v>0</v>
      </c>
      <c r="M185" s="4">
        <v>2.0299999999999998</v>
      </c>
      <c r="N185" s="4">
        <v>0.06</v>
      </c>
      <c r="O185" s="4">
        <v>0</v>
      </c>
      <c r="P185" s="4">
        <v>21.8</v>
      </c>
      <c r="Q185" s="4">
        <v>0.51</v>
      </c>
      <c r="R185" s="5" t="s">
        <v>361</v>
      </c>
      <c r="S185" s="6">
        <v>2</v>
      </c>
      <c r="T185" s="6" t="s">
        <v>344</v>
      </c>
    </row>
    <row r="186" spans="1:20" x14ac:dyDescent="0.35">
      <c r="A186" s="2">
        <v>185</v>
      </c>
      <c r="B186" s="2" t="s">
        <v>376</v>
      </c>
      <c r="C186" s="2" t="s">
        <v>21</v>
      </c>
      <c r="D186" s="4">
        <v>65.900000000000006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15.54</v>
      </c>
      <c r="L186" s="4">
        <v>7.03</v>
      </c>
      <c r="M186" s="4">
        <v>1.99</v>
      </c>
      <c r="N186" s="4">
        <v>0.06</v>
      </c>
      <c r="O186" s="4">
        <v>0</v>
      </c>
      <c r="P186" s="4">
        <v>23.04</v>
      </c>
      <c r="Q186" s="4">
        <v>0.53</v>
      </c>
      <c r="R186" s="5">
        <v>18.189999999999998</v>
      </c>
      <c r="S186" s="6">
        <v>30</v>
      </c>
      <c r="T186" s="6">
        <v>2</v>
      </c>
    </row>
    <row r="187" spans="1:20" x14ac:dyDescent="0.35">
      <c r="A187" s="2">
        <v>186</v>
      </c>
      <c r="B187" s="2" t="s">
        <v>376</v>
      </c>
      <c r="C187" s="2" t="s">
        <v>377</v>
      </c>
      <c r="D187" s="4">
        <v>65.900000000000006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15.54</v>
      </c>
      <c r="L187" s="4">
        <v>7.03</v>
      </c>
      <c r="M187" s="4">
        <v>1.99</v>
      </c>
      <c r="N187" s="4">
        <v>0.06</v>
      </c>
      <c r="O187" s="4">
        <v>0</v>
      </c>
      <c r="P187" s="4">
        <v>23.04</v>
      </c>
      <c r="Q187" s="4">
        <v>0.53</v>
      </c>
      <c r="R187" s="5">
        <v>16.255000000000003</v>
      </c>
      <c r="S187" s="6">
        <v>35</v>
      </c>
      <c r="T187" s="6">
        <v>3</v>
      </c>
    </row>
    <row r="188" spans="1:20" x14ac:dyDescent="0.35">
      <c r="A188" s="2">
        <v>187</v>
      </c>
      <c r="B188" s="2" t="s">
        <v>376</v>
      </c>
      <c r="C188" s="2" t="s">
        <v>378</v>
      </c>
      <c r="D188" s="4">
        <v>65.900000000000006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15.54</v>
      </c>
      <c r="L188" s="4">
        <v>7.03</v>
      </c>
      <c r="M188" s="4">
        <v>1.99</v>
      </c>
      <c r="N188" s="4">
        <v>0.06</v>
      </c>
      <c r="O188" s="4">
        <v>0</v>
      </c>
      <c r="P188" s="4">
        <v>23.04</v>
      </c>
      <c r="Q188" s="4">
        <v>0.53</v>
      </c>
      <c r="R188" s="5">
        <v>17.740000000000002</v>
      </c>
      <c r="S188" s="6">
        <v>37</v>
      </c>
      <c r="T188" s="6">
        <v>2</v>
      </c>
    </row>
    <row r="189" spans="1:20" x14ac:dyDescent="0.35">
      <c r="A189" s="2">
        <v>188</v>
      </c>
      <c r="B189" s="2" t="s">
        <v>379</v>
      </c>
      <c r="C189" s="11" t="s">
        <v>21</v>
      </c>
      <c r="D189" s="12">
        <v>66</v>
      </c>
      <c r="E189" s="12">
        <v>5.84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5.78</v>
      </c>
      <c r="L189" s="12">
        <v>0</v>
      </c>
      <c r="M189" s="12">
        <v>2.0699999999999998</v>
      </c>
      <c r="N189" s="12">
        <v>0.06</v>
      </c>
      <c r="O189" s="12">
        <v>0</v>
      </c>
      <c r="P189" s="12">
        <v>13.66</v>
      </c>
      <c r="Q189" s="12">
        <v>0.5</v>
      </c>
      <c r="R189" s="5">
        <v>16.255000000000003</v>
      </c>
      <c r="S189" s="6">
        <v>72</v>
      </c>
      <c r="T189" s="6">
        <v>3</v>
      </c>
    </row>
    <row r="190" spans="1:20" x14ac:dyDescent="0.35">
      <c r="A190" s="2">
        <v>189</v>
      </c>
      <c r="B190" s="2" t="s">
        <v>380</v>
      </c>
      <c r="C190" s="11" t="s">
        <v>21</v>
      </c>
      <c r="D190" s="12">
        <v>66</v>
      </c>
      <c r="E190" s="12">
        <v>6.58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10.130000000000001</v>
      </c>
      <c r="L190" s="12">
        <v>0</v>
      </c>
      <c r="M190" s="12">
        <v>2.13</v>
      </c>
      <c r="N190" s="12">
        <v>0.06</v>
      </c>
      <c r="O190" s="12">
        <v>0</v>
      </c>
      <c r="P190" s="12">
        <v>18.149999999999999</v>
      </c>
      <c r="Q190" s="12">
        <v>0.5</v>
      </c>
      <c r="R190" s="5">
        <v>17.740000000000002</v>
      </c>
      <c r="S190" s="6">
        <v>42</v>
      </c>
      <c r="T190" s="6">
        <v>2</v>
      </c>
    </row>
    <row r="191" spans="1:20" x14ac:dyDescent="0.35">
      <c r="A191" s="2">
        <v>190</v>
      </c>
      <c r="B191" s="2" t="s">
        <v>381</v>
      </c>
      <c r="C191" s="11" t="s">
        <v>21</v>
      </c>
      <c r="D191" s="12">
        <v>66</v>
      </c>
      <c r="E191" s="12">
        <v>0</v>
      </c>
      <c r="F191" s="12">
        <v>5.96</v>
      </c>
      <c r="G191" s="12">
        <v>0</v>
      </c>
      <c r="H191" s="12">
        <v>0</v>
      </c>
      <c r="I191" s="12">
        <v>0</v>
      </c>
      <c r="J191" s="12">
        <v>0</v>
      </c>
      <c r="K191" s="12">
        <v>4.95</v>
      </c>
      <c r="L191" s="12">
        <v>0</v>
      </c>
      <c r="M191" s="12">
        <v>2.08</v>
      </c>
      <c r="N191" s="12">
        <v>0.06</v>
      </c>
      <c r="O191" s="12">
        <v>0</v>
      </c>
      <c r="P191" s="12">
        <v>10.99</v>
      </c>
      <c r="Q191" s="12">
        <v>0.53</v>
      </c>
      <c r="R191" s="5">
        <v>15.395</v>
      </c>
      <c r="S191" s="6">
        <v>16</v>
      </c>
      <c r="T191" s="6">
        <v>3</v>
      </c>
    </row>
    <row r="192" spans="1:20" x14ac:dyDescent="0.35">
      <c r="A192" s="2">
        <v>191</v>
      </c>
      <c r="B192" s="2" t="s">
        <v>382</v>
      </c>
      <c r="C192" s="11" t="s">
        <v>21</v>
      </c>
      <c r="D192" s="12">
        <v>66</v>
      </c>
      <c r="E192" s="12">
        <v>0</v>
      </c>
      <c r="F192" s="12">
        <v>6.98</v>
      </c>
      <c r="G192" s="12">
        <v>0</v>
      </c>
      <c r="H192" s="12">
        <v>0</v>
      </c>
      <c r="I192" s="12">
        <v>0</v>
      </c>
      <c r="J192" s="12">
        <v>0</v>
      </c>
      <c r="K192" s="12">
        <v>9.6199999999999992</v>
      </c>
      <c r="L192" s="12">
        <v>0</v>
      </c>
      <c r="M192" s="12">
        <v>2.06</v>
      </c>
      <c r="N192" s="12">
        <v>0.06</v>
      </c>
      <c r="O192" s="12">
        <v>0</v>
      </c>
      <c r="P192" s="12">
        <v>16.04</v>
      </c>
      <c r="Q192" s="12">
        <v>0.54</v>
      </c>
      <c r="R192" s="5">
        <v>19.600000000000001</v>
      </c>
      <c r="S192" s="6">
        <v>48</v>
      </c>
      <c r="T192" s="6">
        <v>4</v>
      </c>
    </row>
    <row r="193" spans="1:20" x14ac:dyDescent="0.35">
      <c r="A193" s="2">
        <v>192</v>
      </c>
      <c r="B193" s="2" t="s">
        <v>383</v>
      </c>
      <c r="C193" s="11" t="s">
        <v>21</v>
      </c>
      <c r="D193" s="12">
        <v>66</v>
      </c>
      <c r="E193" s="12">
        <v>0</v>
      </c>
      <c r="F193" s="12">
        <v>0</v>
      </c>
      <c r="G193" s="12">
        <v>12.69</v>
      </c>
      <c r="H193" s="12">
        <v>0</v>
      </c>
      <c r="I193" s="12">
        <v>0</v>
      </c>
      <c r="J193" s="12">
        <v>0</v>
      </c>
      <c r="K193" s="12">
        <v>7.44</v>
      </c>
      <c r="L193" s="12">
        <v>0</v>
      </c>
      <c r="M193" s="12">
        <v>2</v>
      </c>
      <c r="N193" s="12">
        <v>0.06</v>
      </c>
      <c r="O193" s="12">
        <v>0</v>
      </c>
      <c r="P193" s="12">
        <v>6.52</v>
      </c>
      <c r="Q193" s="12">
        <v>0.53</v>
      </c>
      <c r="R193" s="5">
        <v>17.869999999999997</v>
      </c>
      <c r="S193" s="6">
        <v>125</v>
      </c>
      <c r="T193" s="6" t="s">
        <v>344</v>
      </c>
    </row>
    <row r="194" spans="1:20" x14ac:dyDescent="0.35">
      <c r="A194" s="2">
        <v>193</v>
      </c>
      <c r="B194" s="2" t="s">
        <v>384</v>
      </c>
      <c r="C194" s="11" t="s">
        <v>21</v>
      </c>
      <c r="D194" s="12">
        <v>66</v>
      </c>
      <c r="E194" s="12">
        <v>0</v>
      </c>
      <c r="F194" s="12">
        <v>0</v>
      </c>
      <c r="G194" s="12">
        <v>13.82</v>
      </c>
      <c r="H194" s="12">
        <v>0</v>
      </c>
      <c r="I194" s="12">
        <v>0</v>
      </c>
      <c r="J194" s="12">
        <v>0</v>
      </c>
      <c r="K194" s="12">
        <v>10.94</v>
      </c>
      <c r="L194" s="12">
        <v>0</v>
      </c>
      <c r="M194" s="12">
        <v>1.98</v>
      </c>
      <c r="N194" s="12">
        <v>0.06</v>
      </c>
      <c r="O194" s="12">
        <v>0</v>
      </c>
      <c r="P194" s="12">
        <v>10.31</v>
      </c>
      <c r="Q194" s="12">
        <v>0.54</v>
      </c>
      <c r="R194" s="5">
        <v>18.29</v>
      </c>
      <c r="S194" s="6">
        <v>172</v>
      </c>
      <c r="T194" s="6" t="s">
        <v>344</v>
      </c>
    </row>
    <row r="195" spans="1:20" x14ac:dyDescent="0.35">
      <c r="A195" s="2">
        <v>194</v>
      </c>
      <c r="B195" s="2" t="s">
        <v>385</v>
      </c>
      <c r="C195" s="11" t="s">
        <v>21</v>
      </c>
      <c r="D195" s="12">
        <v>66</v>
      </c>
      <c r="E195" s="12">
        <v>0</v>
      </c>
      <c r="F195" s="12">
        <v>0</v>
      </c>
      <c r="G195" s="12">
        <v>0</v>
      </c>
      <c r="H195" s="12">
        <v>7.67</v>
      </c>
      <c r="I195" s="12">
        <v>0</v>
      </c>
      <c r="J195" s="12">
        <v>0</v>
      </c>
      <c r="K195" s="12">
        <v>5.29</v>
      </c>
      <c r="L195" s="12">
        <v>0</v>
      </c>
      <c r="M195" s="12">
        <v>2.0099999999999998</v>
      </c>
      <c r="N195" s="12">
        <v>0.06</v>
      </c>
      <c r="O195" s="12">
        <v>0</v>
      </c>
      <c r="P195" s="12">
        <v>9.5</v>
      </c>
      <c r="Q195" s="12">
        <v>0.51</v>
      </c>
      <c r="R195" s="5">
        <v>16.73</v>
      </c>
      <c r="S195" s="6">
        <v>12</v>
      </c>
      <c r="T195" s="6">
        <v>4</v>
      </c>
    </row>
    <row r="196" spans="1:20" x14ac:dyDescent="0.35">
      <c r="A196" s="2">
        <v>195</v>
      </c>
      <c r="B196" s="2" t="s">
        <v>386</v>
      </c>
      <c r="C196" s="11" t="s">
        <v>21</v>
      </c>
      <c r="D196" s="12">
        <v>66</v>
      </c>
      <c r="E196" s="12">
        <v>0</v>
      </c>
      <c r="F196" s="12">
        <v>0</v>
      </c>
      <c r="G196" s="12">
        <v>0</v>
      </c>
      <c r="H196" s="12">
        <v>8.3699999999999992</v>
      </c>
      <c r="I196" s="12">
        <v>0</v>
      </c>
      <c r="J196" s="12">
        <v>0</v>
      </c>
      <c r="K196" s="12">
        <v>10.15</v>
      </c>
      <c r="L196" s="12">
        <v>0</v>
      </c>
      <c r="M196" s="12">
        <v>2.04</v>
      </c>
      <c r="N196" s="12">
        <v>0.06</v>
      </c>
      <c r="O196" s="12">
        <v>0</v>
      </c>
      <c r="P196" s="12">
        <v>15.49</v>
      </c>
      <c r="Q196" s="12">
        <v>0.52</v>
      </c>
      <c r="R196" s="5">
        <v>18.734999999999999</v>
      </c>
      <c r="S196" s="6">
        <v>15</v>
      </c>
      <c r="T196" s="6">
        <v>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7"/>
  <sheetViews>
    <sheetView workbookViewId="0"/>
  </sheetViews>
  <sheetFormatPr defaultRowHeight="14.5" x14ac:dyDescent="0.35"/>
  <cols>
    <col min="1" max="2" width="13" customWidth="1"/>
    <col min="3" max="4" width="18" customWidth="1"/>
    <col min="5" max="32" width="14" customWidth="1"/>
    <col min="33" max="33" width="23" customWidth="1"/>
  </cols>
  <sheetData>
    <row r="1" spans="1:33" ht="16" customHeight="1" x14ac:dyDescent="0.35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</row>
    <row r="2" spans="1:33" x14ac:dyDescent="0.35">
      <c r="A2" s="7" t="s">
        <v>131</v>
      </c>
      <c r="B2" s="7" t="s">
        <v>95</v>
      </c>
      <c r="C2" s="8">
        <v>37.07</v>
      </c>
      <c r="D2" s="8">
        <f t="shared" ref="D2:D33" si="0">SUM(E2:R2)</f>
        <v>115.98000000000002</v>
      </c>
      <c r="E2" s="8">
        <v>65.97</v>
      </c>
      <c r="F2" s="8">
        <v>1.42</v>
      </c>
      <c r="G2" s="8">
        <v>6.46</v>
      </c>
      <c r="H2" s="8">
        <v>0.65</v>
      </c>
      <c r="I2" s="8">
        <v>7</v>
      </c>
      <c r="J2" s="8">
        <v>8.98</v>
      </c>
      <c r="K2" s="8">
        <v>0</v>
      </c>
      <c r="L2" s="8">
        <v>1.26</v>
      </c>
      <c r="M2" s="8">
        <v>1.98</v>
      </c>
      <c r="N2" s="8">
        <v>3.09</v>
      </c>
      <c r="O2" s="8">
        <v>0.06</v>
      </c>
      <c r="P2" s="8">
        <v>11.84</v>
      </c>
      <c r="Q2" s="8">
        <v>5.16</v>
      </c>
      <c r="R2" s="8">
        <v>2.11</v>
      </c>
      <c r="S2" s="8">
        <f t="shared" ref="S2:S33" si="1">C2/D2*E2</f>
        <v>21.085600103466113</v>
      </c>
      <c r="T2" s="8">
        <f t="shared" ref="T2:T33" si="2">C2/D2*F2</f>
        <v>0.45386618382479732</v>
      </c>
      <c r="U2" s="8">
        <f t="shared" ref="U2:U33" si="3">C2/D2*G2</f>
        <v>2.0647715123297119</v>
      </c>
      <c r="V2" s="8">
        <f t="shared" ref="V2:V33" si="4">C2/D2*H2</f>
        <v>0.20775564752543541</v>
      </c>
      <c r="W2" s="8">
        <f t="shared" ref="W2:W33" si="5">C2/D2*I2</f>
        <v>2.2373685118123809</v>
      </c>
      <c r="X2" s="8">
        <f t="shared" ref="X2:X33" si="6">C2/D2*J2</f>
        <v>2.8702241765821692</v>
      </c>
      <c r="Y2" s="8">
        <f t="shared" ref="Y2:Y33" si="7">C2/D2*K2</f>
        <v>0</v>
      </c>
      <c r="Z2" s="8">
        <f t="shared" ref="Z2:Z33" si="8">C2/D2*L2</f>
        <v>0.4027263321262286</v>
      </c>
      <c r="AA2" s="8">
        <f t="shared" ref="AA2:AA33" si="9">C2/D2*M2</f>
        <v>0.63285566476978783</v>
      </c>
      <c r="AB2" s="8">
        <f t="shared" ref="AB2:AB33" si="10">C2/D2*N2</f>
        <v>0.9876383859286082</v>
      </c>
      <c r="AC2" s="8">
        <f t="shared" ref="AC2:AC33" si="11">C2/D2*O2</f>
        <v>1.9177444386963265E-2</v>
      </c>
      <c r="AD2" s="8">
        <f t="shared" ref="AD2:AD33" si="12">C2/D2*P2</f>
        <v>3.7843490256940848</v>
      </c>
      <c r="AE2" s="8">
        <f t="shared" ref="AE2:AE33" si="13">C2/D2*Q2</f>
        <v>1.6492602172788411</v>
      </c>
      <c r="AF2" s="8">
        <f t="shared" ref="AF2:AF33" si="14">C2/D2*R2</f>
        <v>0.67440679427487482</v>
      </c>
      <c r="AG2" s="8">
        <f t="shared" ref="AG2:AG33" si="15">66/SUMIF($A$2:$A$67,A2,$S$2:$S$67)</f>
        <v>1.5460829536435334</v>
      </c>
    </row>
    <row r="3" spans="1:33" x14ac:dyDescent="0.35">
      <c r="A3" s="7" t="s">
        <v>131</v>
      </c>
      <c r="B3" s="7" t="s">
        <v>96</v>
      </c>
      <c r="C3" s="8">
        <v>40.18</v>
      </c>
      <c r="D3" s="8">
        <f t="shared" si="0"/>
        <v>122.82999999999998</v>
      </c>
      <c r="E3" s="8">
        <v>66.040000000000006</v>
      </c>
      <c r="F3" s="8">
        <v>0</v>
      </c>
      <c r="G3" s="8">
        <v>14.09</v>
      </c>
      <c r="H3" s="8">
        <v>0.32</v>
      </c>
      <c r="I3" s="8">
        <v>0</v>
      </c>
      <c r="J3" s="8">
        <v>1.3</v>
      </c>
      <c r="K3" s="8">
        <v>8.86</v>
      </c>
      <c r="L3" s="8">
        <v>3.38</v>
      </c>
      <c r="M3" s="8">
        <v>0</v>
      </c>
      <c r="N3" s="8">
        <v>3.64</v>
      </c>
      <c r="O3" s="8">
        <v>0.06</v>
      </c>
      <c r="P3" s="8">
        <v>4.8499999999999996</v>
      </c>
      <c r="Q3" s="8">
        <v>17.600000000000001</v>
      </c>
      <c r="R3" s="8">
        <v>2.69</v>
      </c>
      <c r="S3" s="8">
        <f t="shared" si="1"/>
        <v>21.602924367011322</v>
      </c>
      <c r="T3" s="8">
        <f t="shared" si="2"/>
        <v>0</v>
      </c>
      <c r="U3" s="8">
        <f t="shared" si="3"/>
        <v>4.609103639176098</v>
      </c>
      <c r="V3" s="8">
        <f t="shared" si="4"/>
        <v>0.1046780102580803</v>
      </c>
      <c r="W3" s="8">
        <f t="shared" si="5"/>
        <v>0</v>
      </c>
      <c r="X3" s="8">
        <f t="shared" si="6"/>
        <v>0.42525441667345121</v>
      </c>
      <c r="Y3" s="8">
        <f t="shared" si="7"/>
        <v>2.8982724090205978</v>
      </c>
      <c r="Z3" s="8">
        <f t="shared" si="8"/>
        <v>1.105661483350973</v>
      </c>
      <c r="AA3" s="8">
        <f t="shared" si="9"/>
        <v>0</v>
      </c>
      <c r="AB3" s="8">
        <f t="shared" si="10"/>
        <v>1.1907123666856634</v>
      </c>
      <c r="AC3" s="8">
        <f t="shared" si="11"/>
        <v>1.9627126923390054E-2</v>
      </c>
      <c r="AD3" s="8">
        <f t="shared" si="12"/>
        <v>1.5865260929740292</v>
      </c>
      <c r="AE3" s="8">
        <f t="shared" si="13"/>
        <v>5.7572905641944168</v>
      </c>
      <c r="AF3" s="8">
        <f t="shared" si="14"/>
        <v>0.87994952373198743</v>
      </c>
      <c r="AG3" s="8">
        <f t="shared" si="15"/>
        <v>1.5460829536435334</v>
      </c>
    </row>
    <row r="4" spans="1:33" x14ac:dyDescent="0.35">
      <c r="A4" s="7" t="s">
        <v>132</v>
      </c>
      <c r="B4" s="7" t="s">
        <v>96</v>
      </c>
      <c r="C4" s="8">
        <v>44.91</v>
      </c>
      <c r="D4" s="8">
        <f t="shared" si="0"/>
        <v>122.82999999999998</v>
      </c>
      <c r="E4" s="8">
        <v>66.040000000000006</v>
      </c>
      <c r="F4" s="8">
        <v>0</v>
      </c>
      <c r="G4" s="8">
        <v>14.09</v>
      </c>
      <c r="H4" s="8">
        <v>0.32</v>
      </c>
      <c r="I4" s="8">
        <v>0</v>
      </c>
      <c r="J4" s="8">
        <v>1.3</v>
      </c>
      <c r="K4" s="8">
        <v>8.86</v>
      </c>
      <c r="L4" s="8">
        <v>3.38</v>
      </c>
      <c r="M4" s="8">
        <v>0</v>
      </c>
      <c r="N4" s="8">
        <v>3.64</v>
      </c>
      <c r="O4" s="8">
        <v>0.06</v>
      </c>
      <c r="P4" s="8">
        <v>4.8499999999999996</v>
      </c>
      <c r="Q4" s="8">
        <v>17.600000000000001</v>
      </c>
      <c r="R4" s="8">
        <v>2.69</v>
      </c>
      <c r="S4" s="8">
        <f t="shared" si="1"/>
        <v>24.146026215094036</v>
      </c>
      <c r="T4" s="8">
        <f t="shared" si="2"/>
        <v>0</v>
      </c>
      <c r="U4" s="8">
        <f t="shared" si="3"/>
        <v>5.1516885125783611</v>
      </c>
      <c r="V4" s="8">
        <f t="shared" si="4"/>
        <v>0.11700073272001955</v>
      </c>
      <c r="W4" s="8">
        <f t="shared" si="5"/>
        <v>0</v>
      </c>
      <c r="X4" s="8">
        <f t="shared" si="6"/>
        <v>0.47531547667507945</v>
      </c>
      <c r="Y4" s="8">
        <f t="shared" si="7"/>
        <v>3.239457787185541</v>
      </c>
      <c r="Z4" s="8">
        <f t="shared" si="8"/>
        <v>1.2358202393552065</v>
      </c>
      <c r="AA4" s="8">
        <f t="shared" si="9"/>
        <v>0</v>
      </c>
      <c r="AB4" s="8">
        <f t="shared" si="10"/>
        <v>1.3308833346902225</v>
      </c>
      <c r="AC4" s="8">
        <f t="shared" si="11"/>
        <v>2.1937637385003664E-2</v>
      </c>
      <c r="AD4" s="8">
        <f t="shared" si="12"/>
        <v>1.7732923552877962</v>
      </c>
      <c r="AE4" s="8">
        <f t="shared" si="13"/>
        <v>6.4350402996010754</v>
      </c>
      <c r="AF4" s="8">
        <f t="shared" si="14"/>
        <v>0.98353740942766432</v>
      </c>
      <c r="AG4" s="8">
        <f t="shared" si="15"/>
        <v>1.4639321793551541</v>
      </c>
    </row>
    <row r="5" spans="1:33" x14ac:dyDescent="0.35">
      <c r="A5" s="7" t="s">
        <v>132</v>
      </c>
      <c r="B5" s="7" t="s">
        <v>97</v>
      </c>
      <c r="C5" s="8">
        <v>34.049999999999997</v>
      </c>
      <c r="D5" s="8">
        <f t="shared" si="0"/>
        <v>107.64000000000001</v>
      </c>
      <c r="E5" s="8">
        <v>66.19</v>
      </c>
      <c r="F5" s="8">
        <v>0</v>
      </c>
      <c r="G5" s="8">
        <v>5.2</v>
      </c>
      <c r="H5" s="8">
        <v>0</v>
      </c>
      <c r="I5" s="8">
        <v>7.9</v>
      </c>
      <c r="J5" s="8">
        <v>7.81</v>
      </c>
      <c r="K5" s="8">
        <v>3.12</v>
      </c>
      <c r="L5" s="8">
        <v>0</v>
      </c>
      <c r="M5" s="8">
        <v>0</v>
      </c>
      <c r="N5" s="8">
        <v>1.51</v>
      </c>
      <c r="O5" s="8">
        <v>0.06</v>
      </c>
      <c r="P5" s="8">
        <v>8.8000000000000007</v>
      </c>
      <c r="Q5" s="8">
        <v>6.53</v>
      </c>
      <c r="R5" s="8">
        <v>0.52</v>
      </c>
      <c r="S5" s="8">
        <f t="shared" si="1"/>
        <v>20.938029542920841</v>
      </c>
      <c r="T5" s="8">
        <f t="shared" si="2"/>
        <v>0</v>
      </c>
      <c r="U5" s="8">
        <f t="shared" si="3"/>
        <v>1.6449275362318836</v>
      </c>
      <c r="V5" s="8">
        <f t="shared" si="4"/>
        <v>0</v>
      </c>
      <c r="W5" s="8">
        <f t="shared" si="5"/>
        <v>2.4990245261984385</v>
      </c>
      <c r="X5" s="8">
        <f t="shared" si="6"/>
        <v>2.4705546265328868</v>
      </c>
      <c r="Y5" s="8">
        <f t="shared" si="7"/>
        <v>0.98695652173913018</v>
      </c>
      <c r="Z5" s="8">
        <f t="shared" si="8"/>
        <v>0</v>
      </c>
      <c r="AA5" s="8">
        <f t="shared" si="9"/>
        <v>0</v>
      </c>
      <c r="AB5" s="8">
        <f t="shared" si="10"/>
        <v>0.47766164994425853</v>
      </c>
      <c r="AC5" s="8">
        <f t="shared" si="11"/>
        <v>1.8979933110367886E-2</v>
      </c>
      <c r="AD5" s="8">
        <f t="shared" si="12"/>
        <v>2.7837235228539572</v>
      </c>
      <c r="AE5" s="8">
        <f t="shared" si="13"/>
        <v>2.0656493868450387</v>
      </c>
      <c r="AF5" s="8">
        <f t="shared" si="14"/>
        <v>0.16449275362318838</v>
      </c>
      <c r="AG5" s="8">
        <f t="shared" si="15"/>
        <v>1.4639321793551541</v>
      </c>
    </row>
    <row r="6" spans="1:33" x14ac:dyDescent="0.35">
      <c r="A6" s="7" t="s">
        <v>133</v>
      </c>
      <c r="B6" s="7" t="s">
        <v>97</v>
      </c>
      <c r="C6" s="8">
        <v>45.88</v>
      </c>
      <c r="D6" s="8">
        <f t="shared" si="0"/>
        <v>107.64000000000001</v>
      </c>
      <c r="E6" s="8">
        <v>66.19</v>
      </c>
      <c r="F6" s="8">
        <v>0</v>
      </c>
      <c r="G6" s="8">
        <v>5.2</v>
      </c>
      <c r="H6" s="8">
        <v>0</v>
      </c>
      <c r="I6" s="8">
        <v>7.9</v>
      </c>
      <c r="J6" s="8">
        <v>7.81</v>
      </c>
      <c r="K6" s="8">
        <v>3.12</v>
      </c>
      <c r="L6" s="8">
        <v>0</v>
      </c>
      <c r="M6" s="8">
        <v>0</v>
      </c>
      <c r="N6" s="8">
        <v>1.51</v>
      </c>
      <c r="O6" s="8">
        <v>0.06</v>
      </c>
      <c r="P6" s="8">
        <v>8.8000000000000007</v>
      </c>
      <c r="Q6" s="8">
        <v>6.53</v>
      </c>
      <c r="R6" s="8">
        <v>0.52</v>
      </c>
      <c r="S6" s="8">
        <f t="shared" si="1"/>
        <v>28.212534373838718</v>
      </c>
      <c r="T6" s="8">
        <f t="shared" si="2"/>
        <v>0</v>
      </c>
      <c r="U6" s="8">
        <f t="shared" si="3"/>
        <v>2.2164251207729468</v>
      </c>
      <c r="V6" s="8">
        <f t="shared" si="4"/>
        <v>0</v>
      </c>
      <c r="W6" s="8">
        <f t="shared" si="5"/>
        <v>3.3672612411742846</v>
      </c>
      <c r="X6" s="8">
        <f t="shared" si="6"/>
        <v>3.3289000371609063</v>
      </c>
      <c r="Y6" s="8">
        <f t="shared" si="7"/>
        <v>1.3298550724637681</v>
      </c>
      <c r="Z6" s="8">
        <f t="shared" si="8"/>
        <v>0</v>
      </c>
      <c r="AA6" s="8">
        <f t="shared" si="9"/>
        <v>0</v>
      </c>
      <c r="AB6" s="8">
        <f t="shared" si="10"/>
        <v>0.64361575622445177</v>
      </c>
      <c r="AC6" s="8">
        <f t="shared" si="11"/>
        <v>2.5574136008918613E-2</v>
      </c>
      <c r="AD6" s="8">
        <f t="shared" si="12"/>
        <v>3.7508732813080639</v>
      </c>
      <c r="AE6" s="8">
        <f t="shared" si="13"/>
        <v>2.7833184689706427</v>
      </c>
      <c r="AF6" s="8">
        <f t="shared" si="14"/>
        <v>0.22164251207729468</v>
      </c>
      <c r="AG6" s="8">
        <f t="shared" si="15"/>
        <v>1.3209410007210998</v>
      </c>
    </row>
    <row r="7" spans="1:33" x14ac:dyDescent="0.35">
      <c r="A7" s="7" t="s">
        <v>133</v>
      </c>
      <c r="B7" s="7" t="s">
        <v>98</v>
      </c>
      <c r="C7" s="8">
        <v>40.799999999999997</v>
      </c>
      <c r="D7" s="8">
        <f t="shared" si="0"/>
        <v>123.44000000000001</v>
      </c>
      <c r="E7" s="8">
        <v>65.81</v>
      </c>
      <c r="F7" s="8">
        <v>3.59</v>
      </c>
      <c r="G7" s="8">
        <v>0</v>
      </c>
      <c r="H7" s="8">
        <v>0.13</v>
      </c>
      <c r="I7" s="8">
        <v>7.98</v>
      </c>
      <c r="J7" s="8">
        <v>7.9</v>
      </c>
      <c r="K7" s="8">
        <v>6.36</v>
      </c>
      <c r="L7" s="8">
        <v>4.3099999999999996</v>
      </c>
      <c r="M7" s="8">
        <v>1.55</v>
      </c>
      <c r="N7" s="8">
        <v>2.95</v>
      </c>
      <c r="O7" s="8">
        <v>0.06</v>
      </c>
      <c r="P7" s="8">
        <v>12.39</v>
      </c>
      <c r="Q7" s="8">
        <v>9.6</v>
      </c>
      <c r="R7" s="8">
        <v>0.81</v>
      </c>
      <c r="S7" s="8">
        <f t="shared" si="1"/>
        <v>21.751847051198961</v>
      </c>
      <c r="T7" s="8">
        <f t="shared" si="2"/>
        <v>1.1865845755022681</v>
      </c>
      <c r="U7" s="8">
        <f t="shared" si="3"/>
        <v>0</v>
      </c>
      <c r="V7" s="8">
        <f t="shared" si="4"/>
        <v>4.2968243681140626E-2</v>
      </c>
      <c r="W7" s="8">
        <f t="shared" si="5"/>
        <v>2.6375891121192478</v>
      </c>
      <c r="X7" s="8">
        <f t="shared" si="6"/>
        <v>2.6111471160077766</v>
      </c>
      <c r="Y7" s="8">
        <f t="shared" si="7"/>
        <v>2.102138690861957</v>
      </c>
      <c r="Z7" s="8">
        <f t="shared" si="8"/>
        <v>1.4245625405055085</v>
      </c>
      <c r="AA7" s="8">
        <f t="shared" si="9"/>
        <v>0.51231367465975364</v>
      </c>
      <c r="AB7" s="8">
        <f t="shared" si="10"/>
        <v>0.97504860661049897</v>
      </c>
      <c r="AC7" s="8">
        <f t="shared" si="11"/>
        <v>1.9831497083603367E-2</v>
      </c>
      <c r="AD7" s="8">
        <f t="shared" si="12"/>
        <v>4.095204147764095</v>
      </c>
      <c r="AE7" s="8">
        <f t="shared" si="13"/>
        <v>3.1730395333765387</v>
      </c>
      <c r="AF7" s="8">
        <f t="shared" si="14"/>
        <v>0.26772521062864546</v>
      </c>
      <c r="AG7" s="8">
        <f t="shared" si="15"/>
        <v>1.3209410007210998</v>
      </c>
    </row>
    <row r="8" spans="1:33" x14ac:dyDescent="0.35">
      <c r="A8" s="7" t="s">
        <v>134</v>
      </c>
      <c r="B8" s="7" t="s">
        <v>98</v>
      </c>
      <c r="C8" s="8">
        <v>57</v>
      </c>
      <c r="D8" s="8">
        <f t="shared" si="0"/>
        <v>123.44000000000001</v>
      </c>
      <c r="E8" s="8">
        <v>65.81</v>
      </c>
      <c r="F8" s="8">
        <v>3.59</v>
      </c>
      <c r="G8" s="8">
        <v>0</v>
      </c>
      <c r="H8" s="8">
        <v>0.13</v>
      </c>
      <c r="I8" s="8">
        <v>7.98</v>
      </c>
      <c r="J8" s="8">
        <v>7.9</v>
      </c>
      <c r="K8" s="8">
        <v>6.36</v>
      </c>
      <c r="L8" s="8">
        <v>4.3099999999999996</v>
      </c>
      <c r="M8" s="8">
        <v>1.55</v>
      </c>
      <c r="N8" s="8">
        <v>2.95</v>
      </c>
      <c r="O8" s="8">
        <v>0.06</v>
      </c>
      <c r="P8" s="8">
        <v>12.39</v>
      </c>
      <c r="Q8" s="8">
        <v>9.6</v>
      </c>
      <c r="R8" s="8">
        <v>0.81</v>
      </c>
      <c r="S8" s="8">
        <f t="shared" si="1"/>
        <v>30.388609850939723</v>
      </c>
      <c r="T8" s="8">
        <f t="shared" si="2"/>
        <v>1.6577284510693451</v>
      </c>
      <c r="U8" s="8">
        <f t="shared" si="3"/>
        <v>0</v>
      </c>
      <c r="V8" s="8">
        <f t="shared" si="4"/>
        <v>6.0029163966299412E-2</v>
      </c>
      <c r="W8" s="8">
        <f t="shared" si="5"/>
        <v>3.6848671419313024</v>
      </c>
      <c r="X8" s="8">
        <f t="shared" si="6"/>
        <v>3.647926117952041</v>
      </c>
      <c r="Y8" s="8">
        <f t="shared" si="7"/>
        <v>2.9368114063512634</v>
      </c>
      <c r="Z8" s="8">
        <f t="shared" si="8"/>
        <v>1.9901976668826955</v>
      </c>
      <c r="AA8" s="8">
        <f t="shared" si="9"/>
        <v>0.71573233959818527</v>
      </c>
      <c r="AB8" s="8">
        <f t="shared" si="10"/>
        <v>1.3622002592352558</v>
      </c>
      <c r="AC8" s="8">
        <f t="shared" si="11"/>
        <v>2.7705767984445878E-2</v>
      </c>
      <c r="AD8" s="8">
        <f t="shared" si="12"/>
        <v>5.7212410887880747</v>
      </c>
      <c r="AE8" s="8">
        <f t="shared" si="13"/>
        <v>4.4329228775113405</v>
      </c>
      <c r="AF8" s="8">
        <f t="shared" si="14"/>
        <v>0.3740278677900194</v>
      </c>
      <c r="AG8" s="8">
        <f t="shared" si="15"/>
        <v>1.2704980326754447</v>
      </c>
    </row>
    <row r="9" spans="1:33" x14ac:dyDescent="0.35">
      <c r="A9" s="7" t="s">
        <v>134</v>
      </c>
      <c r="B9" s="7" t="s">
        <v>99</v>
      </c>
      <c r="C9" s="8">
        <v>36.56</v>
      </c>
      <c r="D9" s="8">
        <f t="shared" si="0"/>
        <v>112.26000000000002</v>
      </c>
      <c r="E9" s="8">
        <v>66.2</v>
      </c>
      <c r="F9" s="8">
        <v>3.26</v>
      </c>
      <c r="G9" s="8">
        <v>9.83</v>
      </c>
      <c r="H9" s="8">
        <v>0</v>
      </c>
      <c r="I9" s="8">
        <v>1.92</v>
      </c>
      <c r="J9" s="8">
        <v>7.36</v>
      </c>
      <c r="K9" s="8">
        <v>0</v>
      </c>
      <c r="L9" s="8">
        <v>0.87</v>
      </c>
      <c r="M9" s="8">
        <v>1.37</v>
      </c>
      <c r="N9" s="8">
        <v>2.88</v>
      </c>
      <c r="O9" s="8">
        <v>0.06</v>
      </c>
      <c r="P9" s="8">
        <v>5.3</v>
      </c>
      <c r="Q9" s="8">
        <v>13.21</v>
      </c>
      <c r="R9" s="8">
        <v>0</v>
      </c>
      <c r="S9" s="8">
        <f t="shared" si="1"/>
        <v>21.559522536967755</v>
      </c>
      <c r="T9" s="8">
        <f t="shared" si="2"/>
        <v>1.0616924995546053</v>
      </c>
      <c r="U9" s="8">
        <f t="shared" si="3"/>
        <v>3.2013611259575985</v>
      </c>
      <c r="V9" s="8">
        <f t="shared" si="4"/>
        <v>0</v>
      </c>
      <c r="W9" s="8">
        <f t="shared" si="5"/>
        <v>0.6252912880812399</v>
      </c>
      <c r="X9" s="8">
        <f t="shared" si="6"/>
        <v>2.3969499376447532</v>
      </c>
      <c r="Y9" s="8">
        <f t="shared" si="7"/>
        <v>0</v>
      </c>
      <c r="Z9" s="8">
        <f t="shared" si="8"/>
        <v>0.28333511491181185</v>
      </c>
      <c r="AA9" s="8">
        <f t="shared" si="9"/>
        <v>0.44617138784963478</v>
      </c>
      <c r="AB9" s="8">
        <f t="shared" si="10"/>
        <v>0.93793693212185991</v>
      </c>
      <c r="AC9" s="8">
        <f t="shared" si="11"/>
        <v>1.9540352752538747E-2</v>
      </c>
      <c r="AD9" s="8">
        <f t="shared" si="12"/>
        <v>1.7260644931409228</v>
      </c>
      <c r="AE9" s="8">
        <f t="shared" si="13"/>
        <v>4.3021343310172817</v>
      </c>
      <c r="AF9" s="8">
        <f t="shared" si="14"/>
        <v>0</v>
      </c>
      <c r="AG9" s="8">
        <f t="shared" si="15"/>
        <v>1.2704980326754447</v>
      </c>
    </row>
    <row r="10" spans="1:33" x14ac:dyDescent="0.35">
      <c r="A10" s="7" t="s">
        <v>135</v>
      </c>
      <c r="B10" s="7" t="s">
        <v>99</v>
      </c>
      <c r="C10" s="8">
        <v>44.13</v>
      </c>
      <c r="D10" s="8">
        <f t="shared" si="0"/>
        <v>112.26000000000002</v>
      </c>
      <c r="E10" s="8">
        <v>66.2</v>
      </c>
      <c r="F10" s="8">
        <v>3.26</v>
      </c>
      <c r="G10" s="8">
        <v>9.83</v>
      </c>
      <c r="H10" s="8">
        <v>0</v>
      </c>
      <c r="I10" s="8">
        <v>1.92</v>
      </c>
      <c r="J10" s="8">
        <v>7.36</v>
      </c>
      <c r="K10" s="8">
        <v>0</v>
      </c>
      <c r="L10" s="8">
        <v>0.87</v>
      </c>
      <c r="M10" s="8">
        <v>1.37</v>
      </c>
      <c r="N10" s="8">
        <v>2.88</v>
      </c>
      <c r="O10" s="8">
        <v>0.06</v>
      </c>
      <c r="P10" s="8">
        <v>5.3</v>
      </c>
      <c r="Q10" s="8">
        <v>13.21</v>
      </c>
      <c r="R10" s="8">
        <v>0</v>
      </c>
      <c r="S10" s="8">
        <f t="shared" si="1"/>
        <v>26.023570283270978</v>
      </c>
      <c r="T10" s="8">
        <f t="shared" si="2"/>
        <v>1.2815232495991447</v>
      </c>
      <c r="U10" s="8">
        <f t="shared" si="3"/>
        <v>3.8642250133618381</v>
      </c>
      <c r="V10" s="8">
        <f t="shared" si="4"/>
        <v>0</v>
      </c>
      <c r="W10" s="8">
        <f t="shared" si="5"/>
        <v>0.75476215927311585</v>
      </c>
      <c r="X10" s="8">
        <f t="shared" si="6"/>
        <v>2.8932549438802777</v>
      </c>
      <c r="Y10" s="8">
        <f t="shared" si="7"/>
        <v>0</v>
      </c>
      <c r="Z10" s="8">
        <f t="shared" si="8"/>
        <v>0.34200160342063063</v>
      </c>
      <c r="AA10" s="8">
        <f t="shared" si="9"/>
        <v>0.53855424906467131</v>
      </c>
      <c r="AB10" s="8">
        <f t="shared" si="10"/>
        <v>1.1321432389096737</v>
      </c>
      <c r="AC10" s="8">
        <f t="shared" si="11"/>
        <v>2.358631747728487E-2</v>
      </c>
      <c r="AD10" s="8">
        <f t="shared" si="12"/>
        <v>2.0834580438268304</v>
      </c>
      <c r="AE10" s="8">
        <f t="shared" si="13"/>
        <v>5.1929208979155526</v>
      </c>
      <c r="AF10" s="8">
        <f t="shared" si="14"/>
        <v>0</v>
      </c>
      <c r="AG10" s="8">
        <f t="shared" si="15"/>
        <v>1.2402002058064119</v>
      </c>
    </row>
    <row r="11" spans="1:33" x14ac:dyDescent="0.35">
      <c r="A11" s="7" t="s">
        <v>135</v>
      </c>
      <c r="B11" s="7" t="s">
        <v>100</v>
      </c>
      <c r="C11" s="8">
        <v>43.14</v>
      </c>
      <c r="D11" s="8">
        <f t="shared" si="0"/>
        <v>104.75</v>
      </c>
      <c r="E11" s="8">
        <v>66.03</v>
      </c>
      <c r="F11" s="8">
        <v>2.59</v>
      </c>
      <c r="G11" s="8">
        <v>0</v>
      </c>
      <c r="H11" s="8">
        <v>0.41</v>
      </c>
      <c r="I11" s="8">
        <v>5.1100000000000003</v>
      </c>
      <c r="J11" s="8">
        <v>4.12</v>
      </c>
      <c r="K11" s="8">
        <v>7.36</v>
      </c>
      <c r="L11" s="8">
        <v>0</v>
      </c>
      <c r="M11" s="8">
        <v>1.9</v>
      </c>
      <c r="N11" s="8">
        <v>1.05</v>
      </c>
      <c r="O11" s="8">
        <v>0.06</v>
      </c>
      <c r="P11" s="8">
        <v>11.35</v>
      </c>
      <c r="Q11" s="8">
        <v>4.03</v>
      </c>
      <c r="R11" s="8">
        <v>0.74</v>
      </c>
      <c r="S11" s="8">
        <f t="shared" si="1"/>
        <v>27.193643914081147</v>
      </c>
      <c r="T11" s="8">
        <f t="shared" si="2"/>
        <v>1.0666596658711216</v>
      </c>
      <c r="U11" s="8">
        <f t="shared" si="3"/>
        <v>0</v>
      </c>
      <c r="V11" s="8">
        <f t="shared" si="4"/>
        <v>0.16885346062052506</v>
      </c>
      <c r="W11" s="8">
        <f t="shared" si="5"/>
        <v>2.1044906921241053</v>
      </c>
      <c r="X11" s="8">
        <f t="shared" si="6"/>
        <v>1.6967713603818617</v>
      </c>
      <c r="Y11" s="8">
        <f t="shared" si="7"/>
        <v>3.0311255369928403</v>
      </c>
      <c r="Z11" s="8">
        <f t="shared" si="8"/>
        <v>0</v>
      </c>
      <c r="AA11" s="8">
        <f t="shared" si="9"/>
        <v>0.78249164677804295</v>
      </c>
      <c r="AB11" s="8">
        <f t="shared" si="10"/>
        <v>0.43242959427207639</v>
      </c>
      <c r="AC11" s="8">
        <f t="shared" si="11"/>
        <v>2.4710262529832935E-2</v>
      </c>
      <c r="AD11" s="8">
        <f t="shared" si="12"/>
        <v>4.67435799522673</v>
      </c>
      <c r="AE11" s="8">
        <f t="shared" si="13"/>
        <v>1.6597059665871123</v>
      </c>
      <c r="AF11" s="8">
        <f t="shared" si="14"/>
        <v>0.30475990453460622</v>
      </c>
      <c r="AG11" s="8">
        <f t="shared" si="15"/>
        <v>1.2402002058064119</v>
      </c>
    </row>
    <row r="12" spans="1:33" x14ac:dyDescent="0.35">
      <c r="A12" s="7" t="s">
        <v>136</v>
      </c>
      <c r="B12" s="7" t="s">
        <v>100</v>
      </c>
      <c r="C12" s="8">
        <v>44.7</v>
      </c>
      <c r="D12" s="8">
        <f t="shared" si="0"/>
        <v>104.75</v>
      </c>
      <c r="E12" s="8">
        <v>66.03</v>
      </c>
      <c r="F12" s="8">
        <v>2.59</v>
      </c>
      <c r="G12" s="8">
        <v>0</v>
      </c>
      <c r="H12" s="8">
        <v>0.41</v>
      </c>
      <c r="I12" s="8">
        <v>5.1100000000000003</v>
      </c>
      <c r="J12" s="8">
        <v>4.12</v>
      </c>
      <c r="K12" s="8">
        <v>7.36</v>
      </c>
      <c r="L12" s="8">
        <v>0</v>
      </c>
      <c r="M12" s="8">
        <v>1.9</v>
      </c>
      <c r="N12" s="8">
        <v>1.05</v>
      </c>
      <c r="O12" s="8">
        <v>0.06</v>
      </c>
      <c r="P12" s="8">
        <v>11.35</v>
      </c>
      <c r="Q12" s="8">
        <v>4.03</v>
      </c>
      <c r="R12" s="8">
        <v>0.74</v>
      </c>
      <c r="S12" s="8">
        <f t="shared" si="1"/>
        <v>28.177002386634847</v>
      </c>
      <c r="T12" s="8">
        <f t="shared" si="2"/>
        <v>1.1052315035799523</v>
      </c>
      <c r="U12" s="8">
        <f t="shared" si="3"/>
        <v>0</v>
      </c>
      <c r="V12" s="8">
        <f t="shared" si="4"/>
        <v>0.17495942720763721</v>
      </c>
      <c r="W12" s="8">
        <f t="shared" si="5"/>
        <v>2.1805918854415274</v>
      </c>
      <c r="X12" s="8">
        <f t="shared" si="6"/>
        <v>1.7581288782816229</v>
      </c>
      <c r="Y12" s="8">
        <f t="shared" si="7"/>
        <v>3.1407350835322196</v>
      </c>
      <c r="Z12" s="8">
        <f t="shared" si="8"/>
        <v>0</v>
      </c>
      <c r="AA12" s="8">
        <f t="shared" si="9"/>
        <v>0.81078758949880669</v>
      </c>
      <c r="AB12" s="8">
        <f t="shared" si="10"/>
        <v>0.44806682577565632</v>
      </c>
      <c r="AC12" s="8">
        <f t="shared" si="11"/>
        <v>2.560381861575179E-2</v>
      </c>
      <c r="AD12" s="8">
        <f t="shared" si="12"/>
        <v>4.8433890214797133</v>
      </c>
      <c r="AE12" s="8">
        <f t="shared" si="13"/>
        <v>1.7197231503579953</v>
      </c>
      <c r="AF12" s="8">
        <f t="shared" si="14"/>
        <v>0.31578042959427205</v>
      </c>
      <c r="AG12" s="8">
        <f t="shared" si="15"/>
        <v>1.2517116020649932</v>
      </c>
    </row>
    <row r="13" spans="1:33" x14ac:dyDescent="0.35">
      <c r="A13" s="7" t="s">
        <v>136</v>
      </c>
      <c r="B13" s="7" t="s">
        <v>101</v>
      </c>
      <c r="C13" s="8">
        <v>44.7</v>
      </c>
      <c r="D13" s="8">
        <f t="shared" si="0"/>
        <v>120.24000000000001</v>
      </c>
      <c r="E13" s="8">
        <v>66.040000000000006</v>
      </c>
      <c r="F13" s="8">
        <v>0.87</v>
      </c>
      <c r="G13" s="8">
        <v>11.52</v>
      </c>
      <c r="H13" s="8">
        <v>0</v>
      </c>
      <c r="I13" s="8">
        <v>7.77</v>
      </c>
      <c r="J13" s="8">
        <v>3.76</v>
      </c>
      <c r="K13" s="8">
        <v>0</v>
      </c>
      <c r="L13" s="8">
        <v>2.88</v>
      </c>
      <c r="M13" s="8">
        <v>1.77</v>
      </c>
      <c r="N13" s="8">
        <v>3</v>
      </c>
      <c r="O13" s="8">
        <v>0.06</v>
      </c>
      <c r="P13" s="8">
        <v>11.36</v>
      </c>
      <c r="Q13" s="8">
        <v>9.1999999999999993</v>
      </c>
      <c r="R13" s="8">
        <v>2.0099999999999998</v>
      </c>
      <c r="S13" s="8">
        <f t="shared" si="1"/>
        <v>24.550798403193614</v>
      </c>
      <c r="T13" s="8">
        <f t="shared" si="2"/>
        <v>0.32342814371257483</v>
      </c>
      <c r="U13" s="8">
        <f t="shared" si="3"/>
        <v>4.2826347305389216</v>
      </c>
      <c r="V13" s="8">
        <f t="shared" si="4"/>
        <v>0</v>
      </c>
      <c r="W13" s="8">
        <f t="shared" si="5"/>
        <v>2.8885479041916167</v>
      </c>
      <c r="X13" s="8">
        <f t="shared" si="6"/>
        <v>1.3978043912175648</v>
      </c>
      <c r="Y13" s="8">
        <f t="shared" si="7"/>
        <v>0</v>
      </c>
      <c r="Z13" s="8">
        <f t="shared" si="8"/>
        <v>1.0706586826347304</v>
      </c>
      <c r="AA13" s="8">
        <f t="shared" si="9"/>
        <v>0.65800898203592817</v>
      </c>
      <c r="AB13" s="8">
        <f t="shared" si="10"/>
        <v>1.1152694610778444</v>
      </c>
      <c r="AC13" s="8">
        <f t="shared" si="11"/>
        <v>2.2305389221556886E-2</v>
      </c>
      <c r="AD13" s="8">
        <f t="shared" si="12"/>
        <v>4.2231536926147699</v>
      </c>
      <c r="AE13" s="8">
        <f t="shared" si="13"/>
        <v>3.4201596806387222</v>
      </c>
      <c r="AF13" s="8">
        <f t="shared" si="14"/>
        <v>0.74723053892215563</v>
      </c>
      <c r="AG13" s="8">
        <f t="shared" si="15"/>
        <v>1.2517116020649932</v>
      </c>
    </row>
    <row r="14" spans="1:33" x14ac:dyDescent="0.35">
      <c r="A14" s="7" t="s">
        <v>137</v>
      </c>
      <c r="B14" s="7" t="s">
        <v>101</v>
      </c>
      <c r="C14" s="8">
        <v>45.21</v>
      </c>
      <c r="D14" s="8">
        <f t="shared" si="0"/>
        <v>120.24000000000001</v>
      </c>
      <c r="E14" s="8">
        <v>66.040000000000006</v>
      </c>
      <c r="F14" s="8">
        <v>0.87</v>
      </c>
      <c r="G14" s="8">
        <v>11.52</v>
      </c>
      <c r="H14" s="8">
        <v>0</v>
      </c>
      <c r="I14" s="8">
        <v>7.77</v>
      </c>
      <c r="J14" s="8">
        <v>3.76</v>
      </c>
      <c r="K14" s="8">
        <v>0</v>
      </c>
      <c r="L14" s="8">
        <v>2.88</v>
      </c>
      <c r="M14" s="8">
        <v>1.77</v>
      </c>
      <c r="N14" s="8">
        <v>3</v>
      </c>
      <c r="O14" s="8">
        <v>0.06</v>
      </c>
      <c r="P14" s="8">
        <v>11.36</v>
      </c>
      <c r="Q14" s="8">
        <v>9.1999999999999993</v>
      </c>
      <c r="R14" s="8">
        <v>2.0099999999999998</v>
      </c>
      <c r="S14" s="8">
        <f t="shared" si="1"/>
        <v>24.830908183632737</v>
      </c>
      <c r="T14" s="8">
        <f t="shared" si="2"/>
        <v>0.32711826347305384</v>
      </c>
      <c r="U14" s="8">
        <f t="shared" si="3"/>
        <v>4.3314970059880231</v>
      </c>
      <c r="V14" s="8">
        <f t="shared" si="4"/>
        <v>0</v>
      </c>
      <c r="W14" s="8">
        <f t="shared" si="5"/>
        <v>2.9215044910179637</v>
      </c>
      <c r="X14" s="8">
        <f t="shared" si="6"/>
        <v>1.4137524950099798</v>
      </c>
      <c r="Y14" s="8">
        <f t="shared" si="7"/>
        <v>0</v>
      </c>
      <c r="Z14" s="8">
        <f t="shared" si="8"/>
        <v>1.0828742514970058</v>
      </c>
      <c r="AA14" s="8">
        <f t="shared" si="9"/>
        <v>0.6655164670658682</v>
      </c>
      <c r="AB14" s="8">
        <f t="shared" si="10"/>
        <v>1.1279940119760479</v>
      </c>
      <c r="AC14" s="8">
        <f t="shared" si="11"/>
        <v>2.2559880239520956E-2</v>
      </c>
      <c r="AD14" s="8">
        <f t="shared" si="12"/>
        <v>4.2713373253493012</v>
      </c>
      <c r="AE14" s="8">
        <f t="shared" si="13"/>
        <v>3.4591816367265462</v>
      </c>
      <c r="AF14" s="8">
        <f t="shared" si="14"/>
        <v>0.75575598802395194</v>
      </c>
      <c r="AG14" s="8">
        <f t="shared" si="15"/>
        <v>1.3315777312837782</v>
      </c>
    </row>
    <row r="15" spans="1:33" x14ac:dyDescent="0.35">
      <c r="A15" s="7" t="s">
        <v>137</v>
      </c>
      <c r="B15" s="7" t="s">
        <v>102</v>
      </c>
      <c r="C15" s="8">
        <v>41.41</v>
      </c>
      <c r="D15" s="8">
        <f t="shared" si="0"/>
        <v>110.53</v>
      </c>
      <c r="E15" s="8">
        <v>66.02</v>
      </c>
      <c r="F15" s="8">
        <v>0.53</v>
      </c>
      <c r="G15" s="8">
        <v>14.35</v>
      </c>
      <c r="H15" s="8">
        <v>0</v>
      </c>
      <c r="I15" s="8">
        <v>0</v>
      </c>
      <c r="J15" s="8">
        <v>0.9</v>
      </c>
      <c r="K15" s="8">
        <v>6.27</v>
      </c>
      <c r="L15" s="8">
        <v>0</v>
      </c>
      <c r="M15" s="8">
        <v>0</v>
      </c>
      <c r="N15" s="8">
        <v>1.59</v>
      </c>
      <c r="O15" s="8">
        <v>0.06</v>
      </c>
      <c r="P15" s="8">
        <v>12.47</v>
      </c>
      <c r="Q15" s="8">
        <v>5.59</v>
      </c>
      <c r="R15" s="8">
        <v>2.75</v>
      </c>
      <c r="S15" s="8">
        <f t="shared" si="1"/>
        <v>24.734354473898485</v>
      </c>
      <c r="T15" s="8">
        <f t="shared" si="2"/>
        <v>0.19856419071745227</v>
      </c>
      <c r="U15" s="8">
        <f t="shared" si="3"/>
        <v>5.3762191260291319</v>
      </c>
      <c r="V15" s="8">
        <f t="shared" si="4"/>
        <v>0</v>
      </c>
      <c r="W15" s="8">
        <f t="shared" si="5"/>
        <v>0</v>
      </c>
      <c r="X15" s="8">
        <f t="shared" si="6"/>
        <v>0.33718447480322083</v>
      </c>
      <c r="Y15" s="8">
        <f t="shared" si="7"/>
        <v>2.3490518411291048</v>
      </c>
      <c r="Z15" s="8">
        <f t="shared" si="8"/>
        <v>0</v>
      </c>
      <c r="AA15" s="8">
        <f t="shared" si="9"/>
        <v>0</v>
      </c>
      <c r="AB15" s="8">
        <f t="shared" si="10"/>
        <v>0.59569257215235683</v>
      </c>
      <c r="AC15" s="8">
        <f t="shared" si="11"/>
        <v>2.2478964986881386E-2</v>
      </c>
      <c r="AD15" s="8">
        <f t="shared" si="12"/>
        <v>4.671878223106849</v>
      </c>
      <c r="AE15" s="8">
        <f t="shared" si="13"/>
        <v>2.0942902379444495</v>
      </c>
      <c r="AF15" s="8">
        <f t="shared" si="14"/>
        <v>1.0302858952320637</v>
      </c>
      <c r="AG15" s="8">
        <f t="shared" si="15"/>
        <v>1.3315777312837782</v>
      </c>
    </row>
    <row r="16" spans="1:33" x14ac:dyDescent="0.35">
      <c r="A16" s="7" t="s">
        <v>138</v>
      </c>
      <c r="B16" s="7" t="s">
        <v>102</v>
      </c>
      <c r="C16" s="8">
        <v>43.48</v>
      </c>
      <c r="D16" s="8">
        <f t="shared" si="0"/>
        <v>110.53</v>
      </c>
      <c r="E16" s="8">
        <v>66.02</v>
      </c>
      <c r="F16" s="8">
        <v>0.53</v>
      </c>
      <c r="G16" s="8">
        <v>14.35</v>
      </c>
      <c r="H16" s="8">
        <v>0</v>
      </c>
      <c r="I16" s="8">
        <v>0</v>
      </c>
      <c r="J16" s="8">
        <v>0.9</v>
      </c>
      <c r="K16" s="8">
        <v>6.27</v>
      </c>
      <c r="L16" s="8">
        <v>0</v>
      </c>
      <c r="M16" s="8">
        <v>0</v>
      </c>
      <c r="N16" s="8">
        <v>1.59</v>
      </c>
      <c r="O16" s="8">
        <v>0.06</v>
      </c>
      <c r="P16" s="8">
        <v>12.47</v>
      </c>
      <c r="Q16" s="8">
        <v>5.59</v>
      </c>
      <c r="R16" s="8">
        <v>2.75</v>
      </c>
      <c r="S16" s="8">
        <f t="shared" si="1"/>
        <v>25.970773545643713</v>
      </c>
      <c r="T16" s="8">
        <f t="shared" si="2"/>
        <v>0.20849000271419524</v>
      </c>
      <c r="U16" s="8">
        <f t="shared" si="3"/>
        <v>5.6449651678277384</v>
      </c>
      <c r="V16" s="8">
        <f t="shared" si="4"/>
        <v>0</v>
      </c>
      <c r="W16" s="8">
        <f t="shared" si="5"/>
        <v>0</v>
      </c>
      <c r="X16" s="8">
        <f t="shared" si="6"/>
        <v>0.35403962725052024</v>
      </c>
      <c r="Y16" s="8">
        <f t="shared" si="7"/>
        <v>2.4664760698452906</v>
      </c>
      <c r="Z16" s="8">
        <f t="shared" si="8"/>
        <v>0</v>
      </c>
      <c r="AA16" s="8">
        <f t="shared" si="9"/>
        <v>0</v>
      </c>
      <c r="AB16" s="8">
        <f t="shared" si="10"/>
        <v>0.62547000814258569</v>
      </c>
      <c r="AC16" s="8">
        <f t="shared" si="11"/>
        <v>2.3602641816701346E-2</v>
      </c>
      <c r="AD16" s="8">
        <f t="shared" si="12"/>
        <v>4.9054157242377636</v>
      </c>
      <c r="AE16" s="8">
        <f t="shared" si="13"/>
        <v>2.198979462589342</v>
      </c>
      <c r="AF16" s="8">
        <f t="shared" si="14"/>
        <v>1.0817877499321451</v>
      </c>
      <c r="AG16" s="8">
        <f t="shared" si="15"/>
        <v>1.5504421386484146</v>
      </c>
    </row>
    <row r="17" spans="1:33" x14ac:dyDescent="0.35">
      <c r="A17" s="7" t="s">
        <v>138</v>
      </c>
      <c r="B17" s="7" t="s">
        <v>95</v>
      </c>
      <c r="C17" s="8">
        <v>29.18</v>
      </c>
      <c r="D17" s="8">
        <f t="shared" si="0"/>
        <v>115.98000000000002</v>
      </c>
      <c r="E17" s="8">
        <v>65.97</v>
      </c>
      <c r="F17" s="8">
        <v>1.42</v>
      </c>
      <c r="G17" s="8">
        <v>6.46</v>
      </c>
      <c r="H17" s="8">
        <v>0.65</v>
      </c>
      <c r="I17" s="8">
        <v>7</v>
      </c>
      <c r="J17" s="8">
        <v>8.98</v>
      </c>
      <c r="K17" s="8">
        <v>0</v>
      </c>
      <c r="L17" s="8">
        <v>1.26</v>
      </c>
      <c r="M17" s="8">
        <v>1.98</v>
      </c>
      <c r="N17" s="8">
        <v>3.09</v>
      </c>
      <c r="O17" s="8">
        <v>0.06</v>
      </c>
      <c r="P17" s="8">
        <v>11.84</v>
      </c>
      <c r="Q17" s="8">
        <v>5.16</v>
      </c>
      <c r="R17" s="8">
        <v>2.11</v>
      </c>
      <c r="S17" s="8">
        <f t="shared" si="1"/>
        <v>16.597728918779097</v>
      </c>
      <c r="T17" s="8">
        <f t="shared" si="2"/>
        <v>0.35726504569753398</v>
      </c>
      <c r="U17" s="8">
        <f t="shared" si="3"/>
        <v>1.6253043628211756</v>
      </c>
      <c r="V17" s="8">
        <f t="shared" si="4"/>
        <v>0.16353681669253317</v>
      </c>
      <c r="W17" s="8">
        <f t="shared" si="5"/>
        <v>1.7611657182272802</v>
      </c>
      <c r="X17" s="8">
        <f t="shared" si="6"/>
        <v>2.2593240213829966</v>
      </c>
      <c r="Y17" s="8">
        <f t="shared" si="7"/>
        <v>0</v>
      </c>
      <c r="Z17" s="8">
        <f t="shared" si="8"/>
        <v>0.31700982928091043</v>
      </c>
      <c r="AA17" s="8">
        <f t="shared" si="9"/>
        <v>0.49815830315571641</v>
      </c>
      <c r="AB17" s="8">
        <f t="shared" si="10"/>
        <v>0.77742886704604219</v>
      </c>
      <c r="AC17" s="8">
        <f t="shared" si="11"/>
        <v>1.509570615623383E-2</v>
      </c>
      <c r="AD17" s="8">
        <f t="shared" si="12"/>
        <v>2.9788860148301426</v>
      </c>
      <c r="AE17" s="8">
        <f t="shared" si="13"/>
        <v>1.2982307294361095</v>
      </c>
      <c r="AF17" s="8">
        <f t="shared" si="14"/>
        <v>0.53086566649422295</v>
      </c>
      <c r="AG17" s="8">
        <f t="shared" si="15"/>
        <v>1.5504421386484146</v>
      </c>
    </row>
    <row r="18" spans="1:33" x14ac:dyDescent="0.35">
      <c r="A18" s="7" t="s">
        <v>139</v>
      </c>
      <c r="B18" s="7" t="s">
        <v>111</v>
      </c>
      <c r="C18" s="8">
        <v>10.47</v>
      </c>
      <c r="D18" s="8">
        <f t="shared" si="0"/>
        <v>117.21999999999997</v>
      </c>
      <c r="E18" s="8">
        <v>66.069999999999993</v>
      </c>
      <c r="F18" s="8">
        <v>1.8</v>
      </c>
      <c r="G18" s="8">
        <v>13.52</v>
      </c>
      <c r="H18" s="8">
        <v>0.67</v>
      </c>
      <c r="I18" s="8">
        <v>6.16</v>
      </c>
      <c r="J18" s="8">
        <v>0</v>
      </c>
      <c r="K18" s="8">
        <v>0</v>
      </c>
      <c r="L18" s="8">
        <v>2.21</v>
      </c>
      <c r="M18" s="8">
        <v>0.82</v>
      </c>
      <c r="N18" s="8">
        <v>3.51</v>
      </c>
      <c r="O18" s="8">
        <v>0.06</v>
      </c>
      <c r="P18" s="8">
        <v>3.8</v>
      </c>
      <c r="Q18" s="8">
        <v>16.41</v>
      </c>
      <c r="R18" s="8">
        <v>2.19</v>
      </c>
      <c r="S18" s="8">
        <f t="shared" si="1"/>
        <v>5.9013214468520738</v>
      </c>
      <c r="T18" s="8">
        <f t="shared" si="2"/>
        <v>0.16077461184098282</v>
      </c>
      <c r="U18" s="8">
        <f t="shared" si="3"/>
        <v>1.2075959733833819</v>
      </c>
      <c r="V18" s="8">
        <f t="shared" si="4"/>
        <v>5.9843883296365828E-2</v>
      </c>
      <c r="W18" s="8">
        <f t="shared" si="5"/>
        <v>0.55020644941136343</v>
      </c>
      <c r="X18" s="8">
        <f t="shared" si="6"/>
        <v>0</v>
      </c>
      <c r="Y18" s="8">
        <f t="shared" si="7"/>
        <v>0</v>
      </c>
      <c r="Z18" s="8">
        <f t="shared" si="8"/>
        <v>0.19739549564920666</v>
      </c>
      <c r="AA18" s="8">
        <f t="shared" si="9"/>
        <v>7.3241767616447725E-2</v>
      </c>
      <c r="AB18" s="8">
        <f t="shared" si="10"/>
        <v>0.31351049308991646</v>
      </c>
      <c r="AC18" s="8">
        <f t="shared" si="11"/>
        <v>5.3591537280327601E-3</v>
      </c>
      <c r="AD18" s="8">
        <f t="shared" si="12"/>
        <v>0.33941306944207478</v>
      </c>
      <c r="AE18" s="8">
        <f t="shared" si="13"/>
        <v>1.4657285446169599</v>
      </c>
      <c r="AF18" s="8">
        <f t="shared" si="14"/>
        <v>0.19560911107319576</v>
      </c>
      <c r="AG18" s="8">
        <f t="shared" si="15"/>
        <v>4.6959273243778048</v>
      </c>
    </row>
    <row r="19" spans="1:33" x14ac:dyDescent="0.35">
      <c r="A19" s="7" t="s">
        <v>139</v>
      </c>
      <c r="B19" s="7" t="s">
        <v>113</v>
      </c>
      <c r="C19" s="8">
        <v>12.18</v>
      </c>
      <c r="D19" s="8">
        <f t="shared" si="0"/>
        <v>98.43</v>
      </c>
      <c r="E19" s="8">
        <v>65.89</v>
      </c>
      <c r="F19" s="8">
        <v>2.77</v>
      </c>
      <c r="G19" s="8">
        <v>11.7</v>
      </c>
      <c r="H19" s="8">
        <v>0.43</v>
      </c>
      <c r="I19" s="8">
        <v>0</v>
      </c>
      <c r="J19" s="8">
        <v>0</v>
      </c>
      <c r="K19" s="8">
        <v>0</v>
      </c>
      <c r="L19" s="8">
        <v>0.89</v>
      </c>
      <c r="M19" s="8">
        <v>0</v>
      </c>
      <c r="N19" s="8">
        <v>2.13</v>
      </c>
      <c r="O19" s="8">
        <v>0.06</v>
      </c>
      <c r="P19" s="8">
        <v>3.47</v>
      </c>
      <c r="Q19" s="8">
        <v>9.91</v>
      </c>
      <c r="R19" s="8">
        <v>1.18</v>
      </c>
      <c r="S19" s="8">
        <f t="shared" si="1"/>
        <v>8.1534105455653751</v>
      </c>
      <c r="T19" s="8">
        <f t="shared" si="2"/>
        <v>0.34276744894849132</v>
      </c>
      <c r="U19" s="8">
        <f t="shared" si="3"/>
        <v>1.4477903078329775</v>
      </c>
      <c r="V19" s="8">
        <f t="shared" si="4"/>
        <v>5.3209387381895762E-2</v>
      </c>
      <c r="W19" s="8">
        <f t="shared" si="5"/>
        <v>0</v>
      </c>
      <c r="X19" s="8">
        <f t="shared" si="6"/>
        <v>0</v>
      </c>
      <c r="Y19" s="8">
        <f t="shared" si="7"/>
        <v>0</v>
      </c>
      <c r="Z19" s="8">
        <f t="shared" si="8"/>
        <v>0.1101310576043889</v>
      </c>
      <c r="AA19" s="8">
        <f t="shared" si="9"/>
        <v>0</v>
      </c>
      <c r="AB19" s="8">
        <f t="shared" si="10"/>
        <v>0.26357208168241386</v>
      </c>
      <c r="AC19" s="8">
        <f t="shared" si="11"/>
        <v>7.424565681194757E-3</v>
      </c>
      <c r="AD19" s="8">
        <f t="shared" si="12"/>
        <v>0.42938738189576348</v>
      </c>
      <c r="AE19" s="8">
        <f t="shared" si="13"/>
        <v>1.2262907650106674</v>
      </c>
      <c r="AF19" s="8">
        <f t="shared" si="14"/>
        <v>0.14601645839683022</v>
      </c>
      <c r="AG19" s="8">
        <f t="shared" si="15"/>
        <v>4.6959273243778048</v>
      </c>
    </row>
    <row r="20" spans="1:33" x14ac:dyDescent="0.35">
      <c r="A20" s="7" t="s">
        <v>140</v>
      </c>
      <c r="B20" s="7" t="s">
        <v>113</v>
      </c>
      <c r="C20" s="8">
        <v>14.32</v>
      </c>
      <c r="D20" s="8">
        <f t="shared" si="0"/>
        <v>98.43</v>
      </c>
      <c r="E20" s="8">
        <v>65.89</v>
      </c>
      <c r="F20" s="8">
        <v>2.77</v>
      </c>
      <c r="G20" s="8">
        <v>11.7</v>
      </c>
      <c r="H20" s="8">
        <v>0.43</v>
      </c>
      <c r="I20" s="8">
        <v>0</v>
      </c>
      <c r="J20" s="8">
        <v>0</v>
      </c>
      <c r="K20" s="8">
        <v>0</v>
      </c>
      <c r="L20" s="8">
        <v>0.89</v>
      </c>
      <c r="M20" s="8">
        <v>0</v>
      </c>
      <c r="N20" s="8">
        <v>2.13</v>
      </c>
      <c r="O20" s="8">
        <v>0.06</v>
      </c>
      <c r="P20" s="8">
        <v>3.47</v>
      </c>
      <c r="Q20" s="8">
        <v>9.91</v>
      </c>
      <c r="R20" s="8">
        <v>1.18</v>
      </c>
      <c r="S20" s="8">
        <f t="shared" si="1"/>
        <v>9.5859473737681604</v>
      </c>
      <c r="T20" s="8">
        <f t="shared" si="2"/>
        <v>0.40299095804124757</v>
      </c>
      <c r="U20" s="8">
        <f t="shared" si="3"/>
        <v>1.7021639743980492</v>
      </c>
      <c r="V20" s="8">
        <f t="shared" si="4"/>
        <v>6.2558163161637703E-2</v>
      </c>
      <c r="W20" s="8">
        <f t="shared" si="5"/>
        <v>0</v>
      </c>
      <c r="X20" s="8">
        <f t="shared" si="6"/>
        <v>0</v>
      </c>
      <c r="Y20" s="8">
        <f t="shared" si="7"/>
        <v>0</v>
      </c>
      <c r="Z20" s="8">
        <f t="shared" si="8"/>
        <v>0.12948084933455248</v>
      </c>
      <c r="AA20" s="8">
        <f t="shared" si="9"/>
        <v>0</v>
      </c>
      <c r="AB20" s="8">
        <f t="shared" si="10"/>
        <v>0.30988113380067051</v>
      </c>
      <c r="AC20" s="8">
        <f t="shared" si="11"/>
        <v>8.7290460225540982E-3</v>
      </c>
      <c r="AD20" s="8">
        <f t="shared" si="12"/>
        <v>0.50482982830437872</v>
      </c>
      <c r="AE20" s="8">
        <f t="shared" si="13"/>
        <v>1.4417474347251853</v>
      </c>
      <c r="AF20" s="8">
        <f t="shared" si="14"/>
        <v>0.17167123844356394</v>
      </c>
      <c r="AG20" s="8">
        <f t="shared" si="15"/>
        <v>3.4066927458290701</v>
      </c>
    </row>
    <row r="21" spans="1:33" x14ac:dyDescent="0.35">
      <c r="A21" s="7" t="s">
        <v>140</v>
      </c>
      <c r="B21" s="7" t="s">
        <v>114</v>
      </c>
      <c r="C21" s="8">
        <v>13.58</v>
      </c>
      <c r="D21" s="8">
        <f t="shared" si="0"/>
        <v>91.6</v>
      </c>
      <c r="E21" s="8">
        <v>66.02</v>
      </c>
      <c r="F21" s="8">
        <v>2.86</v>
      </c>
      <c r="G21" s="8">
        <v>0</v>
      </c>
      <c r="H21" s="8">
        <v>0.43</v>
      </c>
      <c r="I21" s="8">
        <v>0</v>
      </c>
      <c r="J21" s="8">
        <v>0</v>
      </c>
      <c r="K21" s="8">
        <v>6.46</v>
      </c>
      <c r="L21" s="8">
        <v>1.85</v>
      </c>
      <c r="M21" s="8">
        <v>1.94</v>
      </c>
      <c r="N21" s="8">
        <v>1.02</v>
      </c>
      <c r="O21" s="8">
        <v>0.06</v>
      </c>
      <c r="P21" s="8">
        <v>3.78</v>
      </c>
      <c r="Q21" s="8">
        <v>5.76</v>
      </c>
      <c r="R21" s="8">
        <v>1.42</v>
      </c>
      <c r="S21" s="8">
        <f t="shared" si="1"/>
        <v>9.787681222707425</v>
      </c>
      <c r="T21" s="8">
        <f t="shared" si="2"/>
        <v>0.42400436681222714</v>
      </c>
      <c r="U21" s="8">
        <f t="shared" si="3"/>
        <v>0</v>
      </c>
      <c r="V21" s="8">
        <f t="shared" si="4"/>
        <v>6.3748908296943241E-2</v>
      </c>
      <c r="W21" s="8">
        <f t="shared" si="5"/>
        <v>0</v>
      </c>
      <c r="X21" s="8">
        <f t="shared" si="6"/>
        <v>0</v>
      </c>
      <c r="Y21" s="8">
        <f t="shared" si="7"/>
        <v>0.95771615720524028</v>
      </c>
      <c r="Z21" s="8">
        <f t="shared" si="8"/>
        <v>0.27426855895196511</v>
      </c>
      <c r="AA21" s="8">
        <f t="shared" si="9"/>
        <v>0.28761135371179042</v>
      </c>
      <c r="AB21" s="8">
        <f t="shared" si="10"/>
        <v>0.15121834061135375</v>
      </c>
      <c r="AC21" s="8">
        <f t="shared" si="11"/>
        <v>8.8951965065502195E-3</v>
      </c>
      <c r="AD21" s="8">
        <f t="shared" si="12"/>
        <v>0.56039737991266381</v>
      </c>
      <c r="AE21" s="8">
        <f t="shared" si="13"/>
        <v>0.85393886462882107</v>
      </c>
      <c r="AF21" s="8">
        <f t="shared" si="14"/>
        <v>0.21051965065502184</v>
      </c>
      <c r="AG21" s="8">
        <f t="shared" si="15"/>
        <v>3.4066927458290701</v>
      </c>
    </row>
    <row r="22" spans="1:33" x14ac:dyDescent="0.35">
      <c r="A22" s="7" t="s">
        <v>141</v>
      </c>
      <c r="B22" s="7" t="s">
        <v>111</v>
      </c>
      <c r="C22" s="8">
        <v>15.44</v>
      </c>
      <c r="D22" s="8">
        <f t="shared" si="0"/>
        <v>117.21999999999997</v>
      </c>
      <c r="E22" s="8">
        <v>66.069999999999993</v>
      </c>
      <c r="F22" s="8">
        <v>1.8</v>
      </c>
      <c r="G22" s="8">
        <v>13.52</v>
      </c>
      <c r="H22" s="8">
        <v>0.67</v>
      </c>
      <c r="I22" s="8">
        <v>6.16</v>
      </c>
      <c r="J22" s="8">
        <v>0</v>
      </c>
      <c r="K22" s="8">
        <v>0</v>
      </c>
      <c r="L22" s="8">
        <v>2.21</v>
      </c>
      <c r="M22" s="8">
        <v>0.82</v>
      </c>
      <c r="N22" s="8">
        <v>3.51</v>
      </c>
      <c r="O22" s="8">
        <v>0.06</v>
      </c>
      <c r="P22" s="8">
        <v>3.8</v>
      </c>
      <c r="Q22" s="8">
        <v>16.41</v>
      </c>
      <c r="R22" s="8">
        <v>2.19</v>
      </c>
      <c r="S22" s="8">
        <f t="shared" si="1"/>
        <v>8.7026173008019132</v>
      </c>
      <c r="T22" s="8">
        <f t="shared" si="2"/>
        <v>0.23709264630609117</v>
      </c>
      <c r="U22" s="8">
        <f t="shared" si="3"/>
        <v>1.7808292100324181</v>
      </c>
      <c r="V22" s="8">
        <f t="shared" si="4"/>
        <v>8.8251151680600604E-2</v>
      </c>
      <c r="W22" s="8">
        <f t="shared" si="5"/>
        <v>0.81138372291417871</v>
      </c>
      <c r="X22" s="8">
        <f t="shared" si="6"/>
        <v>0</v>
      </c>
      <c r="Y22" s="8">
        <f t="shared" si="7"/>
        <v>0</v>
      </c>
      <c r="Z22" s="8">
        <f t="shared" si="8"/>
        <v>0.29109708240914528</v>
      </c>
      <c r="AA22" s="8">
        <f t="shared" si="9"/>
        <v>0.10800887220610819</v>
      </c>
      <c r="AB22" s="8">
        <f t="shared" si="10"/>
        <v>0.46233066029687775</v>
      </c>
      <c r="AC22" s="8">
        <f t="shared" si="11"/>
        <v>7.9030882102030381E-3</v>
      </c>
      <c r="AD22" s="8">
        <f t="shared" si="12"/>
        <v>0.50052891997952575</v>
      </c>
      <c r="AE22" s="8">
        <f t="shared" si="13"/>
        <v>2.1614946254905312</v>
      </c>
      <c r="AF22" s="8">
        <f t="shared" si="14"/>
        <v>0.28846271967241094</v>
      </c>
      <c r="AG22" s="8">
        <f t="shared" si="15"/>
        <v>3.3776127879675837</v>
      </c>
    </row>
    <row r="23" spans="1:33" x14ac:dyDescent="0.35">
      <c r="A23" s="7" t="s">
        <v>141</v>
      </c>
      <c r="B23" s="7" t="s">
        <v>113</v>
      </c>
      <c r="C23" s="8">
        <v>9.73</v>
      </c>
      <c r="D23" s="8">
        <f t="shared" si="0"/>
        <v>98.43</v>
      </c>
      <c r="E23" s="8">
        <v>65.89</v>
      </c>
      <c r="F23" s="8">
        <v>2.77</v>
      </c>
      <c r="G23" s="8">
        <v>11.7</v>
      </c>
      <c r="H23" s="8">
        <v>0.43</v>
      </c>
      <c r="I23" s="8">
        <v>0</v>
      </c>
      <c r="J23" s="8">
        <v>0</v>
      </c>
      <c r="K23" s="8">
        <v>0</v>
      </c>
      <c r="L23" s="8">
        <v>0.89</v>
      </c>
      <c r="M23" s="8">
        <v>0</v>
      </c>
      <c r="N23" s="8">
        <v>2.13</v>
      </c>
      <c r="O23" s="8">
        <v>0.06</v>
      </c>
      <c r="P23" s="8">
        <v>3.47</v>
      </c>
      <c r="Q23" s="8">
        <v>9.91</v>
      </c>
      <c r="R23" s="8">
        <v>1.18</v>
      </c>
      <c r="S23" s="8">
        <f t="shared" si="1"/>
        <v>6.5133567001930306</v>
      </c>
      <c r="T23" s="8">
        <f t="shared" si="2"/>
        <v>0.27381997358528903</v>
      </c>
      <c r="U23" s="8">
        <f t="shared" si="3"/>
        <v>1.1565681194757695</v>
      </c>
      <c r="V23" s="8">
        <f t="shared" si="4"/>
        <v>4.2506349690135115E-2</v>
      </c>
      <c r="W23" s="8">
        <f t="shared" si="5"/>
        <v>0</v>
      </c>
      <c r="X23" s="8">
        <f t="shared" si="6"/>
        <v>0</v>
      </c>
      <c r="Y23" s="8">
        <f t="shared" si="7"/>
        <v>0</v>
      </c>
      <c r="Z23" s="8">
        <f t="shared" si="8"/>
        <v>8.7978258660977346E-2</v>
      </c>
      <c r="AA23" s="8">
        <f t="shared" si="9"/>
        <v>0</v>
      </c>
      <c r="AB23" s="8">
        <f t="shared" si="10"/>
        <v>0.21055470893020417</v>
      </c>
      <c r="AC23" s="8">
        <f t="shared" si="11"/>
        <v>5.9311185614142024E-3</v>
      </c>
      <c r="AD23" s="8">
        <f t="shared" si="12"/>
        <v>0.34301635680178805</v>
      </c>
      <c r="AE23" s="8">
        <f t="shared" si="13"/>
        <v>0.97962308239357909</v>
      </c>
      <c r="AF23" s="8">
        <f t="shared" si="14"/>
        <v>0.11664533170781265</v>
      </c>
      <c r="AG23" s="8">
        <f t="shared" si="15"/>
        <v>3.3776127879675837</v>
      </c>
    </row>
    <row r="24" spans="1:33" x14ac:dyDescent="0.35">
      <c r="A24" s="7" t="s">
        <v>141</v>
      </c>
      <c r="B24" s="7" t="s">
        <v>114</v>
      </c>
      <c r="C24" s="8">
        <v>6</v>
      </c>
      <c r="D24" s="8">
        <f t="shared" si="0"/>
        <v>91.6</v>
      </c>
      <c r="E24" s="8">
        <v>66.02</v>
      </c>
      <c r="F24" s="8">
        <v>2.86</v>
      </c>
      <c r="G24" s="8">
        <v>0</v>
      </c>
      <c r="H24" s="8">
        <v>0.43</v>
      </c>
      <c r="I24" s="8">
        <v>0</v>
      </c>
      <c r="J24" s="8">
        <v>0</v>
      </c>
      <c r="K24" s="8">
        <v>6.46</v>
      </c>
      <c r="L24" s="8">
        <v>1.85</v>
      </c>
      <c r="M24" s="8">
        <v>1.94</v>
      </c>
      <c r="N24" s="8">
        <v>1.02</v>
      </c>
      <c r="O24" s="8">
        <v>0.06</v>
      </c>
      <c r="P24" s="8">
        <v>3.78</v>
      </c>
      <c r="Q24" s="8">
        <v>5.76</v>
      </c>
      <c r="R24" s="8">
        <v>1.42</v>
      </c>
      <c r="S24" s="8">
        <f t="shared" si="1"/>
        <v>4.3244541484716157</v>
      </c>
      <c r="T24" s="8">
        <f t="shared" si="2"/>
        <v>0.1873362445414847</v>
      </c>
      <c r="U24" s="8">
        <f t="shared" si="3"/>
        <v>0</v>
      </c>
      <c r="V24" s="8">
        <f t="shared" si="4"/>
        <v>2.8165938864628821E-2</v>
      </c>
      <c r="W24" s="8">
        <f t="shared" si="5"/>
        <v>0</v>
      </c>
      <c r="X24" s="8">
        <f t="shared" si="6"/>
        <v>0</v>
      </c>
      <c r="Y24" s="8">
        <f t="shared" si="7"/>
        <v>0.42314410480349346</v>
      </c>
      <c r="Z24" s="8">
        <f t="shared" si="8"/>
        <v>0.12117903930131005</v>
      </c>
      <c r="AA24" s="8">
        <f t="shared" si="9"/>
        <v>0.12707423580786026</v>
      </c>
      <c r="AB24" s="8">
        <f t="shared" si="10"/>
        <v>6.6812227074235814E-2</v>
      </c>
      <c r="AC24" s="8">
        <f t="shared" si="11"/>
        <v>3.9301310043668124E-3</v>
      </c>
      <c r="AD24" s="8">
        <f t="shared" si="12"/>
        <v>0.24759825327510915</v>
      </c>
      <c r="AE24" s="8">
        <f t="shared" si="13"/>
        <v>0.37729257641921399</v>
      </c>
      <c r="AF24" s="8">
        <f t="shared" si="14"/>
        <v>9.301310043668122E-2</v>
      </c>
      <c r="AG24" s="8">
        <f t="shared" si="15"/>
        <v>3.3776127879675837</v>
      </c>
    </row>
    <row r="25" spans="1:33" x14ac:dyDescent="0.35">
      <c r="A25" s="7" t="s">
        <v>142</v>
      </c>
      <c r="B25" s="7" t="s">
        <v>114</v>
      </c>
      <c r="C25" s="8">
        <v>13.13</v>
      </c>
      <c r="D25" s="8">
        <f t="shared" si="0"/>
        <v>91.6</v>
      </c>
      <c r="E25" s="8">
        <v>66.02</v>
      </c>
      <c r="F25" s="8">
        <v>2.86</v>
      </c>
      <c r="G25" s="8">
        <v>0</v>
      </c>
      <c r="H25" s="8">
        <v>0.43</v>
      </c>
      <c r="I25" s="8">
        <v>0</v>
      </c>
      <c r="J25" s="8">
        <v>0</v>
      </c>
      <c r="K25" s="8">
        <v>6.46</v>
      </c>
      <c r="L25" s="8">
        <v>1.85</v>
      </c>
      <c r="M25" s="8">
        <v>1.94</v>
      </c>
      <c r="N25" s="8">
        <v>1.02</v>
      </c>
      <c r="O25" s="8">
        <v>0.06</v>
      </c>
      <c r="P25" s="8">
        <v>3.78</v>
      </c>
      <c r="Q25" s="8">
        <v>5.76</v>
      </c>
      <c r="R25" s="8">
        <v>1.42</v>
      </c>
      <c r="S25" s="8">
        <f t="shared" si="1"/>
        <v>9.4633471615720541</v>
      </c>
      <c r="T25" s="8">
        <f t="shared" si="2"/>
        <v>0.40995414847161576</v>
      </c>
      <c r="U25" s="8">
        <f t="shared" si="3"/>
        <v>0</v>
      </c>
      <c r="V25" s="8">
        <f t="shared" si="4"/>
        <v>6.163646288209608E-2</v>
      </c>
      <c r="W25" s="8">
        <f t="shared" si="5"/>
        <v>0</v>
      </c>
      <c r="X25" s="8">
        <f t="shared" si="6"/>
        <v>0</v>
      </c>
      <c r="Y25" s="8">
        <f t="shared" si="7"/>
        <v>0.9259803493449783</v>
      </c>
      <c r="Z25" s="8">
        <f t="shared" si="8"/>
        <v>0.26518013100436688</v>
      </c>
      <c r="AA25" s="8">
        <f t="shared" si="9"/>
        <v>0.2780807860262009</v>
      </c>
      <c r="AB25" s="8">
        <f t="shared" si="10"/>
        <v>0.14620742358078606</v>
      </c>
      <c r="AC25" s="8">
        <f t="shared" si="11"/>
        <v>8.6004366812227079E-3</v>
      </c>
      <c r="AD25" s="8">
        <f t="shared" si="12"/>
        <v>0.54182751091703063</v>
      </c>
      <c r="AE25" s="8">
        <f t="shared" si="13"/>
        <v>0.82564192139738002</v>
      </c>
      <c r="AF25" s="8">
        <f t="shared" si="14"/>
        <v>0.20354366812227076</v>
      </c>
      <c r="AG25" s="8">
        <f t="shared" si="15"/>
        <v>3.5489013376285743</v>
      </c>
    </row>
    <row r="26" spans="1:33" x14ac:dyDescent="0.35">
      <c r="A26" s="7" t="s">
        <v>142</v>
      </c>
      <c r="B26" s="7" t="s">
        <v>115</v>
      </c>
      <c r="C26" s="8">
        <v>13.1</v>
      </c>
      <c r="D26" s="8">
        <f t="shared" si="0"/>
        <v>94.499999999999986</v>
      </c>
      <c r="E26" s="8">
        <v>65.89</v>
      </c>
      <c r="F26" s="8">
        <v>2.08</v>
      </c>
      <c r="G26" s="8">
        <v>0.14000000000000001</v>
      </c>
      <c r="H26" s="8">
        <v>0.25</v>
      </c>
      <c r="I26" s="8">
        <v>6.45</v>
      </c>
      <c r="J26" s="8">
        <v>6.57</v>
      </c>
      <c r="K26" s="8">
        <v>0</v>
      </c>
      <c r="L26" s="8">
        <v>0.69</v>
      </c>
      <c r="M26" s="8">
        <v>0.37</v>
      </c>
      <c r="N26" s="8">
        <v>2.82</v>
      </c>
      <c r="O26" s="8">
        <v>0.06</v>
      </c>
      <c r="P26" s="8">
        <v>5.33</v>
      </c>
      <c r="Q26" s="8">
        <v>2.72</v>
      </c>
      <c r="R26" s="8">
        <v>1.1299999999999999</v>
      </c>
      <c r="S26" s="8">
        <f t="shared" si="1"/>
        <v>9.1339576719576741</v>
      </c>
      <c r="T26" s="8">
        <f t="shared" si="2"/>
        <v>0.28833862433862439</v>
      </c>
      <c r="U26" s="8">
        <f t="shared" si="3"/>
        <v>1.9407407407407411E-2</v>
      </c>
      <c r="V26" s="8">
        <f t="shared" si="4"/>
        <v>3.4656084656084662E-2</v>
      </c>
      <c r="W26" s="8">
        <f t="shared" si="5"/>
        <v>0.89412698412698433</v>
      </c>
      <c r="X26" s="8">
        <f t="shared" si="6"/>
        <v>0.91076190476190499</v>
      </c>
      <c r="Y26" s="8">
        <f t="shared" si="7"/>
        <v>0</v>
      </c>
      <c r="Z26" s="8">
        <f t="shared" si="8"/>
        <v>9.5650793650793667E-2</v>
      </c>
      <c r="AA26" s="8">
        <f t="shared" si="9"/>
        <v>5.1291005291005297E-2</v>
      </c>
      <c r="AB26" s="8">
        <f t="shared" si="10"/>
        <v>0.39092063492063495</v>
      </c>
      <c r="AC26" s="8">
        <f t="shared" si="11"/>
        <v>8.3174603174603189E-3</v>
      </c>
      <c r="AD26" s="8">
        <f t="shared" si="12"/>
        <v>0.73886772486772501</v>
      </c>
      <c r="AE26" s="8">
        <f t="shared" si="13"/>
        <v>0.37705820105820115</v>
      </c>
      <c r="AF26" s="8">
        <f t="shared" si="14"/>
        <v>0.15664550264550267</v>
      </c>
      <c r="AG26" s="8">
        <f t="shared" si="15"/>
        <v>3.5489013376285743</v>
      </c>
    </row>
    <row r="27" spans="1:33" x14ac:dyDescent="0.35">
      <c r="A27" s="7" t="s">
        <v>143</v>
      </c>
      <c r="B27" s="7" t="s">
        <v>115</v>
      </c>
      <c r="C27" s="8">
        <v>8.91</v>
      </c>
      <c r="D27" s="8">
        <f t="shared" si="0"/>
        <v>94.499999999999986</v>
      </c>
      <c r="E27" s="8">
        <v>65.89</v>
      </c>
      <c r="F27" s="8">
        <v>2.08</v>
      </c>
      <c r="G27" s="8">
        <v>0.14000000000000001</v>
      </c>
      <c r="H27" s="8">
        <v>0.25</v>
      </c>
      <c r="I27" s="8">
        <v>6.45</v>
      </c>
      <c r="J27" s="8">
        <v>6.57</v>
      </c>
      <c r="K27" s="8">
        <v>0</v>
      </c>
      <c r="L27" s="8">
        <v>0.69</v>
      </c>
      <c r="M27" s="8">
        <v>0.37</v>
      </c>
      <c r="N27" s="8">
        <v>2.82</v>
      </c>
      <c r="O27" s="8">
        <v>0.06</v>
      </c>
      <c r="P27" s="8">
        <v>5.33</v>
      </c>
      <c r="Q27" s="8">
        <v>2.72</v>
      </c>
      <c r="R27" s="8">
        <v>1.1299999999999999</v>
      </c>
      <c r="S27" s="8">
        <f t="shared" si="1"/>
        <v>6.2124857142857159</v>
      </c>
      <c r="T27" s="8">
        <f t="shared" si="2"/>
        <v>0.19611428571428577</v>
      </c>
      <c r="U27" s="8">
        <f t="shared" si="3"/>
        <v>1.3200000000000003E-2</v>
      </c>
      <c r="V27" s="8">
        <f t="shared" si="4"/>
        <v>2.3571428571428577E-2</v>
      </c>
      <c r="W27" s="8">
        <f t="shared" si="5"/>
        <v>0.60814285714285732</v>
      </c>
      <c r="X27" s="8">
        <f t="shared" si="6"/>
        <v>0.61945714285714304</v>
      </c>
      <c r="Y27" s="8">
        <f t="shared" si="7"/>
        <v>0</v>
      </c>
      <c r="Z27" s="8">
        <f t="shared" si="8"/>
        <v>6.5057142857142869E-2</v>
      </c>
      <c r="AA27" s="8">
        <f t="shared" si="9"/>
        <v>3.4885714285714291E-2</v>
      </c>
      <c r="AB27" s="8">
        <f t="shared" si="10"/>
        <v>0.26588571428571434</v>
      </c>
      <c r="AC27" s="8">
        <f t="shared" si="11"/>
        <v>5.657142857142858E-3</v>
      </c>
      <c r="AD27" s="8">
        <f t="shared" si="12"/>
        <v>0.50254285714285729</v>
      </c>
      <c r="AE27" s="8">
        <f t="shared" si="13"/>
        <v>0.25645714285714294</v>
      </c>
      <c r="AF27" s="8">
        <f t="shared" si="14"/>
        <v>0.10654285714285716</v>
      </c>
      <c r="AG27" s="8">
        <f t="shared" si="15"/>
        <v>4.3373765216529021</v>
      </c>
    </row>
    <row r="28" spans="1:33" x14ac:dyDescent="0.35">
      <c r="A28" s="7" t="s">
        <v>143</v>
      </c>
      <c r="B28" s="7" t="s">
        <v>116</v>
      </c>
      <c r="C28" s="8">
        <v>14.21</v>
      </c>
      <c r="D28" s="8">
        <f t="shared" si="0"/>
        <v>103.97</v>
      </c>
      <c r="E28" s="8">
        <v>65.88</v>
      </c>
      <c r="F28" s="8">
        <v>2.33</v>
      </c>
      <c r="G28" s="8">
        <v>0</v>
      </c>
      <c r="H28" s="8">
        <v>0.1</v>
      </c>
      <c r="I28" s="8">
        <v>6.59</v>
      </c>
      <c r="J28" s="8">
        <v>7.08</v>
      </c>
      <c r="K28" s="8">
        <v>4.7300000000000004</v>
      </c>
      <c r="L28" s="8">
        <v>0.1</v>
      </c>
      <c r="M28" s="8">
        <v>0.65</v>
      </c>
      <c r="N28" s="8">
        <v>2.87</v>
      </c>
      <c r="O28" s="8">
        <v>0.06</v>
      </c>
      <c r="P28" s="8">
        <v>2.94</v>
      </c>
      <c r="Q28" s="8">
        <v>8.41</v>
      </c>
      <c r="R28" s="8">
        <v>2.23</v>
      </c>
      <c r="S28" s="8">
        <f t="shared" si="1"/>
        <v>9.0040857939790317</v>
      </c>
      <c r="T28" s="8">
        <f t="shared" si="2"/>
        <v>0.31845051457151102</v>
      </c>
      <c r="U28" s="8">
        <f t="shared" si="3"/>
        <v>0</v>
      </c>
      <c r="V28" s="8">
        <f t="shared" si="4"/>
        <v>1.3667404058863134E-2</v>
      </c>
      <c r="W28" s="8">
        <f t="shared" si="5"/>
        <v>0.90068192747908049</v>
      </c>
      <c r="X28" s="8">
        <f t="shared" si="6"/>
        <v>0.9676522073675099</v>
      </c>
      <c r="Y28" s="8">
        <f t="shared" si="7"/>
        <v>0.64646821198422633</v>
      </c>
      <c r="Z28" s="8">
        <f t="shared" si="8"/>
        <v>1.3667404058863134E-2</v>
      </c>
      <c r="AA28" s="8">
        <f t="shared" si="9"/>
        <v>8.8838126382610377E-2</v>
      </c>
      <c r="AB28" s="8">
        <f t="shared" si="10"/>
        <v>0.39225449648937194</v>
      </c>
      <c r="AC28" s="8">
        <f t="shared" si="11"/>
        <v>8.2004424353178795E-3</v>
      </c>
      <c r="AD28" s="8">
        <f t="shared" si="12"/>
        <v>0.40182167933057611</v>
      </c>
      <c r="AE28" s="8">
        <f t="shared" si="13"/>
        <v>1.1494286813503896</v>
      </c>
      <c r="AF28" s="8">
        <f t="shared" si="14"/>
        <v>0.30478311051264789</v>
      </c>
      <c r="AG28" s="8">
        <f t="shared" si="15"/>
        <v>4.3373765216529021</v>
      </c>
    </row>
    <row r="29" spans="1:33" x14ac:dyDescent="0.35">
      <c r="A29" s="7" t="s">
        <v>144</v>
      </c>
      <c r="B29" s="7" t="s">
        <v>116</v>
      </c>
      <c r="C29" s="8">
        <v>14.33</v>
      </c>
      <c r="D29" s="8">
        <f t="shared" si="0"/>
        <v>103.97</v>
      </c>
      <c r="E29" s="8">
        <v>65.88</v>
      </c>
      <c r="F29" s="8">
        <v>2.33</v>
      </c>
      <c r="G29" s="8">
        <v>0</v>
      </c>
      <c r="H29" s="8">
        <v>0.1</v>
      </c>
      <c r="I29" s="8">
        <v>6.59</v>
      </c>
      <c r="J29" s="8">
        <v>7.08</v>
      </c>
      <c r="K29" s="8">
        <v>4.7300000000000004</v>
      </c>
      <c r="L29" s="8">
        <v>0.1</v>
      </c>
      <c r="M29" s="8">
        <v>0.65</v>
      </c>
      <c r="N29" s="8">
        <v>2.87</v>
      </c>
      <c r="O29" s="8">
        <v>0.06</v>
      </c>
      <c r="P29" s="8">
        <v>2.94</v>
      </c>
      <c r="Q29" s="8">
        <v>8.41</v>
      </c>
      <c r="R29" s="8">
        <v>2.23</v>
      </c>
      <c r="S29" s="8">
        <f t="shared" si="1"/>
        <v>9.0801231124362793</v>
      </c>
      <c r="T29" s="8">
        <f t="shared" si="2"/>
        <v>0.32113975185149568</v>
      </c>
      <c r="U29" s="8">
        <f t="shared" si="3"/>
        <v>0</v>
      </c>
      <c r="V29" s="8">
        <f t="shared" si="4"/>
        <v>1.378282196787535E-2</v>
      </c>
      <c r="W29" s="8">
        <f t="shared" si="5"/>
        <v>0.90828796768298559</v>
      </c>
      <c r="X29" s="8">
        <f t="shared" si="6"/>
        <v>0.97582379532557484</v>
      </c>
      <c r="Y29" s="8">
        <f t="shared" si="7"/>
        <v>0.65192747908050408</v>
      </c>
      <c r="Z29" s="8">
        <f t="shared" si="8"/>
        <v>1.378282196787535E-2</v>
      </c>
      <c r="AA29" s="8">
        <f t="shared" si="9"/>
        <v>8.9588342791189782E-2</v>
      </c>
      <c r="AB29" s="8">
        <f t="shared" si="10"/>
        <v>0.39556699047802257</v>
      </c>
      <c r="AC29" s="8">
        <f t="shared" si="11"/>
        <v>8.2696931807252089E-3</v>
      </c>
      <c r="AD29" s="8">
        <f t="shared" si="12"/>
        <v>0.40521496585553529</v>
      </c>
      <c r="AE29" s="8">
        <f t="shared" si="13"/>
        <v>1.1591353274983169</v>
      </c>
      <c r="AF29" s="8">
        <f t="shared" si="14"/>
        <v>0.30735692988362029</v>
      </c>
      <c r="AG29" s="8">
        <f t="shared" si="15"/>
        <v>3.5872247952742833</v>
      </c>
    </row>
    <row r="30" spans="1:33" x14ac:dyDescent="0.35">
      <c r="A30" s="7" t="s">
        <v>144</v>
      </c>
      <c r="B30" s="7" t="s">
        <v>117</v>
      </c>
      <c r="C30" s="8">
        <v>14.5</v>
      </c>
      <c r="D30" s="8">
        <f t="shared" si="0"/>
        <v>102.59000000000002</v>
      </c>
      <c r="E30" s="8">
        <v>65.930000000000007</v>
      </c>
      <c r="F30" s="8">
        <v>0</v>
      </c>
      <c r="G30" s="8">
        <v>3.7</v>
      </c>
      <c r="H30" s="8">
        <v>0</v>
      </c>
      <c r="I30" s="8">
        <v>7.43</v>
      </c>
      <c r="J30" s="8">
        <v>7.6</v>
      </c>
      <c r="K30" s="8">
        <v>2.29</v>
      </c>
      <c r="L30" s="8">
        <v>0.12</v>
      </c>
      <c r="M30" s="8">
        <v>0.61</v>
      </c>
      <c r="N30" s="8">
        <v>0.87</v>
      </c>
      <c r="O30" s="8">
        <v>0.06</v>
      </c>
      <c r="P30" s="8">
        <v>7.61</v>
      </c>
      <c r="Q30" s="8">
        <v>5.37</v>
      </c>
      <c r="R30" s="8">
        <v>1</v>
      </c>
      <c r="S30" s="8">
        <f t="shared" si="1"/>
        <v>9.3185008285407918</v>
      </c>
      <c r="T30" s="8">
        <f t="shared" si="2"/>
        <v>0</v>
      </c>
      <c r="U30" s="8">
        <f t="shared" si="3"/>
        <v>0.52295545374792851</v>
      </c>
      <c r="V30" s="8">
        <f t="shared" si="4"/>
        <v>0</v>
      </c>
      <c r="W30" s="8">
        <f t="shared" si="5"/>
        <v>1.0501510868505699</v>
      </c>
      <c r="X30" s="8">
        <f t="shared" si="6"/>
        <v>1.07417876986061</v>
      </c>
      <c r="Y30" s="8">
        <f t="shared" si="7"/>
        <v>0.32366702407642062</v>
      </c>
      <c r="Z30" s="8">
        <f t="shared" si="8"/>
        <v>1.6960717418851735E-2</v>
      </c>
      <c r="AA30" s="8">
        <f t="shared" si="9"/>
        <v>8.6216980212496325E-2</v>
      </c>
      <c r="AB30" s="8">
        <f t="shared" si="10"/>
        <v>0.12296520128667508</v>
      </c>
      <c r="AC30" s="8">
        <f t="shared" si="11"/>
        <v>8.4803587094258674E-3</v>
      </c>
      <c r="AD30" s="8">
        <f t="shared" si="12"/>
        <v>1.0755921629788476</v>
      </c>
      <c r="AE30" s="8">
        <f t="shared" si="13"/>
        <v>0.75899210449361521</v>
      </c>
      <c r="AF30" s="8">
        <f t="shared" si="14"/>
        <v>0.14133931182376447</v>
      </c>
      <c r="AG30" s="8">
        <f t="shared" si="15"/>
        <v>3.5872247952742833</v>
      </c>
    </row>
    <row r="31" spans="1:33" x14ac:dyDescent="0.35">
      <c r="A31" s="7" t="s">
        <v>145</v>
      </c>
      <c r="B31" s="7" t="s">
        <v>117</v>
      </c>
      <c r="C31" s="8">
        <v>14.43</v>
      </c>
      <c r="D31" s="8">
        <f t="shared" si="0"/>
        <v>102.59000000000002</v>
      </c>
      <c r="E31" s="8">
        <v>65.930000000000007</v>
      </c>
      <c r="F31" s="8">
        <v>0</v>
      </c>
      <c r="G31" s="8">
        <v>3.7</v>
      </c>
      <c r="H31" s="8">
        <v>0</v>
      </c>
      <c r="I31" s="8">
        <v>7.43</v>
      </c>
      <c r="J31" s="8">
        <v>7.6</v>
      </c>
      <c r="K31" s="8">
        <v>2.29</v>
      </c>
      <c r="L31" s="8">
        <v>0.12</v>
      </c>
      <c r="M31" s="8">
        <v>0.61</v>
      </c>
      <c r="N31" s="8">
        <v>0.87</v>
      </c>
      <c r="O31" s="8">
        <v>0.06</v>
      </c>
      <c r="P31" s="8">
        <v>7.61</v>
      </c>
      <c r="Q31" s="8">
        <v>5.37</v>
      </c>
      <c r="R31" s="8">
        <v>1</v>
      </c>
      <c r="S31" s="8">
        <f t="shared" si="1"/>
        <v>9.2735149624719746</v>
      </c>
      <c r="T31" s="8">
        <f t="shared" si="2"/>
        <v>0</v>
      </c>
      <c r="U31" s="8">
        <f t="shared" si="3"/>
        <v>0.52043084121259375</v>
      </c>
      <c r="V31" s="8">
        <f t="shared" si="4"/>
        <v>0</v>
      </c>
      <c r="W31" s="8">
        <f t="shared" si="5"/>
        <v>1.0450813919485327</v>
      </c>
      <c r="X31" s="8">
        <f t="shared" si="6"/>
        <v>1.0689930792474898</v>
      </c>
      <c r="Y31" s="8">
        <f t="shared" si="7"/>
        <v>0.32210449361536203</v>
      </c>
      <c r="Z31" s="8">
        <f t="shared" si="8"/>
        <v>1.6878838093381417E-2</v>
      </c>
      <c r="AA31" s="8">
        <f t="shared" si="9"/>
        <v>8.5800760308022209E-2</v>
      </c>
      <c r="AB31" s="8">
        <f t="shared" si="10"/>
        <v>0.12237157617701527</v>
      </c>
      <c r="AC31" s="8">
        <f t="shared" si="11"/>
        <v>8.4394190466907087E-3</v>
      </c>
      <c r="AD31" s="8">
        <f t="shared" si="12"/>
        <v>1.070399649088605</v>
      </c>
      <c r="AE31" s="8">
        <f t="shared" si="13"/>
        <v>0.75532800467881844</v>
      </c>
      <c r="AF31" s="8">
        <f t="shared" si="14"/>
        <v>0.14065698411151181</v>
      </c>
      <c r="AG31" s="8">
        <f t="shared" si="15"/>
        <v>3.5485445161184317</v>
      </c>
    </row>
    <row r="32" spans="1:33" x14ac:dyDescent="0.35">
      <c r="A32" s="7" t="s">
        <v>145</v>
      </c>
      <c r="B32" s="7" t="s">
        <v>118</v>
      </c>
      <c r="C32" s="8">
        <v>14.84</v>
      </c>
      <c r="D32" s="8">
        <f t="shared" si="0"/>
        <v>105.09000000000002</v>
      </c>
      <c r="E32" s="8">
        <v>66.040000000000006</v>
      </c>
      <c r="F32" s="8">
        <v>0</v>
      </c>
      <c r="G32" s="8">
        <v>2.2599999999999998</v>
      </c>
      <c r="H32" s="8">
        <v>0.68</v>
      </c>
      <c r="I32" s="8">
        <v>7.29</v>
      </c>
      <c r="J32" s="8">
        <v>7.61</v>
      </c>
      <c r="K32" s="8">
        <v>3.93</v>
      </c>
      <c r="L32" s="8">
        <v>0.36</v>
      </c>
      <c r="M32" s="8">
        <v>0.96</v>
      </c>
      <c r="N32" s="8">
        <v>1.94</v>
      </c>
      <c r="O32" s="8">
        <v>0.06</v>
      </c>
      <c r="P32" s="8">
        <v>9.82</v>
      </c>
      <c r="Q32" s="8">
        <v>3.06</v>
      </c>
      <c r="R32" s="8">
        <v>1.08</v>
      </c>
      <c r="S32" s="8">
        <f t="shared" si="1"/>
        <v>9.3256599105528579</v>
      </c>
      <c r="T32" s="8">
        <f t="shared" si="2"/>
        <v>0</v>
      </c>
      <c r="U32" s="8">
        <f t="shared" si="3"/>
        <v>0.31913978494623646</v>
      </c>
      <c r="V32" s="8">
        <f t="shared" si="4"/>
        <v>9.6024360072318946E-2</v>
      </c>
      <c r="W32" s="8">
        <f t="shared" si="5"/>
        <v>1.0294376248929487</v>
      </c>
      <c r="X32" s="8">
        <f t="shared" si="6"/>
        <v>1.0746255590446283</v>
      </c>
      <c r="Y32" s="8">
        <f t="shared" si="7"/>
        <v>0.55496431630031395</v>
      </c>
      <c r="Z32" s="8">
        <f t="shared" si="8"/>
        <v>5.0836425920639437E-2</v>
      </c>
      <c r="AA32" s="8">
        <f t="shared" si="9"/>
        <v>0.13556380245503849</v>
      </c>
      <c r="AB32" s="8">
        <f t="shared" si="10"/>
        <v>0.27395185079455697</v>
      </c>
      <c r="AC32" s="8">
        <f t="shared" si="11"/>
        <v>8.4727376534399056E-3</v>
      </c>
      <c r="AD32" s="8">
        <f t="shared" si="12"/>
        <v>1.3867047292796648</v>
      </c>
      <c r="AE32" s="8">
        <f t="shared" si="13"/>
        <v>0.43210962032543526</v>
      </c>
      <c r="AF32" s="8">
        <f t="shared" si="14"/>
        <v>0.15250927776191833</v>
      </c>
      <c r="AG32" s="8">
        <f t="shared" si="15"/>
        <v>3.5485445161184317</v>
      </c>
    </row>
    <row r="33" spans="1:33" x14ac:dyDescent="0.35">
      <c r="A33" s="7" t="s">
        <v>146</v>
      </c>
      <c r="B33" s="7" t="s">
        <v>118</v>
      </c>
      <c r="C33" s="8">
        <v>14.34</v>
      </c>
      <c r="D33" s="8">
        <f t="shared" si="0"/>
        <v>105.09000000000002</v>
      </c>
      <c r="E33" s="8">
        <v>66.040000000000006</v>
      </c>
      <c r="F33" s="8">
        <v>0</v>
      </c>
      <c r="G33" s="8">
        <v>2.2599999999999998</v>
      </c>
      <c r="H33" s="8">
        <v>0.68</v>
      </c>
      <c r="I33" s="8">
        <v>7.29</v>
      </c>
      <c r="J33" s="8">
        <v>7.61</v>
      </c>
      <c r="K33" s="8">
        <v>3.93</v>
      </c>
      <c r="L33" s="8">
        <v>0.36</v>
      </c>
      <c r="M33" s="8">
        <v>0.96</v>
      </c>
      <c r="N33" s="8">
        <v>1.94</v>
      </c>
      <c r="O33" s="8">
        <v>0.06</v>
      </c>
      <c r="P33" s="8">
        <v>9.82</v>
      </c>
      <c r="Q33" s="8">
        <v>3.06</v>
      </c>
      <c r="R33" s="8">
        <v>1.08</v>
      </c>
      <c r="S33" s="8">
        <f t="shared" si="1"/>
        <v>9.0114530402512116</v>
      </c>
      <c r="T33" s="8">
        <f t="shared" si="2"/>
        <v>0</v>
      </c>
      <c r="U33" s="8">
        <f t="shared" si="3"/>
        <v>0.30838709677419346</v>
      </c>
      <c r="V33" s="8">
        <f t="shared" si="4"/>
        <v>9.2789037967456453E-2</v>
      </c>
      <c r="W33" s="8">
        <f t="shared" si="5"/>
        <v>0.99475306879817282</v>
      </c>
      <c r="X33" s="8">
        <f t="shared" si="6"/>
        <v>1.038418498429917</v>
      </c>
      <c r="Y33" s="8">
        <f t="shared" si="7"/>
        <v>0.53626605766485858</v>
      </c>
      <c r="Z33" s="8">
        <f t="shared" si="8"/>
        <v>4.9123608335712235E-2</v>
      </c>
      <c r="AA33" s="8">
        <f t="shared" si="9"/>
        <v>0.13099628889523263</v>
      </c>
      <c r="AB33" s="8">
        <f t="shared" si="10"/>
        <v>0.26472166714244927</v>
      </c>
      <c r="AC33" s="8">
        <f t="shared" si="11"/>
        <v>8.1872680559520392E-3</v>
      </c>
      <c r="AD33" s="8">
        <f t="shared" si="12"/>
        <v>1.3399828718241504</v>
      </c>
      <c r="AE33" s="8">
        <f t="shared" si="13"/>
        <v>0.41755067085355402</v>
      </c>
      <c r="AF33" s="8">
        <f t="shared" si="14"/>
        <v>0.14737082500713672</v>
      </c>
      <c r="AG33" s="8">
        <f t="shared" si="15"/>
        <v>3.8419869079770428</v>
      </c>
    </row>
    <row r="34" spans="1:33" x14ac:dyDescent="0.35">
      <c r="A34" s="7" t="s">
        <v>146</v>
      </c>
      <c r="B34" s="7" t="s">
        <v>111</v>
      </c>
      <c r="C34" s="8">
        <v>14.49</v>
      </c>
      <c r="D34" s="8">
        <f t="shared" ref="D34:D65" si="16">SUM(E34:R34)</f>
        <v>117.21999999999997</v>
      </c>
      <c r="E34" s="8">
        <v>66.069999999999993</v>
      </c>
      <c r="F34" s="8">
        <v>1.8</v>
      </c>
      <c r="G34" s="8">
        <v>13.52</v>
      </c>
      <c r="H34" s="8">
        <v>0.67</v>
      </c>
      <c r="I34" s="8">
        <v>6.16</v>
      </c>
      <c r="J34" s="8">
        <v>0</v>
      </c>
      <c r="K34" s="8">
        <v>0</v>
      </c>
      <c r="L34" s="8">
        <v>2.21</v>
      </c>
      <c r="M34" s="8">
        <v>0.82</v>
      </c>
      <c r="N34" s="8">
        <v>3.51</v>
      </c>
      <c r="O34" s="8">
        <v>0.06</v>
      </c>
      <c r="P34" s="8">
        <v>3.8</v>
      </c>
      <c r="Q34" s="8">
        <v>16.41</v>
      </c>
      <c r="R34" s="8">
        <v>2.19</v>
      </c>
      <c r="S34" s="8">
        <f t="shared" ref="S34:S67" si="17">C34/D34*E34</f>
        <v>8.1671583347551628</v>
      </c>
      <c r="T34" s="8">
        <f t="shared" ref="T34:T67" si="18">C34/D34*F34</f>
        <v>0.22250469203207651</v>
      </c>
      <c r="U34" s="8">
        <f t="shared" ref="U34:U67" si="19">C34/D34*G34</f>
        <v>1.6712574645964857</v>
      </c>
      <c r="V34" s="8">
        <f t="shared" ref="V34:V67" si="20">C34/D34*H34</f>
        <v>8.2821190923050708E-2</v>
      </c>
      <c r="W34" s="8">
        <f t="shared" ref="W34:W67" si="21">C34/D34*I34</f>
        <v>0.76146050162088408</v>
      </c>
      <c r="X34" s="8">
        <f t="shared" ref="X34:X67" si="22">C34/D34*J34</f>
        <v>0</v>
      </c>
      <c r="Y34" s="8">
        <f t="shared" ref="Y34:Y67" si="23">C34/D34*K34</f>
        <v>0</v>
      </c>
      <c r="Z34" s="8">
        <f t="shared" ref="Z34:Z67" si="24">C34/D34*L34</f>
        <v>0.27318631632827173</v>
      </c>
      <c r="AA34" s="8">
        <f t="shared" ref="AA34:AA67" si="25">C34/D34*M34</f>
        <v>0.1013632485923904</v>
      </c>
      <c r="AB34" s="8">
        <f t="shared" ref="AB34:AB67" si="26">C34/D34*N34</f>
        <v>0.43388414946254916</v>
      </c>
      <c r="AC34" s="8">
        <f t="shared" ref="AC34:AC67" si="27">C34/D34*O34</f>
        <v>7.4168230677358832E-3</v>
      </c>
      <c r="AD34" s="8">
        <f t="shared" ref="AD34:AD67" si="28">C34/D34*P34</f>
        <v>0.4697321276232726</v>
      </c>
      <c r="AE34" s="8">
        <f t="shared" ref="AE34:AE67" si="29">C34/D34*Q34</f>
        <v>2.0285011090257643</v>
      </c>
      <c r="AF34" s="8">
        <f t="shared" ref="AF34:AF67" si="30">C34/D34*R34</f>
        <v>0.27071404197235976</v>
      </c>
      <c r="AG34" s="8">
        <f t="shared" ref="AG34:AG67" si="31">66/SUMIF($A$2:$A$67,A34,$S$2:$S$67)</f>
        <v>3.8419869079770428</v>
      </c>
    </row>
    <row r="35" spans="1:33" x14ac:dyDescent="0.35">
      <c r="A35" s="7" t="s">
        <v>147</v>
      </c>
      <c r="B35" s="7" t="s">
        <v>115</v>
      </c>
      <c r="C35" s="8">
        <v>14.12</v>
      </c>
      <c r="D35" s="8">
        <f t="shared" si="16"/>
        <v>94.499999999999986</v>
      </c>
      <c r="E35" s="8">
        <v>65.89</v>
      </c>
      <c r="F35" s="8">
        <v>2.08</v>
      </c>
      <c r="G35" s="8">
        <v>0.14000000000000001</v>
      </c>
      <c r="H35" s="8">
        <v>0.25</v>
      </c>
      <c r="I35" s="8">
        <v>6.45</v>
      </c>
      <c r="J35" s="8">
        <v>6.57</v>
      </c>
      <c r="K35" s="8">
        <v>0</v>
      </c>
      <c r="L35" s="8">
        <v>0.69</v>
      </c>
      <c r="M35" s="8">
        <v>0.37</v>
      </c>
      <c r="N35" s="8">
        <v>2.82</v>
      </c>
      <c r="O35" s="8">
        <v>0.06</v>
      </c>
      <c r="P35" s="8">
        <v>5.33</v>
      </c>
      <c r="Q35" s="8">
        <v>2.72</v>
      </c>
      <c r="R35" s="8">
        <v>1.1299999999999999</v>
      </c>
      <c r="S35" s="8">
        <f t="shared" si="17"/>
        <v>9.8451513227513239</v>
      </c>
      <c r="T35" s="8">
        <f t="shared" si="18"/>
        <v>0.310789417989418</v>
      </c>
      <c r="U35" s="8">
        <f t="shared" si="19"/>
        <v>2.091851851851852E-2</v>
      </c>
      <c r="V35" s="8">
        <f t="shared" si="20"/>
        <v>3.7354497354497355E-2</v>
      </c>
      <c r="W35" s="8">
        <f t="shared" si="21"/>
        <v>0.96374603174603179</v>
      </c>
      <c r="X35" s="8">
        <f t="shared" si="22"/>
        <v>0.98167619047619059</v>
      </c>
      <c r="Y35" s="8">
        <f t="shared" si="23"/>
        <v>0</v>
      </c>
      <c r="Z35" s="8">
        <f t="shared" si="24"/>
        <v>0.10309841269841269</v>
      </c>
      <c r="AA35" s="8">
        <f t="shared" si="25"/>
        <v>5.5284656084656082E-2</v>
      </c>
      <c r="AB35" s="8">
        <f t="shared" si="26"/>
        <v>0.42135873015873015</v>
      </c>
      <c r="AC35" s="8">
        <f t="shared" si="27"/>
        <v>8.9650793650793651E-3</v>
      </c>
      <c r="AD35" s="8">
        <f t="shared" si="28"/>
        <v>0.79639788359788366</v>
      </c>
      <c r="AE35" s="8">
        <f t="shared" si="29"/>
        <v>0.40641693121693123</v>
      </c>
      <c r="AF35" s="8">
        <f t="shared" si="30"/>
        <v>0.16884232804232804</v>
      </c>
      <c r="AG35" s="8">
        <f t="shared" si="31"/>
        <v>3.9347682066556242</v>
      </c>
    </row>
    <row r="36" spans="1:33" x14ac:dyDescent="0.35">
      <c r="A36" s="7" t="s">
        <v>147</v>
      </c>
      <c r="B36" s="7" t="s">
        <v>113</v>
      </c>
      <c r="C36" s="8">
        <v>10.35</v>
      </c>
      <c r="D36" s="8">
        <f t="shared" si="16"/>
        <v>98.43</v>
      </c>
      <c r="E36" s="8">
        <v>65.89</v>
      </c>
      <c r="F36" s="8">
        <v>2.77</v>
      </c>
      <c r="G36" s="8">
        <v>11.7</v>
      </c>
      <c r="H36" s="8">
        <v>0.43</v>
      </c>
      <c r="I36" s="8">
        <v>0</v>
      </c>
      <c r="J36" s="8">
        <v>0</v>
      </c>
      <c r="K36" s="8">
        <v>0</v>
      </c>
      <c r="L36" s="8">
        <v>0.89</v>
      </c>
      <c r="M36" s="8">
        <v>0</v>
      </c>
      <c r="N36" s="8">
        <v>2.13</v>
      </c>
      <c r="O36" s="8">
        <v>0.06</v>
      </c>
      <c r="P36" s="8">
        <v>3.47</v>
      </c>
      <c r="Q36" s="8">
        <v>9.91</v>
      </c>
      <c r="R36" s="8">
        <v>1.18</v>
      </c>
      <c r="S36" s="8">
        <f t="shared" si="17"/>
        <v>6.9283907345321545</v>
      </c>
      <c r="T36" s="8">
        <f t="shared" si="18"/>
        <v>0.29126790612618103</v>
      </c>
      <c r="U36" s="8">
        <f t="shared" si="19"/>
        <v>1.2302651630600425</v>
      </c>
      <c r="V36" s="8">
        <f t="shared" si="20"/>
        <v>4.5214873514172506E-2</v>
      </c>
      <c r="W36" s="8">
        <f t="shared" si="21"/>
        <v>0</v>
      </c>
      <c r="X36" s="8">
        <f t="shared" si="22"/>
        <v>0</v>
      </c>
      <c r="Y36" s="8">
        <f t="shared" si="23"/>
        <v>0</v>
      </c>
      <c r="Z36" s="8">
        <f t="shared" si="24"/>
        <v>9.3584273087473316E-2</v>
      </c>
      <c r="AA36" s="8">
        <f t="shared" si="25"/>
        <v>0</v>
      </c>
      <c r="AB36" s="8">
        <f t="shared" si="26"/>
        <v>0.22397135019811029</v>
      </c>
      <c r="AC36" s="8">
        <f t="shared" si="27"/>
        <v>6.3090521182566283E-3</v>
      </c>
      <c r="AD36" s="8">
        <f t="shared" si="28"/>
        <v>0.36487351417250835</v>
      </c>
      <c r="AE36" s="8">
        <f t="shared" si="29"/>
        <v>1.0420451081987199</v>
      </c>
      <c r="AF36" s="8">
        <f t="shared" si="30"/>
        <v>0.12407802499238035</v>
      </c>
      <c r="AG36" s="8">
        <f t="shared" si="31"/>
        <v>3.9347682066556242</v>
      </c>
    </row>
    <row r="37" spans="1:33" x14ac:dyDescent="0.35">
      <c r="A37" s="7" t="s">
        <v>148</v>
      </c>
      <c r="B37" s="7" t="s">
        <v>116</v>
      </c>
      <c r="C37" s="8">
        <v>10.32</v>
      </c>
      <c r="D37" s="8">
        <f t="shared" si="16"/>
        <v>103.97</v>
      </c>
      <c r="E37" s="8">
        <v>65.88</v>
      </c>
      <c r="F37" s="8">
        <v>2.33</v>
      </c>
      <c r="G37" s="8">
        <v>0</v>
      </c>
      <c r="H37" s="8">
        <v>0.1</v>
      </c>
      <c r="I37" s="8">
        <v>6.59</v>
      </c>
      <c r="J37" s="8">
        <v>7.08</v>
      </c>
      <c r="K37" s="8">
        <v>4.7300000000000004</v>
      </c>
      <c r="L37" s="8">
        <v>0.1</v>
      </c>
      <c r="M37" s="8">
        <v>0.65</v>
      </c>
      <c r="N37" s="8">
        <v>2.87</v>
      </c>
      <c r="O37" s="8">
        <v>0.06</v>
      </c>
      <c r="P37" s="8">
        <v>2.94</v>
      </c>
      <c r="Q37" s="8">
        <v>8.41</v>
      </c>
      <c r="R37" s="8">
        <v>2.23</v>
      </c>
      <c r="S37" s="8">
        <f t="shared" si="17"/>
        <v>6.5392093873232664</v>
      </c>
      <c r="T37" s="8">
        <f t="shared" si="18"/>
        <v>0.23127440607867655</v>
      </c>
      <c r="U37" s="8">
        <f t="shared" si="19"/>
        <v>0</v>
      </c>
      <c r="V37" s="8">
        <f t="shared" si="20"/>
        <v>9.9259401750504961E-3</v>
      </c>
      <c r="W37" s="8">
        <f t="shared" si="21"/>
        <v>0.65411945753582768</v>
      </c>
      <c r="X37" s="8">
        <f t="shared" si="22"/>
        <v>0.70275656439357514</v>
      </c>
      <c r="Y37" s="8">
        <f t="shared" si="23"/>
        <v>0.46949697027988851</v>
      </c>
      <c r="Z37" s="8">
        <f t="shared" si="24"/>
        <v>9.9259401750504961E-3</v>
      </c>
      <c r="AA37" s="8">
        <f t="shared" si="25"/>
        <v>6.4518611137828225E-2</v>
      </c>
      <c r="AB37" s="8">
        <f t="shared" si="26"/>
        <v>0.28487448302394924</v>
      </c>
      <c r="AC37" s="8">
        <f t="shared" si="27"/>
        <v>5.9555641050302978E-3</v>
      </c>
      <c r="AD37" s="8">
        <f t="shared" si="28"/>
        <v>0.2918226411464846</v>
      </c>
      <c r="AE37" s="8">
        <f t="shared" si="29"/>
        <v>0.83477156872174674</v>
      </c>
      <c r="AF37" s="8">
        <f t="shared" si="30"/>
        <v>0.22134846590362606</v>
      </c>
      <c r="AG37" s="8">
        <f t="shared" si="31"/>
        <v>5.9879007092493541</v>
      </c>
    </row>
    <row r="38" spans="1:33" x14ac:dyDescent="0.35">
      <c r="A38" s="7" t="s">
        <v>148</v>
      </c>
      <c r="B38" s="7" t="s">
        <v>114</v>
      </c>
      <c r="C38" s="8">
        <v>6.22</v>
      </c>
      <c r="D38" s="8">
        <f t="shared" si="16"/>
        <v>91.6</v>
      </c>
      <c r="E38" s="8">
        <v>66.02</v>
      </c>
      <c r="F38" s="8">
        <v>2.86</v>
      </c>
      <c r="G38" s="8">
        <v>0</v>
      </c>
      <c r="H38" s="8">
        <v>0.43</v>
      </c>
      <c r="I38" s="8">
        <v>0</v>
      </c>
      <c r="J38" s="8">
        <v>0</v>
      </c>
      <c r="K38" s="8">
        <v>6.46</v>
      </c>
      <c r="L38" s="8">
        <v>1.85</v>
      </c>
      <c r="M38" s="8">
        <v>1.94</v>
      </c>
      <c r="N38" s="8">
        <v>1.02</v>
      </c>
      <c r="O38" s="8">
        <v>0.06</v>
      </c>
      <c r="P38" s="8">
        <v>3.78</v>
      </c>
      <c r="Q38" s="8">
        <v>5.76</v>
      </c>
      <c r="R38" s="8">
        <v>1.42</v>
      </c>
      <c r="S38" s="8">
        <f t="shared" si="17"/>
        <v>4.4830174672489083</v>
      </c>
      <c r="T38" s="8">
        <f t="shared" si="18"/>
        <v>0.1942052401746725</v>
      </c>
      <c r="U38" s="8">
        <f t="shared" si="19"/>
        <v>0</v>
      </c>
      <c r="V38" s="8">
        <f t="shared" si="20"/>
        <v>2.9198689956331882E-2</v>
      </c>
      <c r="W38" s="8">
        <f t="shared" si="21"/>
        <v>0</v>
      </c>
      <c r="X38" s="8">
        <f t="shared" si="22"/>
        <v>0</v>
      </c>
      <c r="Y38" s="8">
        <f t="shared" si="23"/>
        <v>0.43865938864628828</v>
      </c>
      <c r="Z38" s="8">
        <f t="shared" si="24"/>
        <v>0.1256222707423581</v>
      </c>
      <c r="AA38" s="8">
        <f t="shared" si="25"/>
        <v>0.13173362445414849</v>
      </c>
      <c r="AB38" s="8">
        <f t="shared" si="26"/>
        <v>6.9262008733624467E-2</v>
      </c>
      <c r="AC38" s="8">
        <f t="shared" si="27"/>
        <v>4.074235807860262E-3</v>
      </c>
      <c r="AD38" s="8">
        <f t="shared" si="28"/>
        <v>0.25667685589519651</v>
      </c>
      <c r="AE38" s="8">
        <f t="shared" si="29"/>
        <v>0.39112663755458521</v>
      </c>
      <c r="AF38" s="8">
        <f t="shared" si="30"/>
        <v>9.6423580786026211E-2</v>
      </c>
      <c r="AG38" s="8">
        <f t="shared" si="31"/>
        <v>5.9879007092493541</v>
      </c>
    </row>
    <row r="39" spans="1:33" x14ac:dyDescent="0.35">
      <c r="A39" s="7" t="s">
        <v>149</v>
      </c>
      <c r="B39" s="7" t="s">
        <v>111</v>
      </c>
      <c r="C39" s="8">
        <v>9.59</v>
      </c>
      <c r="D39" s="8">
        <f t="shared" si="16"/>
        <v>117.21999999999997</v>
      </c>
      <c r="E39" s="8">
        <v>66.069999999999993</v>
      </c>
      <c r="F39" s="8">
        <v>1.8</v>
      </c>
      <c r="G39" s="8">
        <v>13.52</v>
      </c>
      <c r="H39" s="8">
        <v>0.67</v>
      </c>
      <c r="I39" s="8">
        <v>6.16</v>
      </c>
      <c r="J39" s="8">
        <v>0</v>
      </c>
      <c r="K39" s="8">
        <v>0</v>
      </c>
      <c r="L39" s="8">
        <v>2.21</v>
      </c>
      <c r="M39" s="8">
        <v>0.82</v>
      </c>
      <c r="N39" s="8">
        <v>3.51</v>
      </c>
      <c r="O39" s="8">
        <v>0.06</v>
      </c>
      <c r="P39" s="8">
        <v>3.8</v>
      </c>
      <c r="Q39" s="8">
        <v>16.41</v>
      </c>
      <c r="R39" s="8">
        <v>2.19</v>
      </c>
      <c r="S39" s="8">
        <f t="shared" si="17"/>
        <v>5.4053173519877156</v>
      </c>
      <c r="T39" s="8">
        <f t="shared" si="18"/>
        <v>0.14726155946084288</v>
      </c>
      <c r="U39" s="8">
        <f t="shared" si="19"/>
        <v>1.1060979355058866</v>
      </c>
      <c r="V39" s="8">
        <f t="shared" si="20"/>
        <v>5.4814024910424856E-2</v>
      </c>
      <c r="W39" s="8">
        <f t="shared" si="21"/>
        <v>0.50396178126599567</v>
      </c>
      <c r="X39" s="8">
        <f t="shared" si="22"/>
        <v>0</v>
      </c>
      <c r="Y39" s="8">
        <f t="shared" si="23"/>
        <v>0</v>
      </c>
      <c r="Z39" s="8">
        <f t="shared" si="24"/>
        <v>0.18080447022692375</v>
      </c>
      <c r="AA39" s="8">
        <f t="shared" si="25"/>
        <v>6.7085821532161749E-2</v>
      </c>
      <c r="AB39" s="8">
        <f t="shared" si="26"/>
        <v>0.28716004094864361</v>
      </c>
      <c r="AC39" s="8">
        <f t="shared" si="27"/>
        <v>4.9087186486947631E-3</v>
      </c>
      <c r="AD39" s="8">
        <f t="shared" si="28"/>
        <v>0.31088551441733497</v>
      </c>
      <c r="AE39" s="8">
        <f t="shared" si="29"/>
        <v>1.3425345504180177</v>
      </c>
      <c r="AF39" s="8">
        <f t="shared" si="30"/>
        <v>0.17916823067735885</v>
      </c>
      <c r="AG39" s="8">
        <f t="shared" si="31"/>
        <v>6.4872393535452133</v>
      </c>
    </row>
    <row r="40" spans="1:33" x14ac:dyDescent="0.35">
      <c r="A40" s="7" t="s">
        <v>149</v>
      </c>
      <c r="B40" s="7" t="s">
        <v>117</v>
      </c>
      <c r="C40" s="8">
        <v>7.42</v>
      </c>
      <c r="D40" s="8">
        <f t="shared" si="16"/>
        <v>102.59000000000002</v>
      </c>
      <c r="E40" s="8">
        <v>65.930000000000007</v>
      </c>
      <c r="F40" s="8">
        <v>0</v>
      </c>
      <c r="G40" s="8">
        <v>3.7</v>
      </c>
      <c r="H40" s="8">
        <v>0</v>
      </c>
      <c r="I40" s="8">
        <v>7.43</v>
      </c>
      <c r="J40" s="8">
        <v>7.6</v>
      </c>
      <c r="K40" s="8">
        <v>2.29</v>
      </c>
      <c r="L40" s="8">
        <v>0.12</v>
      </c>
      <c r="M40" s="8">
        <v>0.61</v>
      </c>
      <c r="N40" s="8">
        <v>0.87</v>
      </c>
      <c r="O40" s="8">
        <v>0.06</v>
      </c>
      <c r="P40" s="8">
        <v>7.61</v>
      </c>
      <c r="Q40" s="8">
        <v>5.37</v>
      </c>
      <c r="R40" s="8">
        <v>1</v>
      </c>
      <c r="S40" s="8">
        <f t="shared" si="17"/>
        <v>4.7685018032946678</v>
      </c>
      <c r="T40" s="8">
        <f t="shared" si="18"/>
        <v>0</v>
      </c>
      <c r="U40" s="8">
        <f t="shared" si="19"/>
        <v>0.26760892874549175</v>
      </c>
      <c r="V40" s="8">
        <f t="shared" si="20"/>
        <v>0</v>
      </c>
      <c r="W40" s="8">
        <f t="shared" si="21"/>
        <v>0.53738765961594681</v>
      </c>
      <c r="X40" s="8">
        <f t="shared" si="22"/>
        <v>0.54968320499073975</v>
      </c>
      <c r="Y40" s="8">
        <f t="shared" si="23"/>
        <v>0.16562822887220974</v>
      </c>
      <c r="Z40" s="8">
        <f t="shared" si="24"/>
        <v>8.6792084998537859E-3</v>
      </c>
      <c r="AA40" s="8">
        <f t="shared" si="25"/>
        <v>4.4119309874256739E-2</v>
      </c>
      <c r="AB40" s="8">
        <f t="shared" si="26"/>
        <v>6.292426162393995E-2</v>
      </c>
      <c r="AC40" s="8">
        <f t="shared" si="27"/>
        <v>4.3396042499268929E-3</v>
      </c>
      <c r="AD40" s="8">
        <f t="shared" si="28"/>
        <v>0.55040647236572759</v>
      </c>
      <c r="AE40" s="8">
        <f t="shared" si="29"/>
        <v>0.38839458036845692</v>
      </c>
      <c r="AF40" s="8">
        <f t="shared" si="30"/>
        <v>7.2326737498781546E-2</v>
      </c>
      <c r="AG40" s="8">
        <f t="shared" si="31"/>
        <v>6.4872393535452133</v>
      </c>
    </row>
    <row r="41" spans="1:33" x14ac:dyDescent="0.35">
      <c r="A41" s="7" t="s">
        <v>150</v>
      </c>
      <c r="B41" s="7" t="s">
        <v>114</v>
      </c>
      <c r="C41" s="8">
        <v>8.7200000000000006</v>
      </c>
      <c r="D41" s="8">
        <f t="shared" si="16"/>
        <v>91.6</v>
      </c>
      <c r="E41" s="8">
        <v>66.02</v>
      </c>
      <c r="F41" s="8">
        <v>2.86</v>
      </c>
      <c r="G41" s="8">
        <v>0</v>
      </c>
      <c r="H41" s="8">
        <v>0.43</v>
      </c>
      <c r="I41" s="8">
        <v>0</v>
      </c>
      <c r="J41" s="8">
        <v>0</v>
      </c>
      <c r="K41" s="8">
        <v>6.46</v>
      </c>
      <c r="L41" s="8">
        <v>1.85</v>
      </c>
      <c r="M41" s="8">
        <v>1.94</v>
      </c>
      <c r="N41" s="8">
        <v>1.02</v>
      </c>
      <c r="O41" s="8">
        <v>0.06</v>
      </c>
      <c r="P41" s="8">
        <v>3.78</v>
      </c>
      <c r="Q41" s="8">
        <v>5.76</v>
      </c>
      <c r="R41" s="8">
        <v>1.42</v>
      </c>
      <c r="S41" s="8">
        <f t="shared" si="17"/>
        <v>6.2848733624454152</v>
      </c>
      <c r="T41" s="8">
        <f t="shared" si="18"/>
        <v>0.27226200873362449</v>
      </c>
      <c r="U41" s="8">
        <f t="shared" si="19"/>
        <v>0</v>
      </c>
      <c r="V41" s="8">
        <f t="shared" si="20"/>
        <v>4.093449781659389E-2</v>
      </c>
      <c r="W41" s="8">
        <f t="shared" si="21"/>
        <v>0</v>
      </c>
      <c r="X41" s="8">
        <f t="shared" si="22"/>
        <v>0</v>
      </c>
      <c r="Y41" s="8">
        <f t="shared" si="23"/>
        <v>0.61496943231441059</v>
      </c>
      <c r="Z41" s="8">
        <f t="shared" si="24"/>
        <v>0.17611353711790398</v>
      </c>
      <c r="AA41" s="8">
        <f t="shared" si="25"/>
        <v>0.1846812227074236</v>
      </c>
      <c r="AB41" s="8">
        <f t="shared" si="26"/>
        <v>9.7100436681222729E-2</v>
      </c>
      <c r="AC41" s="8">
        <f t="shared" si="27"/>
        <v>5.7117903930131008E-3</v>
      </c>
      <c r="AD41" s="8">
        <f t="shared" si="28"/>
        <v>0.35984279475982539</v>
      </c>
      <c r="AE41" s="8">
        <f t="shared" si="29"/>
        <v>0.54833187772925773</v>
      </c>
      <c r="AF41" s="8">
        <f t="shared" si="30"/>
        <v>0.13517903930131006</v>
      </c>
      <c r="AG41" s="8">
        <f t="shared" si="31"/>
        <v>6.3637332094569938</v>
      </c>
    </row>
    <row r="42" spans="1:33" x14ac:dyDescent="0.35">
      <c r="A42" s="7" t="s">
        <v>150</v>
      </c>
      <c r="B42" s="7" t="s">
        <v>111</v>
      </c>
      <c r="C42" s="8">
        <v>7.25</v>
      </c>
      <c r="D42" s="8">
        <f t="shared" si="16"/>
        <v>117.21999999999997</v>
      </c>
      <c r="E42" s="8">
        <v>66.069999999999993</v>
      </c>
      <c r="F42" s="8">
        <v>1.8</v>
      </c>
      <c r="G42" s="8">
        <v>13.52</v>
      </c>
      <c r="H42" s="8">
        <v>0.67</v>
      </c>
      <c r="I42" s="8">
        <v>6.16</v>
      </c>
      <c r="J42" s="8">
        <v>0</v>
      </c>
      <c r="K42" s="8">
        <v>0</v>
      </c>
      <c r="L42" s="8">
        <v>2.21</v>
      </c>
      <c r="M42" s="8">
        <v>0.82</v>
      </c>
      <c r="N42" s="8">
        <v>3.51</v>
      </c>
      <c r="O42" s="8">
        <v>0.06</v>
      </c>
      <c r="P42" s="8">
        <v>3.8</v>
      </c>
      <c r="Q42" s="8">
        <v>16.41</v>
      </c>
      <c r="R42" s="8">
        <v>2.19</v>
      </c>
      <c r="S42" s="8">
        <f t="shared" si="17"/>
        <v>4.0863973724620379</v>
      </c>
      <c r="T42" s="8">
        <f t="shared" si="18"/>
        <v>0.11132912472274359</v>
      </c>
      <c r="U42" s="8">
        <f t="shared" si="19"/>
        <v>0.83620542569527412</v>
      </c>
      <c r="V42" s="8">
        <f t="shared" si="20"/>
        <v>4.1439174202354559E-2</v>
      </c>
      <c r="W42" s="8">
        <f t="shared" si="21"/>
        <v>0.38099300460672253</v>
      </c>
      <c r="X42" s="8">
        <f t="shared" si="22"/>
        <v>0</v>
      </c>
      <c r="Y42" s="8">
        <f t="shared" si="23"/>
        <v>0</v>
      </c>
      <c r="Z42" s="8">
        <f t="shared" si="24"/>
        <v>0.13668742535403519</v>
      </c>
      <c r="AA42" s="8">
        <f t="shared" si="25"/>
        <v>5.0716601262583191E-2</v>
      </c>
      <c r="AB42" s="8">
        <f t="shared" si="26"/>
        <v>0.21709179320934999</v>
      </c>
      <c r="AC42" s="8">
        <f t="shared" si="27"/>
        <v>3.7109708240914531E-3</v>
      </c>
      <c r="AD42" s="8">
        <f t="shared" si="28"/>
        <v>0.23502815219245868</v>
      </c>
      <c r="AE42" s="8">
        <f t="shared" si="29"/>
        <v>1.0149505203890123</v>
      </c>
      <c r="AF42" s="8">
        <f t="shared" si="30"/>
        <v>0.13545043507933804</v>
      </c>
      <c r="AG42" s="8">
        <f t="shared" si="31"/>
        <v>6.3637332094569938</v>
      </c>
    </row>
    <row r="43" spans="1:33" x14ac:dyDescent="0.35">
      <c r="A43" s="7" t="s">
        <v>151</v>
      </c>
      <c r="B43" s="7" t="s">
        <v>116</v>
      </c>
      <c r="C43" s="8">
        <v>13.55</v>
      </c>
      <c r="D43" s="8">
        <f t="shared" si="16"/>
        <v>103.97</v>
      </c>
      <c r="E43" s="8">
        <v>65.88</v>
      </c>
      <c r="F43" s="8">
        <v>2.33</v>
      </c>
      <c r="G43" s="8">
        <v>0</v>
      </c>
      <c r="H43" s="8">
        <v>0.1</v>
      </c>
      <c r="I43" s="8">
        <v>6.59</v>
      </c>
      <c r="J43" s="8">
        <v>7.08</v>
      </c>
      <c r="K43" s="8">
        <v>4.7300000000000004</v>
      </c>
      <c r="L43" s="8">
        <v>0.1</v>
      </c>
      <c r="M43" s="8">
        <v>0.65</v>
      </c>
      <c r="N43" s="8">
        <v>2.87</v>
      </c>
      <c r="O43" s="8">
        <v>0.06</v>
      </c>
      <c r="P43" s="8">
        <v>2.94</v>
      </c>
      <c r="Q43" s="8">
        <v>8.41</v>
      </c>
      <c r="R43" s="8">
        <v>2.23</v>
      </c>
      <c r="S43" s="8">
        <f t="shared" si="17"/>
        <v>8.5858805424641726</v>
      </c>
      <c r="T43" s="8">
        <f t="shared" si="18"/>
        <v>0.30365970953159566</v>
      </c>
      <c r="U43" s="8">
        <f t="shared" si="19"/>
        <v>0</v>
      </c>
      <c r="V43" s="8">
        <f t="shared" si="20"/>
        <v>1.3032605559295952E-2</v>
      </c>
      <c r="W43" s="8">
        <f t="shared" si="21"/>
        <v>0.85884870635760313</v>
      </c>
      <c r="X43" s="8">
        <f t="shared" si="22"/>
        <v>0.92270847359815333</v>
      </c>
      <c r="Y43" s="8">
        <f t="shared" si="23"/>
        <v>0.61644224295469852</v>
      </c>
      <c r="Z43" s="8">
        <f t="shared" si="24"/>
        <v>1.3032605559295952E-2</v>
      </c>
      <c r="AA43" s="8">
        <f t="shared" si="25"/>
        <v>8.4711936135423688E-2</v>
      </c>
      <c r="AB43" s="8">
        <f t="shared" si="26"/>
        <v>0.37403577955179379</v>
      </c>
      <c r="AC43" s="8">
        <f t="shared" si="27"/>
        <v>7.8195633355775708E-3</v>
      </c>
      <c r="AD43" s="8">
        <f t="shared" si="28"/>
        <v>0.38315860344330094</v>
      </c>
      <c r="AE43" s="8">
        <f t="shared" si="29"/>
        <v>1.0960421275367895</v>
      </c>
      <c r="AF43" s="8">
        <f t="shared" si="30"/>
        <v>0.29062710397229968</v>
      </c>
      <c r="AG43" s="8">
        <f t="shared" si="31"/>
        <v>4.3322727375094816</v>
      </c>
    </row>
    <row r="44" spans="1:33" x14ac:dyDescent="0.35">
      <c r="A44" s="7" t="s">
        <v>151</v>
      </c>
      <c r="B44" s="7" t="s">
        <v>118</v>
      </c>
      <c r="C44" s="8">
        <v>10.58</v>
      </c>
      <c r="D44" s="8">
        <f t="shared" si="16"/>
        <v>105.09000000000002</v>
      </c>
      <c r="E44" s="8">
        <v>66.040000000000006</v>
      </c>
      <c r="F44" s="8">
        <v>0</v>
      </c>
      <c r="G44" s="8">
        <v>2.2599999999999998</v>
      </c>
      <c r="H44" s="8">
        <v>0.68</v>
      </c>
      <c r="I44" s="8">
        <v>7.29</v>
      </c>
      <c r="J44" s="8">
        <v>7.61</v>
      </c>
      <c r="K44" s="8">
        <v>3.93</v>
      </c>
      <c r="L44" s="8">
        <v>0.36</v>
      </c>
      <c r="M44" s="8">
        <v>0.96</v>
      </c>
      <c r="N44" s="8">
        <v>1.94</v>
      </c>
      <c r="O44" s="8">
        <v>0.06</v>
      </c>
      <c r="P44" s="8">
        <v>9.82</v>
      </c>
      <c r="Q44" s="8">
        <v>3.06</v>
      </c>
      <c r="R44" s="8">
        <v>1.08</v>
      </c>
      <c r="S44" s="8">
        <f t="shared" si="17"/>
        <v>6.6486173755828331</v>
      </c>
      <c r="T44" s="8">
        <f t="shared" si="18"/>
        <v>0</v>
      </c>
      <c r="U44" s="8">
        <f t="shared" si="19"/>
        <v>0.22752688172043006</v>
      </c>
      <c r="V44" s="8">
        <f t="shared" si="20"/>
        <v>6.8459415738890472E-2</v>
      </c>
      <c r="W44" s="8">
        <f t="shared" si="21"/>
        <v>0.73392520696545804</v>
      </c>
      <c r="X44" s="8">
        <f t="shared" si="22"/>
        <v>0.76614140260728891</v>
      </c>
      <c r="Y44" s="8">
        <f t="shared" si="23"/>
        <v>0.39565515272623464</v>
      </c>
      <c r="Z44" s="8">
        <f t="shared" si="24"/>
        <v>3.6243220097059659E-2</v>
      </c>
      <c r="AA44" s="8">
        <f t="shared" si="25"/>
        <v>9.6648586925492413E-2</v>
      </c>
      <c r="AB44" s="8">
        <f t="shared" si="26"/>
        <v>0.19531068607859925</v>
      </c>
      <c r="AC44" s="8">
        <f t="shared" si="27"/>
        <v>6.0405366828432758E-3</v>
      </c>
      <c r="AD44" s="8">
        <f t="shared" si="28"/>
        <v>0.98863450375868289</v>
      </c>
      <c r="AE44" s="8">
        <f t="shared" si="29"/>
        <v>0.30806737082500713</v>
      </c>
      <c r="AF44" s="8">
        <f t="shared" si="30"/>
        <v>0.10872966029117898</v>
      </c>
      <c r="AG44" s="8">
        <f t="shared" si="31"/>
        <v>4.3322727375094816</v>
      </c>
    </row>
    <row r="45" spans="1:33" x14ac:dyDescent="0.35">
      <c r="A45" s="7" t="s">
        <v>152</v>
      </c>
      <c r="B45" s="7" t="s">
        <v>118</v>
      </c>
      <c r="C45" s="8">
        <v>14.35</v>
      </c>
      <c r="D45" s="8">
        <f t="shared" si="16"/>
        <v>105.09000000000002</v>
      </c>
      <c r="E45" s="8">
        <v>66.040000000000006</v>
      </c>
      <c r="F45" s="8">
        <v>0</v>
      </c>
      <c r="G45" s="8">
        <v>2.2599999999999998</v>
      </c>
      <c r="H45" s="8">
        <v>0.68</v>
      </c>
      <c r="I45" s="8">
        <v>7.29</v>
      </c>
      <c r="J45" s="8">
        <v>7.61</v>
      </c>
      <c r="K45" s="8">
        <v>3.93</v>
      </c>
      <c r="L45" s="8">
        <v>0.36</v>
      </c>
      <c r="M45" s="8">
        <v>0.96</v>
      </c>
      <c r="N45" s="8">
        <v>1.94</v>
      </c>
      <c r="O45" s="8">
        <v>0.06</v>
      </c>
      <c r="P45" s="8">
        <v>9.82</v>
      </c>
      <c r="Q45" s="8">
        <v>3.06</v>
      </c>
      <c r="R45" s="8">
        <v>1.08</v>
      </c>
      <c r="S45" s="8">
        <f t="shared" si="17"/>
        <v>9.0177371776572439</v>
      </c>
      <c r="T45" s="8">
        <f t="shared" si="18"/>
        <v>0</v>
      </c>
      <c r="U45" s="8">
        <f t="shared" si="19"/>
        <v>0.30860215053763429</v>
      </c>
      <c r="V45" s="8">
        <f t="shared" si="20"/>
        <v>9.2853744409553698E-2</v>
      </c>
      <c r="W45" s="8">
        <f t="shared" si="21"/>
        <v>0.99544675992006826</v>
      </c>
      <c r="X45" s="8">
        <f t="shared" si="22"/>
        <v>1.0391426396422112</v>
      </c>
      <c r="Y45" s="8">
        <f t="shared" si="23"/>
        <v>0.53664002283756773</v>
      </c>
      <c r="Z45" s="8">
        <f t="shared" si="24"/>
        <v>4.9157864687410777E-2</v>
      </c>
      <c r="AA45" s="8">
        <f t="shared" si="25"/>
        <v>0.13108763916642874</v>
      </c>
      <c r="AB45" s="8">
        <f t="shared" si="26"/>
        <v>0.2649062708154914</v>
      </c>
      <c r="AC45" s="8">
        <f t="shared" si="27"/>
        <v>8.1929774479017961E-3</v>
      </c>
      <c r="AD45" s="8">
        <f t="shared" si="28"/>
        <v>1.3409173089732607</v>
      </c>
      <c r="AE45" s="8">
        <f t="shared" si="29"/>
        <v>0.41784184984299161</v>
      </c>
      <c r="AF45" s="8">
        <f t="shared" si="30"/>
        <v>0.14747359406223234</v>
      </c>
      <c r="AG45" s="8">
        <f t="shared" si="31"/>
        <v>4.2204347293248237</v>
      </c>
    </row>
    <row r="46" spans="1:33" x14ac:dyDescent="0.35">
      <c r="A46" s="7" t="s">
        <v>152</v>
      </c>
      <c r="B46" s="7" t="s">
        <v>113</v>
      </c>
      <c r="C46" s="8">
        <v>9.89</v>
      </c>
      <c r="D46" s="8">
        <f t="shared" si="16"/>
        <v>98.43</v>
      </c>
      <c r="E46" s="8">
        <v>65.89</v>
      </c>
      <c r="F46" s="8">
        <v>2.77</v>
      </c>
      <c r="G46" s="8">
        <v>11.7</v>
      </c>
      <c r="H46" s="8">
        <v>0.43</v>
      </c>
      <c r="I46" s="8">
        <v>0</v>
      </c>
      <c r="J46" s="8">
        <v>0</v>
      </c>
      <c r="K46" s="8">
        <v>0</v>
      </c>
      <c r="L46" s="8">
        <v>0.89</v>
      </c>
      <c r="M46" s="8">
        <v>0</v>
      </c>
      <c r="N46" s="8">
        <v>2.13</v>
      </c>
      <c r="O46" s="8">
        <v>0.06</v>
      </c>
      <c r="P46" s="8">
        <v>3.47</v>
      </c>
      <c r="Q46" s="8">
        <v>9.91</v>
      </c>
      <c r="R46" s="8">
        <v>1.18</v>
      </c>
      <c r="S46" s="8">
        <f t="shared" si="17"/>
        <v>6.6204622574418366</v>
      </c>
      <c r="T46" s="8">
        <f t="shared" si="18"/>
        <v>0.2783226658539063</v>
      </c>
      <c r="U46" s="8">
        <f t="shared" si="19"/>
        <v>1.175586711368485</v>
      </c>
      <c r="V46" s="8">
        <f t="shared" si="20"/>
        <v>4.320532358020928E-2</v>
      </c>
      <c r="W46" s="8">
        <f t="shared" si="21"/>
        <v>0</v>
      </c>
      <c r="X46" s="8">
        <f t="shared" si="22"/>
        <v>0</v>
      </c>
      <c r="Y46" s="8">
        <f t="shared" si="23"/>
        <v>0</v>
      </c>
      <c r="Z46" s="8">
        <f t="shared" si="24"/>
        <v>8.9424972061363406E-2</v>
      </c>
      <c r="AA46" s="8">
        <f t="shared" si="25"/>
        <v>0</v>
      </c>
      <c r="AB46" s="8">
        <f t="shared" si="26"/>
        <v>0.2140170679670832</v>
      </c>
      <c r="AC46" s="8">
        <f t="shared" si="27"/>
        <v>6.0286498018896672E-3</v>
      </c>
      <c r="AD46" s="8">
        <f t="shared" si="28"/>
        <v>0.34865691354261913</v>
      </c>
      <c r="AE46" s="8">
        <f t="shared" si="29"/>
        <v>0.99573199227877673</v>
      </c>
      <c r="AF46" s="8">
        <f t="shared" si="30"/>
        <v>0.11856344610383013</v>
      </c>
      <c r="AG46" s="8">
        <f t="shared" si="31"/>
        <v>4.2204347293248237</v>
      </c>
    </row>
    <row r="47" spans="1:33" x14ac:dyDescent="0.35">
      <c r="A47" s="7" t="s">
        <v>153</v>
      </c>
      <c r="B47" s="7" t="s">
        <v>116</v>
      </c>
      <c r="C47" s="8">
        <v>11.07</v>
      </c>
      <c r="D47" s="8">
        <f t="shared" si="16"/>
        <v>103.97</v>
      </c>
      <c r="E47" s="8">
        <v>65.88</v>
      </c>
      <c r="F47" s="8">
        <v>2.33</v>
      </c>
      <c r="G47" s="8">
        <v>0</v>
      </c>
      <c r="H47" s="8">
        <v>0.1</v>
      </c>
      <c r="I47" s="8">
        <v>6.59</v>
      </c>
      <c r="J47" s="8">
        <v>7.08</v>
      </c>
      <c r="K47" s="8">
        <v>4.7300000000000004</v>
      </c>
      <c r="L47" s="8">
        <v>0.1</v>
      </c>
      <c r="M47" s="8">
        <v>0.65</v>
      </c>
      <c r="N47" s="8">
        <v>2.87</v>
      </c>
      <c r="O47" s="8">
        <v>0.06</v>
      </c>
      <c r="P47" s="8">
        <v>2.94</v>
      </c>
      <c r="Q47" s="8">
        <v>8.41</v>
      </c>
      <c r="R47" s="8">
        <v>2.23</v>
      </c>
      <c r="S47" s="8">
        <f t="shared" si="17"/>
        <v>7.0144426276810616</v>
      </c>
      <c r="T47" s="8">
        <f t="shared" si="18"/>
        <v>0.24808213907858037</v>
      </c>
      <c r="U47" s="8">
        <f t="shared" si="19"/>
        <v>0</v>
      </c>
      <c r="V47" s="8">
        <f t="shared" si="20"/>
        <v>1.064730210637684E-2</v>
      </c>
      <c r="W47" s="8">
        <f t="shared" si="21"/>
        <v>0.70165720881023375</v>
      </c>
      <c r="X47" s="8">
        <f t="shared" si="22"/>
        <v>0.75382898913148022</v>
      </c>
      <c r="Y47" s="8">
        <f t="shared" si="23"/>
        <v>0.5036173896316245</v>
      </c>
      <c r="Z47" s="8">
        <f t="shared" si="24"/>
        <v>1.064730210637684E-2</v>
      </c>
      <c r="AA47" s="8">
        <f t="shared" si="25"/>
        <v>6.9207463691449464E-2</v>
      </c>
      <c r="AB47" s="8">
        <f t="shared" si="26"/>
        <v>0.30557757045301531</v>
      </c>
      <c r="AC47" s="8">
        <f t="shared" si="27"/>
        <v>6.3883812638261036E-3</v>
      </c>
      <c r="AD47" s="8">
        <f t="shared" si="28"/>
        <v>0.31303068192747907</v>
      </c>
      <c r="AE47" s="8">
        <f t="shared" si="29"/>
        <v>0.89543810714629224</v>
      </c>
      <c r="AF47" s="8">
        <f t="shared" si="30"/>
        <v>0.23743483697220352</v>
      </c>
      <c r="AG47" s="8">
        <f t="shared" si="31"/>
        <v>5.217039598924754</v>
      </c>
    </row>
    <row r="48" spans="1:33" x14ac:dyDescent="0.35">
      <c r="A48" s="7" t="s">
        <v>153</v>
      </c>
      <c r="B48" s="7" t="s">
        <v>111</v>
      </c>
      <c r="C48" s="8">
        <v>10</v>
      </c>
      <c r="D48" s="8">
        <f t="shared" si="16"/>
        <v>117.21999999999997</v>
      </c>
      <c r="E48" s="8">
        <v>66.069999999999993</v>
      </c>
      <c r="F48" s="8">
        <v>1.8</v>
      </c>
      <c r="G48" s="8">
        <v>13.52</v>
      </c>
      <c r="H48" s="8">
        <v>0.67</v>
      </c>
      <c r="I48" s="8">
        <v>6.16</v>
      </c>
      <c r="J48" s="8">
        <v>0</v>
      </c>
      <c r="K48" s="8">
        <v>0</v>
      </c>
      <c r="L48" s="8">
        <v>2.21</v>
      </c>
      <c r="M48" s="8">
        <v>0.82</v>
      </c>
      <c r="N48" s="8">
        <v>3.51</v>
      </c>
      <c r="O48" s="8">
        <v>0.06</v>
      </c>
      <c r="P48" s="8">
        <v>3.8</v>
      </c>
      <c r="Q48" s="8">
        <v>16.41</v>
      </c>
      <c r="R48" s="8">
        <v>2.19</v>
      </c>
      <c r="S48" s="8">
        <f t="shared" si="17"/>
        <v>5.6364101689131552</v>
      </c>
      <c r="T48" s="8">
        <f t="shared" si="18"/>
        <v>0.1535574134106808</v>
      </c>
      <c r="U48" s="8">
        <f t="shared" si="19"/>
        <v>1.1533867940624469</v>
      </c>
      <c r="V48" s="8">
        <f t="shared" si="20"/>
        <v>5.7157481658420078E-2</v>
      </c>
      <c r="W48" s="8">
        <f t="shared" si="21"/>
        <v>0.52550759256099655</v>
      </c>
      <c r="X48" s="8">
        <f t="shared" si="22"/>
        <v>0</v>
      </c>
      <c r="Y48" s="8">
        <f t="shared" si="23"/>
        <v>0</v>
      </c>
      <c r="Z48" s="8">
        <f t="shared" si="24"/>
        <v>0.18853437979866922</v>
      </c>
      <c r="AA48" s="8">
        <f t="shared" si="25"/>
        <v>6.9953932775976807E-2</v>
      </c>
      <c r="AB48" s="8">
        <f t="shared" si="26"/>
        <v>0.29943695615082755</v>
      </c>
      <c r="AC48" s="8">
        <f t="shared" si="27"/>
        <v>5.1185804470226933E-3</v>
      </c>
      <c r="AD48" s="8">
        <f t="shared" si="28"/>
        <v>0.32417676164477055</v>
      </c>
      <c r="AE48" s="8">
        <f t="shared" si="29"/>
        <v>1.3999317522607067</v>
      </c>
      <c r="AF48" s="8">
        <f t="shared" si="30"/>
        <v>0.1868281863163283</v>
      </c>
      <c r="AG48" s="8">
        <f t="shared" si="31"/>
        <v>5.217039598924754</v>
      </c>
    </row>
    <row r="49" spans="1:33" x14ac:dyDescent="0.35">
      <c r="A49" s="7" t="s">
        <v>154</v>
      </c>
      <c r="B49" s="7" t="s">
        <v>118</v>
      </c>
      <c r="C49" s="8">
        <v>7.52</v>
      </c>
      <c r="D49" s="8">
        <f t="shared" si="16"/>
        <v>105.09000000000002</v>
      </c>
      <c r="E49" s="8">
        <v>66.040000000000006</v>
      </c>
      <c r="F49" s="8">
        <v>0</v>
      </c>
      <c r="G49" s="8">
        <v>2.2599999999999998</v>
      </c>
      <c r="H49" s="8">
        <v>0.68</v>
      </c>
      <c r="I49" s="8">
        <v>7.29</v>
      </c>
      <c r="J49" s="8">
        <v>7.61</v>
      </c>
      <c r="K49" s="8">
        <v>3.93</v>
      </c>
      <c r="L49" s="8">
        <v>0.36</v>
      </c>
      <c r="M49" s="8">
        <v>0.96</v>
      </c>
      <c r="N49" s="8">
        <v>1.94</v>
      </c>
      <c r="O49" s="8">
        <v>0.06</v>
      </c>
      <c r="P49" s="8">
        <v>9.82</v>
      </c>
      <c r="Q49" s="8">
        <v>3.06</v>
      </c>
      <c r="R49" s="8">
        <v>1.08</v>
      </c>
      <c r="S49" s="8">
        <f t="shared" si="17"/>
        <v>4.7256713293367589</v>
      </c>
      <c r="T49" s="8">
        <f t="shared" si="18"/>
        <v>0</v>
      </c>
      <c r="U49" s="8">
        <f t="shared" si="19"/>
        <v>0.16172043010752685</v>
      </c>
      <c r="V49" s="8">
        <f t="shared" si="20"/>
        <v>4.8659244457131975E-2</v>
      </c>
      <c r="W49" s="8">
        <f t="shared" si="21"/>
        <v>0.52165572366542956</v>
      </c>
      <c r="X49" s="8">
        <f t="shared" si="22"/>
        <v>0.54455419164525642</v>
      </c>
      <c r="Y49" s="8">
        <f t="shared" si="23"/>
        <v>0.28122180987724804</v>
      </c>
      <c r="Z49" s="8">
        <f t="shared" si="24"/>
        <v>2.576077647730516E-2</v>
      </c>
      <c r="AA49" s="8">
        <f t="shared" si="25"/>
        <v>6.8695403939480426E-2</v>
      </c>
      <c r="AB49" s="8">
        <f t="shared" si="26"/>
        <v>0.13882196212770004</v>
      </c>
      <c r="AC49" s="8">
        <f t="shared" si="27"/>
        <v>4.2934627462175266E-3</v>
      </c>
      <c r="AD49" s="8">
        <f t="shared" si="28"/>
        <v>0.70269673613093531</v>
      </c>
      <c r="AE49" s="8">
        <f t="shared" si="29"/>
        <v>0.2189666000570939</v>
      </c>
      <c r="AF49" s="8">
        <f t="shared" si="30"/>
        <v>7.7282329431915486E-2</v>
      </c>
      <c r="AG49" s="8">
        <f t="shared" si="31"/>
        <v>4.3856014512720272</v>
      </c>
    </row>
    <row r="50" spans="1:33" x14ac:dyDescent="0.35">
      <c r="A50" s="7" t="s">
        <v>154</v>
      </c>
      <c r="B50" s="7" t="s">
        <v>117</v>
      </c>
      <c r="C50" s="8">
        <v>11.17</v>
      </c>
      <c r="D50" s="8">
        <f t="shared" si="16"/>
        <v>102.59000000000002</v>
      </c>
      <c r="E50" s="8">
        <v>65.930000000000007</v>
      </c>
      <c r="F50" s="8">
        <v>0</v>
      </c>
      <c r="G50" s="8">
        <v>3.7</v>
      </c>
      <c r="H50" s="8">
        <v>0</v>
      </c>
      <c r="I50" s="8">
        <v>7.43</v>
      </c>
      <c r="J50" s="8">
        <v>7.6</v>
      </c>
      <c r="K50" s="8">
        <v>2.29</v>
      </c>
      <c r="L50" s="8">
        <v>0.12</v>
      </c>
      <c r="M50" s="8">
        <v>0.61</v>
      </c>
      <c r="N50" s="8">
        <v>0.87</v>
      </c>
      <c r="O50" s="8">
        <v>0.06</v>
      </c>
      <c r="P50" s="8">
        <v>7.61</v>
      </c>
      <c r="Q50" s="8">
        <v>5.37</v>
      </c>
      <c r="R50" s="8">
        <v>1</v>
      </c>
      <c r="S50" s="8">
        <f t="shared" si="17"/>
        <v>7.1784589141241826</v>
      </c>
      <c r="T50" s="8">
        <f t="shared" si="18"/>
        <v>0</v>
      </c>
      <c r="U50" s="8">
        <f t="shared" si="19"/>
        <v>0.40285602885271465</v>
      </c>
      <c r="V50" s="8">
        <f t="shared" si="20"/>
        <v>0</v>
      </c>
      <c r="W50" s="8">
        <f t="shared" si="21"/>
        <v>0.80897845793937007</v>
      </c>
      <c r="X50" s="8">
        <f t="shared" si="22"/>
        <v>0.82748805926503533</v>
      </c>
      <c r="Y50" s="8">
        <f t="shared" si="23"/>
        <v>0.24933521785749094</v>
      </c>
      <c r="Z50" s="8">
        <f t="shared" si="24"/>
        <v>1.3065600935763717E-2</v>
      </c>
      <c r="AA50" s="8">
        <f t="shared" si="25"/>
        <v>6.6416804756798897E-2</v>
      </c>
      <c r="AB50" s="8">
        <f t="shared" si="26"/>
        <v>9.4725606784286945E-2</v>
      </c>
      <c r="AC50" s="8">
        <f t="shared" si="27"/>
        <v>6.5328004678818583E-3</v>
      </c>
      <c r="AD50" s="8">
        <f t="shared" si="28"/>
        <v>0.82857685934301573</v>
      </c>
      <c r="AE50" s="8">
        <f t="shared" si="29"/>
        <v>0.58468564187542638</v>
      </c>
      <c r="AF50" s="8">
        <f t="shared" si="30"/>
        <v>0.10888000779803098</v>
      </c>
      <c r="AG50" s="8">
        <f t="shared" si="31"/>
        <v>4.3856014512720272</v>
      </c>
    </row>
    <row r="51" spans="1:33" x14ac:dyDescent="0.35">
      <c r="A51" s="7" t="s">
        <v>154</v>
      </c>
      <c r="B51" s="7" t="s">
        <v>111</v>
      </c>
      <c r="C51" s="8">
        <v>5.58</v>
      </c>
      <c r="D51" s="8">
        <f t="shared" si="16"/>
        <v>117.21999999999997</v>
      </c>
      <c r="E51" s="8">
        <v>66.069999999999993</v>
      </c>
      <c r="F51" s="8">
        <v>1.8</v>
      </c>
      <c r="G51" s="8">
        <v>13.52</v>
      </c>
      <c r="H51" s="8">
        <v>0.67</v>
      </c>
      <c r="I51" s="8">
        <v>6.16</v>
      </c>
      <c r="J51" s="8">
        <v>0</v>
      </c>
      <c r="K51" s="8">
        <v>0</v>
      </c>
      <c r="L51" s="8">
        <v>2.21</v>
      </c>
      <c r="M51" s="8">
        <v>0.82</v>
      </c>
      <c r="N51" s="8">
        <v>3.51</v>
      </c>
      <c r="O51" s="8">
        <v>0.06</v>
      </c>
      <c r="P51" s="8">
        <v>3.8</v>
      </c>
      <c r="Q51" s="8">
        <v>16.41</v>
      </c>
      <c r="R51" s="8">
        <v>2.19</v>
      </c>
      <c r="S51" s="8">
        <f t="shared" si="17"/>
        <v>3.1451168742535409</v>
      </c>
      <c r="T51" s="8">
        <f t="shared" si="18"/>
        <v>8.5685036683159896E-2</v>
      </c>
      <c r="U51" s="8">
        <f t="shared" si="19"/>
        <v>0.64358983108684542</v>
      </c>
      <c r="V51" s="8">
        <f t="shared" si="20"/>
        <v>3.1893874765398407E-2</v>
      </c>
      <c r="W51" s="8">
        <f t="shared" si="21"/>
        <v>0.29323323664903611</v>
      </c>
      <c r="X51" s="8">
        <f t="shared" si="22"/>
        <v>0</v>
      </c>
      <c r="Y51" s="8">
        <f t="shared" si="23"/>
        <v>0</v>
      </c>
      <c r="Z51" s="8">
        <f t="shared" si="24"/>
        <v>0.10520218392765743</v>
      </c>
      <c r="AA51" s="8">
        <f t="shared" si="25"/>
        <v>3.9034294488995064E-2</v>
      </c>
      <c r="AB51" s="8">
        <f t="shared" si="26"/>
        <v>0.16708582153216178</v>
      </c>
      <c r="AC51" s="8">
        <f t="shared" si="27"/>
        <v>2.8561678894386631E-3</v>
      </c>
      <c r="AD51" s="8">
        <f t="shared" si="28"/>
        <v>0.18089063299778199</v>
      </c>
      <c r="AE51" s="8">
        <f t="shared" si="29"/>
        <v>0.78116191776147437</v>
      </c>
      <c r="AF51" s="8">
        <f t="shared" si="30"/>
        <v>0.10425012796451121</v>
      </c>
      <c r="AG51" s="8">
        <f t="shared" si="31"/>
        <v>4.3856014512720272</v>
      </c>
    </row>
    <row r="52" spans="1:33" x14ac:dyDescent="0.35">
      <c r="A52" s="7" t="s">
        <v>155</v>
      </c>
      <c r="B52" s="7" t="s">
        <v>119</v>
      </c>
      <c r="C52" s="8">
        <v>35.15</v>
      </c>
      <c r="D52" s="8">
        <f t="shared" si="16"/>
        <v>97.63000000000001</v>
      </c>
      <c r="E52" s="8">
        <v>66</v>
      </c>
      <c r="F52" s="8">
        <v>3.17</v>
      </c>
      <c r="G52" s="8">
        <v>6.18</v>
      </c>
      <c r="H52" s="8">
        <v>0.68</v>
      </c>
      <c r="I52" s="8">
        <v>5.77</v>
      </c>
      <c r="J52" s="8">
        <v>0</v>
      </c>
      <c r="K52" s="8">
        <v>0</v>
      </c>
      <c r="L52" s="8">
        <v>0.54</v>
      </c>
      <c r="M52" s="8">
        <v>0</v>
      </c>
      <c r="N52" s="8">
        <v>1.82</v>
      </c>
      <c r="O52" s="8">
        <v>0.06</v>
      </c>
      <c r="P52" s="8">
        <v>5.65</v>
      </c>
      <c r="Q52" s="8">
        <v>7.12</v>
      </c>
      <c r="R52" s="8">
        <v>0.64</v>
      </c>
      <c r="S52" s="8">
        <f t="shared" si="17"/>
        <v>23.762163269486834</v>
      </c>
      <c r="T52" s="8">
        <f t="shared" si="18"/>
        <v>1.1413039024889888</v>
      </c>
      <c r="U52" s="8">
        <f t="shared" si="19"/>
        <v>2.2250025606883126</v>
      </c>
      <c r="V52" s="8">
        <f t="shared" si="20"/>
        <v>0.24482228823107649</v>
      </c>
      <c r="W52" s="8">
        <f t="shared" si="21"/>
        <v>2.0773891221960459</v>
      </c>
      <c r="X52" s="8">
        <f t="shared" si="22"/>
        <v>0</v>
      </c>
      <c r="Y52" s="8">
        <f t="shared" si="23"/>
        <v>0</v>
      </c>
      <c r="Z52" s="8">
        <f t="shared" si="24"/>
        <v>0.19441769947761955</v>
      </c>
      <c r="AA52" s="8">
        <f t="shared" si="25"/>
        <v>0</v>
      </c>
      <c r="AB52" s="8">
        <f t="shared" si="26"/>
        <v>0.65525965379494</v>
      </c>
      <c r="AC52" s="8">
        <f t="shared" si="27"/>
        <v>2.1601966608624394E-2</v>
      </c>
      <c r="AD52" s="8">
        <f t="shared" si="28"/>
        <v>2.0341851889787974</v>
      </c>
      <c r="AE52" s="8">
        <f t="shared" si="29"/>
        <v>2.5634333708900949</v>
      </c>
      <c r="AF52" s="8">
        <f t="shared" si="30"/>
        <v>0.23042097715866022</v>
      </c>
      <c r="AG52" s="8">
        <f t="shared" si="31"/>
        <v>1.74488399667867</v>
      </c>
    </row>
    <row r="53" spans="1:33" x14ac:dyDescent="0.35">
      <c r="A53" s="7" t="s">
        <v>155</v>
      </c>
      <c r="B53" s="7" t="s">
        <v>120</v>
      </c>
      <c r="C53" s="8">
        <v>24.89</v>
      </c>
      <c r="D53" s="8">
        <f t="shared" si="16"/>
        <v>116.77999999999999</v>
      </c>
      <c r="E53" s="8">
        <v>65.98</v>
      </c>
      <c r="F53" s="8">
        <v>2.31</v>
      </c>
      <c r="G53" s="8">
        <v>13.16</v>
      </c>
      <c r="H53" s="8">
        <v>0.7</v>
      </c>
      <c r="I53" s="8">
        <v>5.57</v>
      </c>
      <c r="J53" s="8">
        <v>0</v>
      </c>
      <c r="K53" s="8">
        <v>0</v>
      </c>
      <c r="L53" s="8">
        <v>3.64</v>
      </c>
      <c r="M53" s="8">
        <v>0</v>
      </c>
      <c r="N53" s="8">
        <v>1.21</v>
      </c>
      <c r="O53" s="8">
        <v>0.06</v>
      </c>
      <c r="P53" s="8">
        <v>2.52</v>
      </c>
      <c r="Q53" s="8">
        <v>21.63</v>
      </c>
      <c r="R53" s="8">
        <v>0</v>
      </c>
      <c r="S53" s="8">
        <f t="shared" si="17"/>
        <v>14.062700804932355</v>
      </c>
      <c r="T53" s="8">
        <f t="shared" si="18"/>
        <v>0.49234372324028097</v>
      </c>
      <c r="U53" s="8">
        <f t="shared" si="19"/>
        <v>2.8048672717931158</v>
      </c>
      <c r="V53" s="8">
        <f t="shared" si="20"/>
        <v>0.14919506764856999</v>
      </c>
      <c r="W53" s="8">
        <f t="shared" si="21"/>
        <v>1.1871664668607642</v>
      </c>
      <c r="X53" s="8">
        <f t="shared" si="22"/>
        <v>0</v>
      </c>
      <c r="Y53" s="8">
        <f t="shared" si="23"/>
        <v>0</v>
      </c>
      <c r="Z53" s="8">
        <f t="shared" si="24"/>
        <v>0.77581435177256397</v>
      </c>
      <c r="AA53" s="8">
        <f t="shared" si="25"/>
        <v>0</v>
      </c>
      <c r="AB53" s="8">
        <f t="shared" si="26"/>
        <v>0.25789433122109956</v>
      </c>
      <c r="AC53" s="8">
        <f t="shared" si="27"/>
        <v>1.2788148655591714E-2</v>
      </c>
      <c r="AD53" s="8">
        <f t="shared" si="28"/>
        <v>0.53710224353485192</v>
      </c>
      <c r="AE53" s="8">
        <f t="shared" si="29"/>
        <v>4.6101275903408121</v>
      </c>
      <c r="AF53" s="8">
        <f t="shared" si="30"/>
        <v>0</v>
      </c>
      <c r="AG53" s="8">
        <f t="shared" si="31"/>
        <v>1.74488399667867</v>
      </c>
    </row>
    <row r="54" spans="1:33" x14ac:dyDescent="0.35">
      <c r="A54" s="7" t="s">
        <v>156</v>
      </c>
      <c r="B54" s="7" t="s">
        <v>120</v>
      </c>
      <c r="C54" s="8">
        <v>29.41</v>
      </c>
      <c r="D54" s="8">
        <f t="shared" si="16"/>
        <v>116.77999999999999</v>
      </c>
      <c r="E54" s="8">
        <v>65.98</v>
      </c>
      <c r="F54" s="8">
        <v>2.31</v>
      </c>
      <c r="G54" s="8">
        <v>13.16</v>
      </c>
      <c r="H54" s="8">
        <v>0.7</v>
      </c>
      <c r="I54" s="8">
        <v>5.57</v>
      </c>
      <c r="J54" s="8">
        <v>0</v>
      </c>
      <c r="K54" s="8">
        <v>0</v>
      </c>
      <c r="L54" s="8">
        <v>3.64</v>
      </c>
      <c r="M54" s="8">
        <v>0</v>
      </c>
      <c r="N54" s="8">
        <v>1.21</v>
      </c>
      <c r="O54" s="8">
        <v>0.06</v>
      </c>
      <c r="P54" s="8">
        <v>2.52</v>
      </c>
      <c r="Q54" s="8">
        <v>21.63</v>
      </c>
      <c r="R54" s="8">
        <v>0</v>
      </c>
      <c r="S54" s="8">
        <f t="shared" si="17"/>
        <v>16.616473711251928</v>
      </c>
      <c r="T54" s="8">
        <f t="shared" si="18"/>
        <v>0.5817528686418908</v>
      </c>
      <c r="U54" s="8">
        <f t="shared" si="19"/>
        <v>3.3142284637780444</v>
      </c>
      <c r="V54" s="8">
        <f t="shared" si="20"/>
        <v>0.17628874807330022</v>
      </c>
      <c r="W54" s="8">
        <f t="shared" si="21"/>
        <v>1.4027547525261177</v>
      </c>
      <c r="X54" s="8">
        <f t="shared" si="22"/>
        <v>0</v>
      </c>
      <c r="Y54" s="8">
        <f t="shared" si="23"/>
        <v>0</v>
      </c>
      <c r="Z54" s="8">
        <f t="shared" si="24"/>
        <v>0.9167014899811613</v>
      </c>
      <c r="AA54" s="8">
        <f t="shared" si="25"/>
        <v>0</v>
      </c>
      <c r="AB54" s="8">
        <f t="shared" si="26"/>
        <v>0.30472769309813325</v>
      </c>
      <c r="AC54" s="8">
        <f t="shared" si="27"/>
        <v>1.5110464120568592E-2</v>
      </c>
      <c r="AD54" s="8">
        <f t="shared" si="28"/>
        <v>0.6346394930638809</v>
      </c>
      <c r="AE54" s="8">
        <f t="shared" si="29"/>
        <v>5.4473223154649775</v>
      </c>
      <c r="AF54" s="8">
        <f t="shared" si="30"/>
        <v>0</v>
      </c>
      <c r="AG54" s="8">
        <f t="shared" si="31"/>
        <v>2.0028455388384074</v>
      </c>
    </row>
    <row r="55" spans="1:33" x14ac:dyDescent="0.35">
      <c r="A55" s="7" t="s">
        <v>156</v>
      </c>
      <c r="B55" s="7" t="s">
        <v>121</v>
      </c>
      <c r="C55" s="8">
        <v>27.62</v>
      </c>
      <c r="D55" s="8">
        <f t="shared" si="16"/>
        <v>111.72</v>
      </c>
      <c r="E55" s="8">
        <v>66.08</v>
      </c>
      <c r="F55" s="8">
        <v>0</v>
      </c>
      <c r="G55" s="8">
        <v>8.52</v>
      </c>
      <c r="H55" s="8">
        <v>0.44</v>
      </c>
      <c r="I55" s="8">
        <v>0</v>
      </c>
      <c r="J55" s="8">
        <v>7.99</v>
      </c>
      <c r="K55" s="8">
        <v>7.9</v>
      </c>
      <c r="L55" s="8">
        <v>0</v>
      </c>
      <c r="M55" s="8">
        <v>0</v>
      </c>
      <c r="N55" s="8">
        <v>1.98</v>
      </c>
      <c r="O55" s="8">
        <v>0.06</v>
      </c>
      <c r="P55" s="8">
        <v>11.52</v>
      </c>
      <c r="Q55" s="8">
        <v>4.55</v>
      </c>
      <c r="R55" s="8">
        <v>2.68</v>
      </c>
      <c r="S55" s="8">
        <f t="shared" si="17"/>
        <v>16.336641604010026</v>
      </c>
      <c r="T55" s="8">
        <f t="shared" si="18"/>
        <v>0</v>
      </c>
      <c r="U55" s="8">
        <f t="shared" si="19"/>
        <v>2.1063587540279269</v>
      </c>
      <c r="V55" s="8">
        <f t="shared" si="20"/>
        <v>0.10877909058360187</v>
      </c>
      <c r="W55" s="8">
        <f t="shared" si="21"/>
        <v>0</v>
      </c>
      <c r="X55" s="8">
        <f t="shared" si="22"/>
        <v>1.9753293949158612</v>
      </c>
      <c r="Y55" s="8">
        <f t="shared" si="23"/>
        <v>1.9530791263873972</v>
      </c>
      <c r="Z55" s="8">
        <f t="shared" si="24"/>
        <v>0</v>
      </c>
      <c r="AA55" s="8">
        <f t="shared" si="25"/>
        <v>0</v>
      </c>
      <c r="AB55" s="8">
        <f t="shared" si="26"/>
        <v>0.48950590762620838</v>
      </c>
      <c r="AC55" s="8">
        <f t="shared" si="27"/>
        <v>1.4833512352309345E-2</v>
      </c>
      <c r="AD55" s="8">
        <f t="shared" si="28"/>
        <v>2.848034371643394</v>
      </c>
      <c r="AE55" s="8">
        <f t="shared" si="29"/>
        <v>1.124874686716792</v>
      </c>
      <c r="AF55" s="8">
        <f t="shared" si="30"/>
        <v>0.66256355173648418</v>
      </c>
      <c r="AG55" s="8">
        <f t="shared" si="31"/>
        <v>2.0028455388384074</v>
      </c>
    </row>
    <row r="56" spans="1:33" x14ac:dyDescent="0.35">
      <c r="A56" s="7" t="s">
        <v>157</v>
      </c>
      <c r="B56" s="7" t="s">
        <v>121</v>
      </c>
      <c r="C56" s="8">
        <v>32.57</v>
      </c>
      <c r="D56" s="8">
        <f t="shared" si="16"/>
        <v>111.72</v>
      </c>
      <c r="E56" s="8">
        <v>66.08</v>
      </c>
      <c r="F56" s="8">
        <v>0</v>
      </c>
      <c r="G56" s="8">
        <v>8.52</v>
      </c>
      <c r="H56" s="8">
        <v>0.44</v>
      </c>
      <c r="I56" s="8">
        <v>0</v>
      </c>
      <c r="J56" s="8">
        <v>7.99</v>
      </c>
      <c r="K56" s="8">
        <v>7.9</v>
      </c>
      <c r="L56" s="8">
        <v>0</v>
      </c>
      <c r="M56" s="8">
        <v>0</v>
      </c>
      <c r="N56" s="8">
        <v>1.98</v>
      </c>
      <c r="O56" s="8">
        <v>0.06</v>
      </c>
      <c r="P56" s="8">
        <v>11.52</v>
      </c>
      <c r="Q56" s="8">
        <v>4.55</v>
      </c>
      <c r="R56" s="8">
        <v>2.68</v>
      </c>
      <c r="S56" s="8">
        <f t="shared" si="17"/>
        <v>19.264461152882205</v>
      </c>
      <c r="T56" s="8">
        <f t="shared" si="18"/>
        <v>0</v>
      </c>
      <c r="U56" s="8">
        <f t="shared" si="19"/>
        <v>2.4838560687432865</v>
      </c>
      <c r="V56" s="8">
        <f t="shared" si="20"/>
        <v>0.12827425707124954</v>
      </c>
      <c r="W56" s="8">
        <f t="shared" si="21"/>
        <v>0</v>
      </c>
      <c r="X56" s="8">
        <f t="shared" si="22"/>
        <v>2.3293438954529178</v>
      </c>
      <c r="Y56" s="8">
        <f t="shared" si="23"/>
        <v>2.3031059792337989</v>
      </c>
      <c r="Z56" s="8">
        <f t="shared" si="24"/>
        <v>0</v>
      </c>
      <c r="AA56" s="8">
        <f t="shared" si="25"/>
        <v>0</v>
      </c>
      <c r="AB56" s="8">
        <f t="shared" si="26"/>
        <v>0.57723415682062296</v>
      </c>
      <c r="AC56" s="8">
        <f t="shared" si="27"/>
        <v>1.7491944146079484E-2</v>
      </c>
      <c r="AD56" s="8">
        <f t="shared" si="28"/>
        <v>3.3584532760472605</v>
      </c>
      <c r="AE56" s="8">
        <f t="shared" si="29"/>
        <v>1.3264724310776941</v>
      </c>
      <c r="AF56" s="8">
        <f t="shared" si="30"/>
        <v>0.78130683852488358</v>
      </c>
      <c r="AG56" s="8">
        <f t="shared" si="31"/>
        <v>1.8385770793057545</v>
      </c>
    </row>
    <row r="57" spans="1:33" x14ac:dyDescent="0.35">
      <c r="A57" s="7" t="s">
        <v>157</v>
      </c>
      <c r="B57" s="7" t="s">
        <v>122</v>
      </c>
      <c r="C57" s="8">
        <v>26.68</v>
      </c>
      <c r="D57" s="8">
        <f t="shared" si="16"/>
        <v>106.06000000000002</v>
      </c>
      <c r="E57" s="8">
        <v>66.12</v>
      </c>
      <c r="F57" s="8">
        <v>0.61</v>
      </c>
      <c r="G57" s="8">
        <v>8.56</v>
      </c>
      <c r="H57" s="8">
        <v>0.7</v>
      </c>
      <c r="I57" s="8">
        <v>7.97</v>
      </c>
      <c r="J57" s="8">
        <v>0</v>
      </c>
      <c r="K57" s="8">
        <v>0</v>
      </c>
      <c r="L57" s="8">
        <v>2.76</v>
      </c>
      <c r="M57" s="8">
        <v>0</v>
      </c>
      <c r="N57" s="8">
        <v>1.36</v>
      </c>
      <c r="O57" s="8">
        <v>0.06</v>
      </c>
      <c r="P57" s="8">
        <v>12.69</v>
      </c>
      <c r="Q57" s="8">
        <v>2.56</v>
      </c>
      <c r="R57" s="8">
        <v>2.67</v>
      </c>
      <c r="S57" s="8">
        <f t="shared" si="17"/>
        <v>16.632864416368093</v>
      </c>
      <c r="T57" s="8">
        <f t="shared" si="18"/>
        <v>0.15344899113709218</v>
      </c>
      <c r="U57" s="8">
        <f t="shared" si="19"/>
        <v>2.1533169903828018</v>
      </c>
      <c r="V57" s="8">
        <f t="shared" si="20"/>
        <v>0.17608900622289267</v>
      </c>
      <c r="W57" s="8">
        <f t="shared" si="21"/>
        <v>2.0048991137092207</v>
      </c>
      <c r="X57" s="8">
        <f t="shared" si="22"/>
        <v>0</v>
      </c>
      <c r="Y57" s="8">
        <f t="shared" si="23"/>
        <v>0</v>
      </c>
      <c r="Z57" s="8">
        <f t="shared" si="24"/>
        <v>0.69429379596454821</v>
      </c>
      <c r="AA57" s="8">
        <f t="shared" si="25"/>
        <v>0</v>
      </c>
      <c r="AB57" s="8">
        <f t="shared" si="26"/>
        <v>0.34211578351876293</v>
      </c>
      <c r="AC57" s="8">
        <f t="shared" si="27"/>
        <v>1.5093343390533658E-2</v>
      </c>
      <c r="AD57" s="8">
        <f t="shared" si="28"/>
        <v>3.1922421270978685</v>
      </c>
      <c r="AE57" s="8">
        <f t="shared" si="29"/>
        <v>0.64398265132943611</v>
      </c>
      <c r="AF57" s="8">
        <f t="shared" si="30"/>
        <v>0.67165378087874772</v>
      </c>
      <c r="AG57" s="8">
        <f t="shared" si="31"/>
        <v>1.8385770793057545</v>
      </c>
    </row>
    <row r="58" spans="1:33" x14ac:dyDescent="0.35">
      <c r="A58" s="7" t="s">
        <v>158</v>
      </c>
      <c r="B58" s="7" t="s">
        <v>122</v>
      </c>
      <c r="C58" s="8">
        <v>28.99</v>
      </c>
      <c r="D58" s="8">
        <f t="shared" si="16"/>
        <v>106.06000000000002</v>
      </c>
      <c r="E58" s="8">
        <v>66.12</v>
      </c>
      <c r="F58" s="8">
        <v>0.61</v>
      </c>
      <c r="G58" s="8">
        <v>8.56</v>
      </c>
      <c r="H58" s="8">
        <v>0.7</v>
      </c>
      <c r="I58" s="8">
        <v>7.97</v>
      </c>
      <c r="J58" s="8">
        <v>0</v>
      </c>
      <c r="K58" s="8">
        <v>0</v>
      </c>
      <c r="L58" s="8">
        <v>2.76</v>
      </c>
      <c r="M58" s="8">
        <v>0</v>
      </c>
      <c r="N58" s="8">
        <v>1.36</v>
      </c>
      <c r="O58" s="8">
        <v>0.06</v>
      </c>
      <c r="P58" s="8">
        <v>12.69</v>
      </c>
      <c r="Q58" s="8">
        <v>2.56</v>
      </c>
      <c r="R58" s="8">
        <v>2.67</v>
      </c>
      <c r="S58" s="8">
        <f t="shared" si="17"/>
        <v>18.072966245521403</v>
      </c>
      <c r="T58" s="8">
        <f t="shared" si="18"/>
        <v>0.16673486705638316</v>
      </c>
      <c r="U58" s="8">
        <f t="shared" si="19"/>
        <v>2.3397548557420325</v>
      </c>
      <c r="V58" s="8">
        <f t="shared" si="20"/>
        <v>0.19133509334339049</v>
      </c>
      <c r="W58" s="8">
        <f t="shared" si="21"/>
        <v>2.1784867056383175</v>
      </c>
      <c r="X58" s="8">
        <f t="shared" si="22"/>
        <v>0</v>
      </c>
      <c r="Y58" s="8">
        <f t="shared" si="23"/>
        <v>0</v>
      </c>
      <c r="Z58" s="8">
        <f t="shared" si="24"/>
        <v>0.75440693946822535</v>
      </c>
      <c r="AA58" s="8">
        <f t="shared" si="25"/>
        <v>0</v>
      </c>
      <c r="AB58" s="8">
        <f t="shared" si="26"/>
        <v>0.37173675278144441</v>
      </c>
      <c r="AC58" s="8">
        <f t="shared" si="27"/>
        <v>1.6400150858004899E-2</v>
      </c>
      <c r="AD58" s="8">
        <f t="shared" si="28"/>
        <v>3.4686319064680364</v>
      </c>
      <c r="AE58" s="8">
        <f t="shared" si="29"/>
        <v>0.69973976994154241</v>
      </c>
      <c r="AF58" s="8">
        <f t="shared" si="30"/>
        <v>0.72980671318121804</v>
      </c>
      <c r="AG58" s="8">
        <f t="shared" si="31"/>
        <v>1.8308790436060298</v>
      </c>
    </row>
    <row r="59" spans="1:33" x14ac:dyDescent="0.35">
      <c r="A59" s="7" t="s">
        <v>158</v>
      </c>
      <c r="B59" s="7" t="s">
        <v>123</v>
      </c>
      <c r="C59" s="8">
        <v>27.63</v>
      </c>
      <c r="D59" s="8">
        <f t="shared" si="16"/>
        <v>101.48</v>
      </c>
      <c r="E59" s="8">
        <v>66.02</v>
      </c>
      <c r="F59" s="8">
        <v>0.61</v>
      </c>
      <c r="G59" s="8">
        <v>14.62</v>
      </c>
      <c r="H59" s="8">
        <v>0</v>
      </c>
      <c r="I59" s="8">
        <v>1.76</v>
      </c>
      <c r="J59" s="8">
        <v>0</v>
      </c>
      <c r="K59" s="8">
        <v>0.43</v>
      </c>
      <c r="L59" s="8">
        <v>0</v>
      </c>
      <c r="M59" s="8">
        <v>0</v>
      </c>
      <c r="N59" s="8">
        <v>2.4700000000000002</v>
      </c>
      <c r="O59" s="8">
        <v>0.06</v>
      </c>
      <c r="P59" s="8">
        <v>10.43</v>
      </c>
      <c r="Q59" s="8">
        <v>5.08</v>
      </c>
      <c r="R59" s="8">
        <v>0</v>
      </c>
      <c r="S59" s="8">
        <f t="shared" si="17"/>
        <v>17.975291683090262</v>
      </c>
      <c r="T59" s="8">
        <f t="shared" si="18"/>
        <v>0.16608494284588096</v>
      </c>
      <c r="U59" s="8">
        <f t="shared" si="19"/>
        <v>3.9805932203389829</v>
      </c>
      <c r="V59" s="8">
        <f t="shared" si="20"/>
        <v>0</v>
      </c>
      <c r="W59" s="8">
        <f t="shared" si="21"/>
        <v>0.47919590067008278</v>
      </c>
      <c r="X59" s="8">
        <f t="shared" si="22"/>
        <v>0</v>
      </c>
      <c r="Y59" s="8">
        <f t="shared" si="23"/>
        <v>0.11707627118644068</v>
      </c>
      <c r="Z59" s="8">
        <f t="shared" si="24"/>
        <v>0</v>
      </c>
      <c r="AA59" s="8">
        <f t="shared" si="25"/>
        <v>0</v>
      </c>
      <c r="AB59" s="8">
        <f t="shared" si="26"/>
        <v>0.67250788332676392</v>
      </c>
      <c r="AC59" s="8">
        <f t="shared" si="27"/>
        <v>1.6336223886480095E-2</v>
      </c>
      <c r="AD59" s="8">
        <f t="shared" si="28"/>
        <v>2.8397802522664564</v>
      </c>
      <c r="AE59" s="8">
        <f t="shared" si="29"/>
        <v>1.3831336223886481</v>
      </c>
      <c r="AF59" s="8">
        <f t="shared" si="30"/>
        <v>0</v>
      </c>
      <c r="AG59" s="8">
        <f t="shared" si="31"/>
        <v>1.8308790436060298</v>
      </c>
    </row>
    <row r="60" spans="1:33" x14ac:dyDescent="0.35">
      <c r="A60" s="7" t="s">
        <v>159</v>
      </c>
      <c r="B60" s="7" t="s">
        <v>123</v>
      </c>
      <c r="C60" s="8">
        <v>32.200000000000003</v>
      </c>
      <c r="D60" s="8">
        <f t="shared" si="16"/>
        <v>101.48</v>
      </c>
      <c r="E60" s="8">
        <v>66.02</v>
      </c>
      <c r="F60" s="8">
        <v>0.61</v>
      </c>
      <c r="G60" s="8">
        <v>14.62</v>
      </c>
      <c r="H60" s="8">
        <v>0</v>
      </c>
      <c r="I60" s="8">
        <v>1.76</v>
      </c>
      <c r="J60" s="8">
        <v>0</v>
      </c>
      <c r="K60" s="8">
        <v>0.43</v>
      </c>
      <c r="L60" s="8">
        <v>0</v>
      </c>
      <c r="M60" s="8">
        <v>0</v>
      </c>
      <c r="N60" s="8">
        <v>2.4700000000000002</v>
      </c>
      <c r="O60" s="8">
        <v>0.06</v>
      </c>
      <c r="P60" s="8">
        <v>10.43</v>
      </c>
      <c r="Q60" s="8">
        <v>5.08</v>
      </c>
      <c r="R60" s="8">
        <v>0</v>
      </c>
      <c r="S60" s="8">
        <f t="shared" si="17"/>
        <v>20.948403626330311</v>
      </c>
      <c r="T60" s="8">
        <f t="shared" si="18"/>
        <v>0.19355538037051637</v>
      </c>
      <c r="U60" s="8">
        <f t="shared" si="19"/>
        <v>4.6389830508474574</v>
      </c>
      <c r="V60" s="8">
        <f t="shared" si="20"/>
        <v>0</v>
      </c>
      <c r="W60" s="8">
        <f t="shared" si="21"/>
        <v>0.55845486795427679</v>
      </c>
      <c r="X60" s="8">
        <f t="shared" si="22"/>
        <v>0</v>
      </c>
      <c r="Y60" s="8">
        <f t="shared" si="23"/>
        <v>0.13644067796610171</v>
      </c>
      <c r="Z60" s="8">
        <f t="shared" si="24"/>
        <v>0</v>
      </c>
      <c r="AA60" s="8">
        <f t="shared" si="25"/>
        <v>0</v>
      </c>
      <c r="AB60" s="8">
        <f t="shared" si="26"/>
        <v>0.78374063854946796</v>
      </c>
      <c r="AC60" s="8">
        <f t="shared" si="27"/>
        <v>1.9038234134804887E-2</v>
      </c>
      <c r="AD60" s="8">
        <f t="shared" si="28"/>
        <v>3.3094797004335832</v>
      </c>
      <c r="AE60" s="8">
        <f t="shared" si="29"/>
        <v>1.6119038234134806</v>
      </c>
      <c r="AF60" s="8">
        <f t="shared" si="30"/>
        <v>0</v>
      </c>
      <c r="AG60" s="8">
        <f t="shared" si="31"/>
        <v>1.8029521071959407</v>
      </c>
    </row>
    <row r="61" spans="1:33" x14ac:dyDescent="0.35">
      <c r="A61" s="7" t="s">
        <v>159</v>
      </c>
      <c r="B61" s="7" t="s">
        <v>124</v>
      </c>
      <c r="C61" s="8">
        <v>27.38</v>
      </c>
      <c r="D61" s="8">
        <f t="shared" si="16"/>
        <v>115.67000000000002</v>
      </c>
      <c r="E61" s="8">
        <v>66.150000000000006</v>
      </c>
      <c r="F61" s="8">
        <v>3.05</v>
      </c>
      <c r="G61" s="8">
        <v>13.39</v>
      </c>
      <c r="H61" s="8">
        <v>0.45</v>
      </c>
      <c r="I61" s="8">
        <v>0</v>
      </c>
      <c r="J61" s="8">
        <v>5.67</v>
      </c>
      <c r="K61" s="8">
        <v>0</v>
      </c>
      <c r="L61" s="8">
        <v>0</v>
      </c>
      <c r="M61" s="8">
        <v>1.5</v>
      </c>
      <c r="N61" s="8">
        <v>1</v>
      </c>
      <c r="O61" s="8">
        <v>0.06</v>
      </c>
      <c r="P61" s="8">
        <v>4.75</v>
      </c>
      <c r="Q61" s="8">
        <v>16.899999999999999</v>
      </c>
      <c r="R61" s="8">
        <v>2.75</v>
      </c>
      <c r="S61" s="8">
        <f t="shared" si="17"/>
        <v>15.658225987723695</v>
      </c>
      <c r="T61" s="8">
        <f t="shared" si="18"/>
        <v>0.72195902135385126</v>
      </c>
      <c r="U61" s="8">
        <f t="shared" si="19"/>
        <v>3.1695184576813342</v>
      </c>
      <c r="V61" s="8">
        <f t="shared" si="20"/>
        <v>0.10651854413417479</v>
      </c>
      <c r="W61" s="8">
        <f t="shared" si="21"/>
        <v>0</v>
      </c>
      <c r="X61" s="8">
        <f t="shared" si="22"/>
        <v>1.3421336560906023</v>
      </c>
      <c r="Y61" s="8">
        <f t="shared" si="23"/>
        <v>0</v>
      </c>
      <c r="Z61" s="8">
        <f t="shared" si="24"/>
        <v>0</v>
      </c>
      <c r="AA61" s="8">
        <f t="shared" si="25"/>
        <v>0.3550618137805826</v>
      </c>
      <c r="AB61" s="8">
        <f t="shared" si="26"/>
        <v>0.23670787585372174</v>
      </c>
      <c r="AC61" s="8">
        <f t="shared" si="27"/>
        <v>1.4202472551223304E-2</v>
      </c>
      <c r="AD61" s="8">
        <f t="shared" si="28"/>
        <v>1.1243624103051784</v>
      </c>
      <c r="AE61" s="8">
        <f t="shared" si="29"/>
        <v>4.0003631019278973</v>
      </c>
      <c r="AF61" s="8">
        <f t="shared" si="30"/>
        <v>0.65094665859773482</v>
      </c>
      <c r="AG61" s="8">
        <f t="shared" si="31"/>
        <v>1.8029521071959407</v>
      </c>
    </row>
    <row r="62" spans="1:33" x14ac:dyDescent="0.35">
      <c r="A62" s="7" t="s">
        <v>160</v>
      </c>
      <c r="B62" s="7" t="s">
        <v>124</v>
      </c>
      <c r="C62" s="8">
        <v>26.81</v>
      </c>
      <c r="D62" s="8">
        <f t="shared" si="16"/>
        <v>115.67000000000002</v>
      </c>
      <c r="E62" s="8">
        <v>66.150000000000006</v>
      </c>
      <c r="F62" s="8">
        <v>3.05</v>
      </c>
      <c r="G62" s="8">
        <v>13.39</v>
      </c>
      <c r="H62" s="8">
        <v>0.45</v>
      </c>
      <c r="I62" s="8">
        <v>0</v>
      </c>
      <c r="J62" s="8">
        <v>5.67</v>
      </c>
      <c r="K62" s="8">
        <v>0</v>
      </c>
      <c r="L62" s="8">
        <v>0</v>
      </c>
      <c r="M62" s="8">
        <v>1.5</v>
      </c>
      <c r="N62" s="8">
        <v>1</v>
      </c>
      <c r="O62" s="8">
        <v>0.06</v>
      </c>
      <c r="P62" s="8">
        <v>4.75</v>
      </c>
      <c r="Q62" s="8">
        <v>16.899999999999999</v>
      </c>
      <c r="R62" s="8">
        <v>2.75</v>
      </c>
      <c r="S62" s="8">
        <f t="shared" si="17"/>
        <v>15.332251231952968</v>
      </c>
      <c r="T62" s="8">
        <f t="shared" si="18"/>
        <v>0.70692919512405961</v>
      </c>
      <c r="U62" s="8">
        <f t="shared" si="19"/>
        <v>3.1035350566266096</v>
      </c>
      <c r="V62" s="8">
        <f t="shared" si="20"/>
        <v>0.1043010287887957</v>
      </c>
      <c r="W62" s="8">
        <f t="shared" si="21"/>
        <v>0</v>
      </c>
      <c r="X62" s="8">
        <f t="shared" si="22"/>
        <v>1.3141929627388258</v>
      </c>
      <c r="Y62" s="8">
        <f t="shared" si="23"/>
        <v>0</v>
      </c>
      <c r="Z62" s="8">
        <f t="shared" si="24"/>
        <v>0</v>
      </c>
      <c r="AA62" s="8">
        <f t="shared" si="25"/>
        <v>0.3476700959626523</v>
      </c>
      <c r="AB62" s="8">
        <f t="shared" si="26"/>
        <v>0.23178006397510154</v>
      </c>
      <c r="AC62" s="8">
        <f t="shared" si="27"/>
        <v>1.3906803838506092E-2</v>
      </c>
      <c r="AD62" s="8">
        <f t="shared" si="28"/>
        <v>1.1009553038817324</v>
      </c>
      <c r="AE62" s="8">
        <f t="shared" si="29"/>
        <v>3.9170830811792157</v>
      </c>
      <c r="AF62" s="8">
        <f t="shared" si="30"/>
        <v>0.63739517593152928</v>
      </c>
      <c r="AG62" s="8">
        <f t="shared" si="31"/>
        <v>2.3475812551797155</v>
      </c>
    </row>
    <row r="63" spans="1:33" x14ac:dyDescent="0.35">
      <c r="A63" s="7" t="s">
        <v>160</v>
      </c>
      <c r="B63" s="7" t="s">
        <v>125</v>
      </c>
      <c r="C63" s="8">
        <v>21.16</v>
      </c>
      <c r="D63" s="8">
        <f t="shared" si="16"/>
        <v>109.51000000000002</v>
      </c>
      <c r="E63" s="8">
        <v>66.150000000000006</v>
      </c>
      <c r="F63" s="8">
        <v>0</v>
      </c>
      <c r="G63" s="8">
        <v>13.17</v>
      </c>
      <c r="H63" s="8">
        <v>0.2</v>
      </c>
      <c r="I63" s="8">
        <v>0</v>
      </c>
      <c r="J63" s="8">
        <v>3.98</v>
      </c>
      <c r="K63" s="8">
        <v>5.42</v>
      </c>
      <c r="L63" s="8">
        <v>0</v>
      </c>
      <c r="M63" s="8">
        <v>0</v>
      </c>
      <c r="N63" s="8">
        <v>2.04</v>
      </c>
      <c r="O63" s="8">
        <v>0.06</v>
      </c>
      <c r="P63" s="8">
        <v>0.45</v>
      </c>
      <c r="Q63" s="8">
        <v>18.04</v>
      </c>
      <c r="R63" s="8">
        <v>0</v>
      </c>
      <c r="S63" s="8">
        <f t="shared" si="17"/>
        <v>12.781791617203908</v>
      </c>
      <c r="T63" s="8">
        <f t="shared" si="18"/>
        <v>0</v>
      </c>
      <c r="U63" s="8">
        <f t="shared" si="19"/>
        <v>2.5447648616564691</v>
      </c>
      <c r="V63" s="8">
        <f t="shared" si="20"/>
        <v>3.8644872614373112E-2</v>
      </c>
      <c r="W63" s="8">
        <f t="shared" si="21"/>
        <v>0</v>
      </c>
      <c r="X63" s="8">
        <f t="shared" si="22"/>
        <v>0.76903296502602492</v>
      </c>
      <c r="Y63" s="8">
        <f t="shared" si="23"/>
        <v>1.0472760478495113</v>
      </c>
      <c r="Z63" s="8">
        <f t="shared" si="24"/>
        <v>0</v>
      </c>
      <c r="AA63" s="8">
        <f t="shared" si="25"/>
        <v>0</v>
      </c>
      <c r="AB63" s="8">
        <f t="shared" si="26"/>
        <v>0.39417770066660573</v>
      </c>
      <c r="AC63" s="8">
        <f t="shared" si="27"/>
        <v>1.1593461784311932E-2</v>
      </c>
      <c r="AD63" s="8">
        <f t="shared" si="28"/>
        <v>8.69509633823395E-2</v>
      </c>
      <c r="AE63" s="8">
        <f t="shared" si="29"/>
        <v>3.4857675098164544</v>
      </c>
      <c r="AF63" s="8">
        <f t="shared" si="30"/>
        <v>0</v>
      </c>
      <c r="AG63" s="8">
        <f t="shared" si="31"/>
        <v>2.3475812551797155</v>
      </c>
    </row>
    <row r="64" spans="1:33" x14ac:dyDescent="0.35">
      <c r="A64" s="7" t="s">
        <v>161</v>
      </c>
      <c r="B64" s="7" t="s">
        <v>125</v>
      </c>
      <c r="C64" s="8">
        <v>24.28</v>
      </c>
      <c r="D64" s="8">
        <f t="shared" si="16"/>
        <v>109.51000000000002</v>
      </c>
      <c r="E64" s="8">
        <v>66.150000000000006</v>
      </c>
      <c r="F64" s="8">
        <v>0</v>
      </c>
      <c r="G64" s="8">
        <v>13.17</v>
      </c>
      <c r="H64" s="8">
        <v>0.2</v>
      </c>
      <c r="I64" s="8">
        <v>0</v>
      </c>
      <c r="J64" s="8">
        <v>3.98</v>
      </c>
      <c r="K64" s="8">
        <v>5.42</v>
      </c>
      <c r="L64" s="8">
        <v>0</v>
      </c>
      <c r="M64" s="8">
        <v>0</v>
      </c>
      <c r="N64" s="8">
        <v>2.04</v>
      </c>
      <c r="O64" s="8">
        <v>0.06</v>
      </c>
      <c r="P64" s="8">
        <v>0.45</v>
      </c>
      <c r="Q64" s="8">
        <v>18.04</v>
      </c>
      <c r="R64" s="8">
        <v>0</v>
      </c>
      <c r="S64" s="8">
        <f t="shared" si="17"/>
        <v>14.666441420874806</v>
      </c>
      <c r="T64" s="8">
        <f t="shared" si="18"/>
        <v>0</v>
      </c>
      <c r="U64" s="8">
        <f t="shared" si="19"/>
        <v>2.9199853894621493</v>
      </c>
      <c r="V64" s="8">
        <f t="shared" si="20"/>
        <v>4.4342982376038717E-2</v>
      </c>
      <c r="W64" s="8">
        <f t="shared" si="21"/>
        <v>0</v>
      </c>
      <c r="X64" s="8">
        <f t="shared" si="22"/>
        <v>0.8824253492831704</v>
      </c>
      <c r="Y64" s="8">
        <f t="shared" si="23"/>
        <v>1.2016948223906492</v>
      </c>
      <c r="Z64" s="8">
        <f t="shared" si="24"/>
        <v>0</v>
      </c>
      <c r="AA64" s="8">
        <f t="shared" si="25"/>
        <v>0</v>
      </c>
      <c r="AB64" s="8">
        <f t="shared" si="26"/>
        <v>0.45229842023559491</v>
      </c>
      <c r="AC64" s="8">
        <f t="shared" si="27"/>
        <v>1.3302894712811614E-2</v>
      </c>
      <c r="AD64" s="8">
        <f t="shared" si="28"/>
        <v>9.9771710346087103E-2</v>
      </c>
      <c r="AE64" s="8">
        <f t="shared" si="29"/>
        <v>3.9997370103186918</v>
      </c>
      <c r="AF64" s="8">
        <f t="shared" si="30"/>
        <v>0</v>
      </c>
      <c r="AG64" s="8">
        <f t="shared" si="31"/>
        <v>1.9628918988508581</v>
      </c>
    </row>
    <row r="65" spans="1:33" x14ac:dyDescent="0.35">
      <c r="A65" s="7" t="s">
        <v>161</v>
      </c>
      <c r="B65" s="7" t="s">
        <v>126</v>
      </c>
      <c r="C65" s="8">
        <v>26.41</v>
      </c>
      <c r="D65" s="8">
        <f t="shared" si="16"/>
        <v>91.96</v>
      </c>
      <c r="E65" s="8">
        <v>66.010000000000005</v>
      </c>
      <c r="F65" s="8">
        <v>0.92</v>
      </c>
      <c r="G65" s="8">
        <v>6.89</v>
      </c>
      <c r="H65" s="8">
        <v>0.27</v>
      </c>
      <c r="I65" s="8">
        <v>0</v>
      </c>
      <c r="J65" s="8">
        <v>0</v>
      </c>
      <c r="K65" s="8">
        <v>0</v>
      </c>
      <c r="L65" s="8">
        <v>5.24</v>
      </c>
      <c r="M65" s="8">
        <v>0</v>
      </c>
      <c r="N65" s="8">
        <v>0.92</v>
      </c>
      <c r="O65" s="8">
        <v>0.06</v>
      </c>
      <c r="P65" s="8">
        <v>6.32</v>
      </c>
      <c r="Q65" s="8">
        <v>5.33</v>
      </c>
      <c r="R65" s="8">
        <v>0</v>
      </c>
      <c r="S65" s="8">
        <f t="shared" si="17"/>
        <v>18.957417355371906</v>
      </c>
      <c r="T65" s="8">
        <f t="shared" si="18"/>
        <v>0.26421487603305788</v>
      </c>
      <c r="U65" s="8">
        <f t="shared" si="19"/>
        <v>1.9787396694214878</v>
      </c>
      <c r="V65" s="8">
        <f t="shared" si="20"/>
        <v>7.7541322314049602E-2</v>
      </c>
      <c r="W65" s="8">
        <f t="shared" si="21"/>
        <v>0</v>
      </c>
      <c r="X65" s="8">
        <f t="shared" si="22"/>
        <v>0</v>
      </c>
      <c r="Y65" s="8">
        <f t="shared" si="23"/>
        <v>0</v>
      </c>
      <c r="Z65" s="8">
        <f t="shared" si="24"/>
        <v>1.5048760330578514</v>
      </c>
      <c r="AA65" s="8">
        <f t="shared" si="25"/>
        <v>0</v>
      </c>
      <c r="AB65" s="8">
        <f t="shared" si="26"/>
        <v>0.26421487603305788</v>
      </c>
      <c r="AC65" s="8">
        <f t="shared" si="27"/>
        <v>1.7231404958677688E-2</v>
      </c>
      <c r="AD65" s="8">
        <f t="shared" si="28"/>
        <v>1.81504132231405</v>
      </c>
      <c r="AE65" s="8">
        <f t="shared" si="29"/>
        <v>1.5307231404958681</v>
      </c>
      <c r="AF65" s="8">
        <f t="shared" si="30"/>
        <v>0</v>
      </c>
      <c r="AG65" s="8">
        <f t="shared" si="31"/>
        <v>1.9628918988508581</v>
      </c>
    </row>
    <row r="66" spans="1:33" x14ac:dyDescent="0.35">
      <c r="A66" s="7" t="s">
        <v>162</v>
      </c>
      <c r="B66" s="7" t="s">
        <v>126</v>
      </c>
      <c r="C66" s="8">
        <v>24.72</v>
      </c>
      <c r="D66" s="8">
        <f t="shared" ref="D66:D67" si="32">SUM(E66:R66)</f>
        <v>91.96</v>
      </c>
      <c r="E66" s="8">
        <v>66.010000000000005</v>
      </c>
      <c r="F66" s="8">
        <v>0.92</v>
      </c>
      <c r="G66" s="8">
        <v>6.89</v>
      </c>
      <c r="H66" s="8">
        <v>0.27</v>
      </c>
      <c r="I66" s="8">
        <v>0</v>
      </c>
      <c r="J66" s="8">
        <v>0</v>
      </c>
      <c r="K66" s="8">
        <v>0</v>
      </c>
      <c r="L66" s="8">
        <v>5.24</v>
      </c>
      <c r="M66" s="8">
        <v>0</v>
      </c>
      <c r="N66" s="8">
        <v>0.92</v>
      </c>
      <c r="O66" s="8">
        <v>0.06</v>
      </c>
      <c r="P66" s="8">
        <v>6.32</v>
      </c>
      <c r="Q66" s="8">
        <v>5.33</v>
      </c>
      <c r="R66" s="8">
        <v>0</v>
      </c>
      <c r="S66" s="8">
        <f t="shared" si="17"/>
        <v>17.744314919530233</v>
      </c>
      <c r="T66" s="8">
        <f t="shared" si="18"/>
        <v>0.24730752501087433</v>
      </c>
      <c r="U66" s="8">
        <f t="shared" si="19"/>
        <v>1.8521183123097</v>
      </c>
      <c r="V66" s="8">
        <f t="shared" si="20"/>
        <v>7.2579382340147908E-2</v>
      </c>
      <c r="W66" s="8">
        <f t="shared" si="21"/>
        <v>0</v>
      </c>
      <c r="X66" s="8">
        <f t="shared" si="22"/>
        <v>0</v>
      </c>
      <c r="Y66" s="8">
        <f t="shared" si="23"/>
        <v>0</v>
      </c>
      <c r="Z66" s="8">
        <f t="shared" si="24"/>
        <v>1.4085776424532408</v>
      </c>
      <c r="AA66" s="8">
        <f t="shared" si="25"/>
        <v>0</v>
      </c>
      <c r="AB66" s="8">
        <f t="shared" si="26"/>
        <v>0.24730752501087433</v>
      </c>
      <c r="AC66" s="8">
        <f t="shared" si="27"/>
        <v>1.6128751631143978E-2</v>
      </c>
      <c r="AD66" s="8">
        <f t="shared" si="28"/>
        <v>1.6988951718138323</v>
      </c>
      <c r="AE66" s="8">
        <f t="shared" si="29"/>
        <v>1.4327707698999566</v>
      </c>
      <c r="AF66" s="8">
        <f t="shared" si="30"/>
        <v>0</v>
      </c>
      <c r="AG66" s="8">
        <f t="shared" si="31"/>
        <v>2.2689800731435033</v>
      </c>
    </row>
    <row r="67" spans="1:33" x14ac:dyDescent="0.35">
      <c r="A67" s="7" t="s">
        <v>162</v>
      </c>
      <c r="B67" s="7" t="s">
        <v>119</v>
      </c>
      <c r="C67" s="8">
        <v>16.78</v>
      </c>
      <c r="D67" s="8">
        <f t="shared" si="32"/>
        <v>97.63000000000001</v>
      </c>
      <c r="E67" s="8">
        <v>66</v>
      </c>
      <c r="F67" s="8">
        <v>3.17</v>
      </c>
      <c r="G67" s="8">
        <v>6.18</v>
      </c>
      <c r="H67" s="8">
        <v>0.68</v>
      </c>
      <c r="I67" s="8">
        <v>5.77</v>
      </c>
      <c r="J67" s="8">
        <v>0</v>
      </c>
      <c r="K67" s="8">
        <v>0</v>
      </c>
      <c r="L67" s="8">
        <v>0.54</v>
      </c>
      <c r="M67" s="8">
        <v>0</v>
      </c>
      <c r="N67" s="8">
        <v>1.82</v>
      </c>
      <c r="O67" s="8">
        <v>0.06</v>
      </c>
      <c r="P67" s="8">
        <v>5.65</v>
      </c>
      <c r="Q67" s="8">
        <v>7.12</v>
      </c>
      <c r="R67" s="8">
        <v>0.64</v>
      </c>
      <c r="S67" s="8">
        <f t="shared" si="17"/>
        <v>11.343644371607088</v>
      </c>
      <c r="T67" s="8">
        <f t="shared" si="18"/>
        <v>0.54483867663627983</v>
      </c>
      <c r="U67" s="8">
        <f t="shared" si="19"/>
        <v>1.0621776093413908</v>
      </c>
      <c r="V67" s="8">
        <f t="shared" si="20"/>
        <v>0.11687391170746697</v>
      </c>
      <c r="W67" s="8">
        <f t="shared" si="21"/>
        <v>0.99170951551777109</v>
      </c>
      <c r="X67" s="8">
        <f t="shared" si="22"/>
        <v>0</v>
      </c>
      <c r="Y67" s="8">
        <f t="shared" si="23"/>
        <v>0</v>
      </c>
      <c r="Z67" s="8">
        <f t="shared" si="24"/>
        <v>9.2811635767694356E-2</v>
      </c>
      <c r="AA67" s="8">
        <f t="shared" si="25"/>
        <v>0</v>
      </c>
      <c r="AB67" s="8">
        <f t="shared" si="26"/>
        <v>0.31280958721704394</v>
      </c>
      <c r="AC67" s="8">
        <f t="shared" si="27"/>
        <v>1.0312403974188261E-2</v>
      </c>
      <c r="AD67" s="8">
        <f t="shared" si="28"/>
        <v>0.97108470756939469</v>
      </c>
      <c r="AE67" s="8">
        <f t="shared" si="29"/>
        <v>1.2237386049370069</v>
      </c>
      <c r="AF67" s="8">
        <f t="shared" si="30"/>
        <v>0.10999897572467479</v>
      </c>
      <c r="AG67" s="8">
        <f t="shared" si="31"/>
        <v>2.2689800731435033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1"/>
  <sheetViews>
    <sheetView workbookViewId="0"/>
  </sheetViews>
  <sheetFormatPr defaultRowHeight="14.5" x14ac:dyDescent="0.35"/>
  <cols>
    <col min="1" max="1" width="18" customWidth="1"/>
    <col min="2" max="3" width="13" customWidth="1"/>
    <col min="4" max="6" width="16" customWidth="1"/>
    <col min="7" max="7" width="20" customWidth="1"/>
  </cols>
  <sheetData>
    <row r="1" spans="1:7" ht="14.65" customHeight="1" x14ac:dyDescent="0.35">
      <c r="A1" s="1" t="s">
        <v>196</v>
      </c>
      <c r="B1" s="1" t="s">
        <v>197</v>
      </c>
      <c r="C1" s="1" t="s">
        <v>2</v>
      </c>
      <c r="D1" s="1" t="s">
        <v>198</v>
      </c>
      <c r="E1" s="1" t="s">
        <v>18</v>
      </c>
      <c r="F1" s="1" t="s">
        <v>19</v>
      </c>
      <c r="G1" s="1" t="s">
        <v>199</v>
      </c>
    </row>
    <row r="2" spans="1:7" x14ac:dyDescent="0.35">
      <c r="A2" s="7" t="s">
        <v>200</v>
      </c>
      <c r="B2" s="7" t="s">
        <v>20</v>
      </c>
      <c r="C2" s="7" t="s">
        <v>21</v>
      </c>
      <c r="D2" s="9">
        <v>17.414999999999999</v>
      </c>
      <c r="E2" s="10">
        <v>9</v>
      </c>
      <c r="F2" s="10">
        <v>4</v>
      </c>
      <c r="G2" s="7" t="s">
        <v>201</v>
      </c>
    </row>
    <row r="3" spans="1:7" x14ac:dyDescent="0.35">
      <c r="A3" s="7" t="s">
        <v>202</v>
      </c>
      <c r="B3" s="7" t="s">
        <v>22</v>
      </c>
      <c r="C3" s="7" t="s">
        <v>21</v>
      </c>
      <c r="D3" s="9">
        <v>19.22</v>
      </c>
      <c r="E3" s="10">
        <v>161</v>
      </c>
      <c r="F3" s="10">
        <v>2</v>
      </c>
      <c r="G3" s="7" t="s">
        <v>201</v>
      </c>
    </row>
    <row r="4" spans="1:7" x14ac:dyDescent="0.35">
      <c r="A4" s="7" t="s">
        <v>203</v>
      </c>
      <c r="B4" s="7" t="s">
        <v>23</v>
      </c>
      <c r="C4" s="7" t="s">
        <v>21</v>
      </c>
      <c r="D4" s="9">
        <v>15.69</v>
      </c>
      <c r="E4" s="10">
        <v>10</v>
      </c>
      <c r="F4" s="10">
        <v>4</v>
      </c>
      <c r="G4" s="7" t="s">
        <v>201</v>
      </c>
    </row>
    <row r="5" spans="1:7" x14ac:dyDescent="0.35">
      <c r="A5" s="7" t="s">
        <v>204</v>
      </c>
      <c r="B5" s="7" t="s">
        <v>24</v>
      </c>
      <c r="C5" s="7" t="s">
        <v>21</v>
      </c>
      <c r="D5" s="9">
        <v>18.05</v>
      </c>
      <c r="E5" s="10">
        <v>98</v>
      </c>
      <c r="F5" s="10">
        <v>3</v>
      </c>
      <c r="G5" s="7" t="s">
        <v>201</v>
      </c>
    </row>
    <row r="6" spans="1:7" x14ac:dyDescent="0.35">
      <c r="A6" s="7" t="s">
        <v>205</v>
      </c>
      <c r="B6" s="7" t="s">
        <v>25</v>
      </c>
      <c r="C6" s="7" t="s">
        <v>21</v>
      </c>
      <c r="D6" s="9">
        <v>20.8</v>
      </c>
      <c r="E6" s="10" t="s">
        <v>206</v>
      </c>
      <c r="F6" s="10">
        <v>3</v>
      </c>
      <c r="G6" s="7" t="s">
        <v>201</v>
      </c>
    </row>
    <row r="7" spans="1:7" x14ac:dyDescent="0.35">
      <c r="A7" s="7" t="s">
        <v>207</v>
      </c>
      <c r="B7" s="7" t="s">
        <v>26</v>
      </c>
      <c r="C7" s="7" t="s">
        <v>21</v>
      </c>
      <c r="D7" s="9">
        <v>14.364999999999998</v>
      </c>
      <c r="E7" s="10">
        <v>5</v>
      </c>
      <c r="F7" s="10">
        <v>4</v>
      </c>
      <c r="G7" s="7" t="s">
        <v>201</v>
      </c>
    </row>
    <row r="8" spans="1:7" x14ac:dyDescent="0.35">
      <c r="A8" s="7" t="s">
        <v>208</v>
      </c>
      <c r="B8" s="7" t="s">
        <v>27</v>
      </c>
      <c r="C8" s="7" t="s">
        <v>21</v>
      </c>
      <c r="D8" s="9">
        <v>16.535</v>
      </c>
      <c r="E8" s="10">
        <v>32</v>
      </c>
      <c r="F8" s="10">
        <v>4</v>
      </c>
      <c r="G8" s="7" t="s">
        <v>201</v>
      </c>
    </row>
    <row r="9" spans="1:7" x14ac:dyDescent="0.35">
      <c r="A9" s="7" t="s">
        <v>209</v>
      </c>
      <c r="B9" s="7" t="s">
        <v>28</v>
      </c>
      <c r="C9" s="7" t="s">
        <v>21</v>
      </c>
      <c r="D9" s="9">
        <v>15.225000000000001</v>
      </c>
      <c r="E9" s="10">
        <v>4</v>
      </c>
      <c r="F9" s="10">
        <v>4</v>
      </c>
      <c r="G9" s="7" t="s">
        <v>201</v>
      </c>
    </row>
    <row r="10" spans="1:7" x14ac:dyDescent="0.35">
      <c r="A10" s="7" t="s">
        <v>210</v>
      </c>
      <c r="B10" s="7" t="s">
        <v>29</v>
      </c>
      <c r="C10" s="7" t="s">
        <v>21</v>
      </c>
      <c r="D10" s="9">
        <v>22.32</v>
      </c>
      <c r="E10" s="10">
        <v>172</v>
      </c>
      <c r="F10" s="10">
        <v>2</v>
      </c>
      <c r="G10" s="7" t="s">
        <v>201</v>
      </c>
    </row>
    <row r="11" spans="1:7" x14ac:dyDescent="0.35">
      <c r="A11" s="7" t="s">
        <v>211</v>
      </c>
      <c r="B11" s="7" t="s">
        <v>30</v>
      </c>
      <c r="C11" s="7" t="s">
        <v>21</v>
      </c>
      <c r="D11" s="9">
        <v>16.09</v>
      </c>
      <c r="E11" s="10">
        <v>95</v>
      </c>
      <c r="F11" s="10">
        <v>4</v>
      </c>
      <c r="G11" s="7" t="s">
        <v>201</v>
      </c>
    </row>
    <row r="12" spans="1:7" x14ac:dyDescent="0.35">
      <c r="A12" s="7" t="s">
        <v>212</v>
      </c>
      <c r="B12" s="7" t="s">
        <v>31</v>
      </c>
      <c r="C12" s="7" t="s">
        <v>21</v>
      </c>
      <c r="D12" s="9">
        <v>17.145</v>
      </c>
      <c r="E12" s="10">
        <v>33</v>
      </c>
      <c r="F12" s="10">
        <v>2</v>
      </c>
      <c r="G12" s="7" t="s">
        <v>201</v>
      </c>
    </row>
    <row r="13" spans="1:7" x14ac:dyDescent="0.35">
      <c r="A13" s="7" t="s">
        <v>213</v>
      </c>
      <c r="B13" s="7" t="s">
        <v>32</v>
      </c>
      <c r="C13" s="7" t="s">
        <v>21</v>
      </c>
      <c r="D13" s="9">
        <v>14.46</v>
      </c>
      <c r="E13" s="10">
        <v>11</v>
      </c>
      <c r="F13" s="10">
        <v>4</v>
      </c>
      <c r="G13" s="7" t="s">
        <v>201</v>
      </c>
    </row>
    <row r="14" spans="1:7" x14ac:dyDescent="0.35">
      <c r="A14" s="7" t="s">
        <v>214</v>
      </c>
      <c r="B14" s="7" t="s">
        <v>33</v>
      </c>
      <c r="C14" s="7" t="s">
        <v>21</v>
      </c>
      <c r="D14" s="9">
        <v>15.5</v>
      </c>
      <c r="E14" s="10">
        <v>20</v>
      </c>
      <c r="F14" s="10">
        <v>4</v>
      </c>
      <c r="G14" s="7" t="s">
        <v>201</v>
      </c>
    </row>
    <row r="15" spans="1:7" x14ac:dyDescent="0.35">
      <c r="A15" s="7" t="s">
        <v>215</v>
      </c>
      <c r="B15" s="7" t="s">
        <v>34</v>
      </c>
      <c r="C15" s="7" t="s">
        <v>21</v>
      </c>
      <c r="D15" s="9">
        <v>18.25</v>
      </c>
      <c r="E15" s="10">
        <v>87</v>
      </c>
      <c r="F15" s="10">
        <v>2</v>
      </c>
      <c r="G15" s="7" t="s">
        <v>201</v>
      </c>
    </row>
    <row r="16" spans="1:7" x14ac:dyDescent="0.35">
      <c r="A16" s="7" t="s">
        <v>216</v>
      </c>
      <c r="B16" s="7" t="s">
        <v>35</v>
      </c>
      <c r="C16" s="7" t="s">
        <v>21</v>
      </c>
      <c r="D16" s="9">
        <v>15.5</v>
      </c>
      <c r="E16" s="10">
        <v>80</v>
      </c>
      <c r="F16" s="10">
        <v>3</v>
      </c>
      <c r="G16" s="7" t="s">
        <v>201</v>
      </c>
    </row>
    <row r="17" spans="1:7" x14ac:dyDescent="0.35">
      <c r="A17" s="7" t="s">
        <v>217</v>
      </c>
      <c r="B17" s="7" t="s">
        <v>36</v>
      </c>
      <c r="C17" s="7" t="s">
        <v>21</v>
      </c>
      <c r="D17" s="9">
        <v>14.45</v>
      </c>
      <c r="E17" s="10">
        <v>32</v>
      </c>
      <c r="F17" s="10">
        <v>1</v>
      </c>
      <c r="G17" s="7" t="s">
        <v>201</v>
      </c>
    </row>
    <row r="18" spans="1:7" x14ac:dyDescent="0.35">
      <c r="A18" s="7" t="s">
        <v>218</v>
      </c>
      <c r="B18" s="7" t="s">
        <v>37</v>
      </c>
      <c r="C18" s="7" t="s">
        <v>21</v>
      </c>
      <c r="D18" s="9">
        <v>21.704999999999998</v>
      </c>
      <c r="E18" s="10">
        <v>160</v>
      </c>
      <c r="F18" s="10">
        <v>3</v>
      </c>
      <c r="G18" s="7" t="s">
        <v>201</v>
      </c>
    </row>
    <row r="19" spans="1:7" x14ac:dyDescent="0.35">
      <c r="A19" s="7" t="s">
        <v>219</v>
      </c>
      <c r="B19" s="7" t="s">
        <v>38</v>
      </c>
      <c r="C19" s="7" t="s">
        <v>21</v>
      </c>
      <c r="D19" s="9">
        <v>17.664999999999999</v>
      </c>
      <c r="E19" s="10">
        <v>49</v>
      </c>
      <c r="F19" s="10">
        <v>2</v>
      </c>
      <c r="G19" s="7" t="s">
        <v>201</v>
      </c>
    </row>
    <row r="20" spans="1:7" x14ac:dyDescent="0.35">
      <c r="A20" s="7" t="s">
        <v>220</v>
      </c>
      <c r="B20" s="7" t="s">
        <v>39</v>
      </c>
      <c r="C20" s="7" t="s">
        <v>21</v>
      </c>
      <c r="D20" s="9">
        <v>19.734999999999999</v>
      </c>
      <c r="E20" s="10">
        <v>92</v>
      </c>
      <c r="F20" s="10">
        <v>4</v>
      </c>
      <c r="G20" s="7" t="s">
        <v>201</v>
      </c>
    </row>
    <row r="21" spans="1:7" x14ac:dyDescent="0.35">
      <c r="A21" s="7" t="s">
        <v>221</v>
      </c>
      <c r="B21" s="7" t="s">
        <v>40</v>
      </c>
      <c r="C21" s="7" t="s">
        <v>21</v>
      </c>
      <c r="D21" s="9">
        <v>18.835000000000001</v>
      </c>
      <c r="E21" s="10">
        <v>103</v>
      </c>
      <c r="F21" s="10">
        <v>2</v>
      </c>
      <c r="G21" s="7" t="s">
        <v>201</v>
      </c>
    </row>
    <row r="22" spans="1:7" x14ac:dyDescent="0.35">
      <c r="A22" s="7" t="s">
        <v>222</v>
      </c>
      <c r="B22" s="7" t="s">
        <v>41</v>
      </c>
      <c r="C22" s="7" t="s">
        <v>21</v>
      </c>
      <c r="D22" s="9">
        <v>16.155000000000001</v>
      </c>
      <c r="E22" s="10">
        <v>82</v>
      </c>
      <c r="F22" s="10">
        <v>2</v>
      </c>
      <c r="G22" s="7" t="s">
        <v>201</v>
      </c>
    </row>
    <row r="23" spans="1:7" x14ac:dyDescent="0.35">
      <c r="A23" s="7" t="s">
        <v>223</v>
      </c>
      <c r="B23" s="7" t="s">
        <v>42</v>
      </c>
      <c r="C23" s="7" t="s">
        <v>21</v>
      </c>
      <c r="D23" s="9">
        <v>18.920000000000002</v>
      </c>
      <c r="E23" s="10">
        <v>75</v>
      </c>
      <c r="F23" s="10">
        <v>4</v>
      </c>
      <c r="G23" s="7" t="s">
        <v>201</v>
      </c>
    </row>
    <row r="24" spans="1:7" x14ac:dyDescent="0.35">
      <c r="A24" s="7" t="s">
        <v>224</v>
      </c>
      <c r="B24" s="7" t="s">
        <v>43</v>
      </c>
      <c r="C24" s="7" t="s">
        <v>21</v>
      </c>
      <c r="D24" s="9">
        <v>19.015000000000001</v>
      </c>
      <c r="E24" s="10">
        <v>142</v>
      </c>
      <c r="F24" s="10">
        <v>3</v>
      </c>
      <c r="G24" s="7" t="s">
        <v>201</v>
      </c>
    </row>
    <row r="25" spans="1:7" x14ac:dyDescent="0.35">
      <c r="A25" s="7" t="s">
        <v>225</v>
      </c>
      <c r="B25" s="7" t="s">
        <v>44</v>
      </c>
      <c r="C25" s="7" t="s">
        <v>21</v>
      </c>
      <c r="D25" s="9">
        <v>19.78</v>
      </c>
      <c r="E25" s="10">
        <v>127</v>
      </c>
      <c r="F25" s="10">
        <v>3</v>
      </c>
      <c r="G25" s="7" t="s">
        <v>201</v>
      </c>
    </row>
    <row r="26" spans="1:7" x14ac:dyDescent="0.35">
      <c r="A26" s="7" t="s">
        <v>226</v>
      </c>
      <c r="B26" s="7" t="s">
        <v>44</v>
      </c>
      <c r="C26" s="7" t="s">
        <v>45</v>
      </c>
      <c r="D26" s="9">
        <v>20.727499999999999</v>
      </c>
      <c r="E26" s="10">
        <v>110</v>
      </c>
      <c r="F26" s="10">
        <v>2</v>
      </c>
      <c r="G26" s="7" t="s">
        <v>201</v>
      </c>
    </row>
    <row r="27" spans="1:7" x14ac:dyDescent="0.35">
      <c r="A27" s="7" t="s">
        <v>227</v>
      </c>
      <c r="B27" s="7" t="s">
        <v>44</v>
      </c>
      <c r="C27" s="7" t="s">
        <v>46</v>
      </c>
      <c r="D27" s="9">
        <v>16.72</v>
      </c>
      <c r="E27" s="10">
        <v>125</v>
      </c>
      <c r="F27" s="10">
        <v>4</v>
      </c>
      <c r="G27" s="7" t="s">
        <v>201</v>
      </c>
    </row>
    <row r="28" spans="1:7" x14ac:dyDescent="0.35">
      <c r="A28" s="7" t="s">
        <v>228</v>
      </c>
      <c r="B28" s="7" t="s">
        <v>47</v>
      </c>
      <c r="C28" s="7" t="s">
        <v>21</v>
      </c>
      <c r="D28" s="9">
        <v>19.32</v>
      </c>
      <c r="E28" s="10">
        <v>68</v>
      </c>
      <c r="F28" s="10" t="s">
        <v>229</v>
      </c>
      <c r="G28" s="7" t="s">
        <v>230</v>
      </c>
    </row>
    <row r="29" spans="1:7" x14ac:dyDescent="0.35">
      <c r="A29" s="7" t="s">
        <v>231</v>
      </c>
      <c r="B29" s="7" t="s">
        <v>48</v>
      </c>
      <c r="C29" s="7" t="s">
        <v>21</v>
      </c>
      <c r="D29" s="9">
        <v>18.95</v>
      </c>
      <c r="E29" s="10">
        <v>76</v>
      </c>
      <c r="F29" s="10" t="s">
        <v>229</v>
      </c>
      <c r="G29" s="7" t="s">
        <v>230</v>
      </c>
    </row>
    <row r="30" spans="1:7" x14ac:dyDescent="0.35">
      <c r="A30" s="7" t="s">
        <v>232</v>
      </c>
      <c r="B30" s="7" t="s">
        <v>49</v>
      </c>
      <c r="C30" s="7" t="s">
        <v>21</v>
      </c>
      <c r="D30" s="9">
        <v>20.57</v>
      </c>
      <c r="E30" s="10">
        <v>60</v>
      </c>
      <c r="F30" s="10" t="s">
        <v>229</v>
      </c>
      <c r="G30" s="7" t="s">
        <v>230</v>
      </c>
    </row>
    <row r="31" spans="1:7" x14ac:dyDescent="0.35">
      <c r="A31" s="7" t="s">
        <v>233</v>
      </c>
      <c r="B31" s="7" t="s">
        <v>50</v>
      </c>
      <c r="C31" s="7" t="s">
        <v>21</v>
      </c>
      <c r="D31" s="9">
        <v>14.695</v>
      </c>
      <c r="E31" s="10">
        <v>9</v>
      </c>
      <c r="F31" s="10" t="s">
        <v>229</v>
      </c>
      <c r="G31" s="7" t="s">
        <v>230</v>
      </c>
    </row>
    <row r="32" spans="1:7" x14ac:dyDescent="0.35">
      <c r="A32" s="7" t="s">
        <v>234</v>
      </c>
      <c r="B32" s="7" t="s">
        <v>51</v>
      </c>
      <c r="C32" s="7" t="s">
        <v>21</v>
      </c>
      <c r="D32" s="9">
        <v>14.215</v>
      </c>
      <c r="E32" s="10">
        <v>40</v>
      </c>
      <c r="F32" s="10" t="s">
        <v>229</v>
      </c>
      <c r="G32" s="7" t="s">
        <v>230</v>
      </c>
    </row>
    <row r="33" spans="1:7" x14ac:dyDescent="0.35">
      <c r="A33" s="7" t="s">
        <v>235</v>
      </c>
      <c r="B33" s="7" t="s">
        <v>52</v>
      </c>
      <c r="C33" s="7" t="s">
        <v>21</v>
      </c>
      <c r="D33" s="9">
        <v>20.335000000000001</v>
      </c>
      <c r="E33" s="10">
        <v>112</v>
      </c>
      <c r="F33" s="10" t="s">
        <v>229</v>
      </c>
      <c r="G33" s="7" t="s">
        <v>230</v>
      </c>
    </row>
    <row r="34" spans="1:7" x14ac:dyDescent="0.35">
      <c r="A34" s="7" t="s">
        <v>236</v>
      </c>
      <c r="B34" s="7" t="s">
        <v>53</v>
      </c>
      <c r="C34" s="7" t="s">
        <v>21</v>
      </c>
      <c r="D34" s="9">
        <v>12.484999999999999</v>
      </c>
      <c r="E34" s="10">
        <v>79</v>
      </c>
      <c r="F34" s="10" t="s">
        <v>229</v>
      </c>
      <c r="G34" s="7" t="s">
        <v>230</v>
      </c>
    </row>
    <row r="35" spans="1:7" x14ac:dyDescent="0.35">
      <c r="A35" s="7" t="s">
        <v>237</v>
      </c>
      <c r="B35" s="7" t="s">
        <v>54</v>
      </c>
      <c r="C35" s="7" t="s">
        <v>21</v>
      </c>
      <c r="D35" s="9">
        <v>20.9</v>
      </c>
      <c r="E35" s="10">
        <v>131</v>
      </c>
      <c r="F35" s="10" t="s">
        <v>229</v>
      </c>
      <c r="G35" s="7" t="s">
        <v>230</v>
      </c>
    </row>
    <row r="36" spans="1:7" x14ac:dyDescent="0.35">
      <c r="A36" s="7" t="s">
        <v>238</v>
      </c>
      <c r="B36" s="7" t="s">
        <v>55</v>
      </c>
      <c r="C36" s="7" t="s">
        <v>21</v>
      </c>
      <c r="D36" s="9">
        <v>15.53</v>
      </c>
      <c r="E36" s="10">
        <v>5</v>
      </c>
      <c r="F36" s="10" t="s">
        <v>229</v>
      </c>
      <c r="G36" s="7" t="s">
        <v>230</v>
      </c>
    </row>
    <row r="37" spans="1:7" x14ac:dyDescent="0.35">
      <c r="A37" s="7" t="s">
        <v>239</v>
      </c>
      <c r="B37" s="7" t="s">
        <v>56</v>
      </c>
      <c r="C37" s="7" t="s">
        <v>21</v>
      </c>
      <c r="D37" s="9">
        <v>14.995000000000001</v>
      </c>
      <c r="E37" s="10">
        <v>60</v>
      </c>
      <c r="F37" s="10" t="s">
        <v>229</v>
      </c>
      <c r="G37" s="7" t="s">
        <v>230</v>
      </c>
    </row>
    <row r="38" spans="1:7" x14ac:dyDescent="0.35">
      <c r="A38" s="7" t="s">
        <v>240</v>
      </c>
      <c r="B38" s="7" t="s">
        <v>57</v>
      </c>
      <c r="C38" s="7" t="s">
        <v>21</v>
      </c>
      <c r="D38" s="9">
        <v>17.04</v>
      </c>
      <c r="E38" s="10">
        <v>65</v>
      </c>
      <c r="F38" s="10" t="s">
        <v>229</v>
      </c>
      <c r="G38" s="7" t="s">
        <v>230</v>
      </c>
    </row>
    <row r="39" spans="1:7" x14ac:dyDescent="0.35">
      <c r="A39" s="7" t="s">
        <v>241</v>
      </c>
      <c r="B39" s="7" t="s">
        <v>58</v>
      </c>
      <c r="C39" s="7" t="s">
        <v>21</v>
      </c>
      <c r="D39" s="9">
        <v>17.89</v>
      </c>
      <c r="E39" s="10">
        <v>50</v>
      </c>
      <c r="F39" s="10" t="s">
        <v>229</v>
      </c>
      <c r="G39" s="7" t="s">
        <v>230</v>
      </c>
    </row>
    <row r="40" spans="1:7" x14ac:dyDescent="0.35">
      <c r="A40" s="7" t="s">
        <v>242</v>
      </c>
      <c r="B40" s="7" t="s">
        <v>59</v>
      </c>
      <c r="C40" s="7" t="s">
        <v>21</v>
      </c>
      <c r="D40" s="9">
        <v>16.310000000000002</v>
      </c>
      <c r="E40" s="10">
        <v>45</v>
      </c>
      <c r="F40" s="10" t="s">
        <v>229</v>
      </c>
      <c r="G40" s="7" t="s">
        <v>230</v>
      </c>
    </row>
    <row r="41" spans="1:7" x14ac:dyDescent="0.35">
      <c r="A41" s="7" t="s">
        <v>243</v>
      </c>
      <c r="B41" s="7" t="s">
        <v>60</v>
      </c>
      <c r="C41" s="7" t="s">
        <v>21</v>
      </c>
      <c r="D41" s="9">
        <v>16.98</v>
      </c>
      <c r="E41" s="10">
        <v>80</v>
      </c>
      <c r="F41" s="10" t="s">
        <v>229</v>
      </c>
      <c r="G41" s="7" t="s">
        <v>230</v>
      </c>
    </row>
    <row r="42" spans="1:7" x14ac:dyDescent="0.35">
      <c r="A42" s="7" t="s">
        <v>244</v>
      </c>
      <c r="B42" s="7" t="s">
        <v>61</v>
      </c>
      <c r="C42" s="7" t="s">
        <v>21</v>
      </c>
      <c r="D42" s="9">
        <v>19.41</v>
      </c>
      <c r="E42" s="10">
        <v>76</v>
      </c>
      <c r="F42" s="10" t="s">
        <v>229</v>
      </c>
      <c r="G42" s="7" t="s">
        <v>230</v>
      </c>
    </row>
    <row r="43" spans="1:7" x14ac:dyDescent="0.35">
      <c r="A43" s="7" t="s">
        <v>245</v>
      </c>
      <c r="B43" s="7" t="s">
        <v>62</v>
      </c>
      <c r="C43" s="7" t="s">
        <v>21</v>
      </c>
      <c r="D43" s="9">
        <v>18.619999999999997</v>
      </c>
      <c r="E43" s="10">
        <v>60</v>
      </c>
      <c r="F43" s="10" t="s">
        <v>229</v>
      </c>
      <c r="G43" s="7" t="s">
        <v>230</v>
      </c>
    </row>
    <row r="44" spans="1:7" x14ac:dyDescent="0.35">
      <c r="A44" s="7" t="s">
        <v>246</v>
      </c>
      <c r="B44" s="7" t="s">
        <v>63</v>
      </c>
      <c r="C44" s="7" t="s">
        <v>21</v>
      </c>
      <c r="D44" s="9">
        <v>18.810000000000002</v>
      </c>
      <c r="E44" s="10">
        <v>120</v>
      </c>
      <c r="F44" s="10" t="s">
        <v>229</v>
      </c>
      <c r="G44" s="7" t="s">
        <v>230</v>
      </c>
    </row>
    <row r="45" spans="1:7" x14ac:dyDescent="0.35">
      <c r="A45" s="7" t="s">
        <v>247</v>
      </c>
      <c r="B45" s="7" t="s">
        <v>64</v>
      </c>
      <c r="C45" s="7" t="s">
        <v>21</v>
      </c>
      <c r="D45" s="9">
        <v>15.824999999999999</v>
      </c>
      <c r="E45" s="10">
        <v>45</v>
      </c>
      <c r="F45" s="10" t="s">
        <v>229</v>
      </c>
      <c r="G45" s="7" t="s">
        <v>230</v>
      </c>
    </row>
    <row r="46" spans="1:7" x14ac:dyDescent="0.35">
      <c r="A46" s="7" t="s">
        <v>248</v>
      </c>
      <c r="B46" s="7" t="s">
        <v>65</v>
      </c>
      <c r="C46" s="7" t="s">
        <v>21</v>
      </c>
      <c r="D46" s="9">
        <v>19.770000000000003</v>
      </c>
      <c r="E46" s="10">
        <v>67</v>
      </c>
      <c r="F46" s="10" t="s">
        <v>229</v>
      </c>
      <c r="G46" s="7" t="s">
        <v>230</v>
      </c>
    </row>
    <row r="47" spans="1:7" x14ac:dyDescent="0.35">
      <c r="A47" s="7" t="s">
        <v>249</v>
      </c>
      <c r="B47" s="7" t="s">
        <v>66</v>
      </c>
      <c r="C47" s="7" t="s">
        <v>21</v>
      </c>
      <c r="D47" s="9">
        <v>16.594999999999999</v>
      </c>
      <c r="E47" s="10">
        <v>40</v>
      </c>
      <c r="F47" s="10" t="s">
        <v>229</v>
      </c>
      <c r="G47" s="7" t="s">
        <v>230</v>
      </c>
    </row>
    <row r="48" spans="1:7" x14ac:dyDescent="0.35">
      <c r="A48" s="7" t="s">
        <v>250</v>
      </c>
      <c r="B48" s="7" t="s">
        <v>67</v>
      </c>
      <c r="C48" s="7" t="s">
        <v>21</v>
      </c>
      <c r="D48" s="9">
        <v>20.490000000000002</v>
      </c>
      <c r="E48" s="10">
        <v>85</v>
      </c>
      <c r="F48" s="10" t="s">
        <v>229</v>
      </c>
      <c r="G48" s="7" t="s">
        <v>230</v>
      </c>
    </row>
    <row r="49" spans="1:7" x14ac:dyDescent="0.35">
      <c r="A49" s="7" t="s">
        <v>251</v>
      </c>
      <c r="B49" s="7" t="s">
        <v>68</v>
      </c>
      <c r="C49" s="7" t="s">
        <v>21</v>
      </c>
      <c r="D49" s="9">
        <v>20.255000000000003</v>
      </c>
      <c r="E49" s="10">
        <v>183</v>
      </c>
      <c r="F49" s="10" t="s">
        <v>229</v>
      </c>
      <c r="G49" s="7" t="s">
        <v>230</v>
      </c>
    </row>
    <row r="50" spans="1:7" x14ac:dyDescent="0.35">
      <c r="A50" s="7" t="s">
        <v>252</v>
      </c>
      <c r="B50" s="7" t="s">
        <v>69</v>
      </c>
      <c r="C50" s="7" t="s">
        <v>21</v>
      </c>
      <c r="D50" s="9">
        <v>16.445</v>
      </c>
      <c r="E50" s="10">
        <v>16</v>
      </c>
      <c r="F50" s="10" t="s">
        <v>229</v>
      </c>
      <c r="G50" s="7" t="s">
        <v>230</v>
      </c>
    </row>
    <row r="51" spans="1:7" x14ac:dyDescent="0.35">
      <c r="A51" s="7" t="s">
        <v>253</v>
      </c>
      <c r="B51" s="7" t="s">
        <v>70</v>
      </c>
      <c r="C51" s="7" t="s">
        <v>21</v>
      </c>
      <c r="D51" s="9">
        <v>17.59</v>
      </c>
      <c r="E51" s="10">
        <v>78</v>
      </c>
      <c r="F51" s="10" t="s">
        <v>229</v>
      </c>
      <c r="G51" s="7" t="s">
        <v>230</v>
      </c>
    </row>
    <row r="52" spans="1:7" x14ac:dyDescent="0.35">
      <c r="A52" s="7" t="s">
        <v>254</v>
      </c>
      <c r="B52" s="7" t="s">
        <v>70</v>
      </c>
      <c r="C52" s="7" t="s">
        <v>45</v>
      </c>
      <c r="D52" s="9">
        <v>18.453333333333333</v>
      </c>
      <c r="E52" s="10">
        <v>60</v>
      </c>
      <c r="F52" s="10" t="s">
        <v>229</v>
      </c>
      <c r="G52" s="7" t="s">
        <v>230</v>
      </c>
    </row>
    <row r="53" spans="1:7" x14ac:dyDescent="0.35">
      <c r="A53" s="7" t="s">
        <v>255</v>
      </c>
      <c r="B53" s="7" t="s">
        <v>70</v>
      </c>
      <c r="C53" s="7" t="s">
        <v>46</v>
      </c>
      <c r="D53" s="9">
        <v>14.743333333333334</v>
      </c>
      <c r="E53" s="10">
        <v>63</v>
      </c>
      <c r="F53" s="10" t="s">
        <v>229</v>
      </c>
      <c r="G53" s="7" t="s">
        <v>230</v>
      </c>
    </row>
    <row r="54" spans="1:7" x14ac:dyDescent="0.35">
      <c r="A54" s="7" t="s">
        <v>256</v>
      </c>
      <c r="B54" s="7" t="s">
        <v>71</v>
      </c>
      <c r="C54" s="7" t="s">
        <v>21</v>
      </c>
      <c r="D54" s="9">
        <v>15.67</v>
      </c>
      <c r="E54" s="10">
        <v>8</v>
      </c>
      <c r="F54" s="10" t="s">
        <v>229</v>
      </c>
      <c r="G54" s="7" t="s">
        <v>257</v>
      </c>
    </row>
    <row r="55" spans="1:7" x14ac:dyDescent="0.35">
      <c r="A55" s="7" t="s">
        <v>258</v>
      </c>
      <c r="B55" s="7" t="s">
        <v>72</v>
      </c>
      <c r="C55" s="7" t="s">
        <v>21</v>
      </c>
      <c r="D55" s="9">
        <v>13.9</v>
      </c>
      <c r="E55" s="10">
        <v>152</v>
      </c>
      <c r="F55" s="10" t="s">
        <v>229</v>
      </c>
      <c r="G55" s="7" t="s">
        <v>257</v>
      </c>
    </row>
    <row r="56" spans="1:7" x14ac:dyDescent="0.35">
      <c r="A56" s="7" t="s">
        <v>259</v>
      </c>
      <c r="B56" s="7" t="s">
        <v>73</v>
      </c>
      <c r="C56" s="7" t="s">
        <v>21</v>
      </c>
      <c r="D56" s="9">
        <v>19.649999999999999</v>
      </c>
      <c r="E56" s="10">
        <v>97</v>
      </c>
      <c r="F56" s="10" t="s">
        <v>229</v>
      </c>
      <c r="G56" s="7" t="s">
        <v>257</v>
      </c>
    </row>
    <row r="57" spans="1:7" x14ac:dyDescent="0.35">
      <c r="A57" s="7" t="s">
        <v>260</v>
      </c>
      <c r="B57" s="7" t="s">
        <v>74</v>
      </c>
      <c r="C57" s="7" t="s">
        <v>21</v>
      </c>
      <c r="D57" s="9">
        <v>18.024999999999999</v>
      </c>
      <c r="E57" s="10">
        <v>25</v>
      </c>
      <c r="F57" s="10" t="s">
        <v>229</v>
      </c>
      <c r="G57" s="7" t="s">
        <v>257</v>
      </c>
    </row>
    <row r="58" spans="1:7" x14ac:dyDescent="0.35">
      <c r="A58" s="7" t="s">
        <v>261</v>
      </c>
      <c r="B58" s="7" t="s">
        <v>75</v>
      </c>
      <c r="C58" s="7" t="s">
        <v>21</v>
      </c>
      <c r="D58" s="9">
        <v>15.815000000000001</v>
      </c>
      <c r="E58" s="10">
        <v>10</v>
      </c>
      <c r="F58" s="10" t="s">
        <v>229</v>
      </c>
      <c r="G58" s="7" t="s">
        <v>257</v>
      </c>
    </row>
    <row r="59" spans="1:7" x14ac:dyDescent="0.35">
      <c r="A59" s="7" t="s">
        <v>262</v>
      </c>
      <c r="B59" s="7" t="s">
        <v>76</v>
      </c>
      <c r="C59" s="7" t="s">
        <v>21</v>
      </c>
      <c r="D59" s="9">
        <v>19.88</v>
      </c>
      <c r="E59" s="10">
        <v>114</v>
      </c>
      <c r="F59" s="10" t="s">
        <v>229</v>
      </c>
      <c r="G59" s="7" t="s">
        <v>257</v>
      </c>
    </row>
    <row r="60" spans="1:7" x14ac:dyDescent="0.35">
      <c r="A60" s="7" t="s">
        <v>263</v>
      </c>
      <c r="B60" s="7" t="s">
        <v>77</v>
      </c>
      <c r="C60" s="7" t="s">
        <v>21</v>
      </c>
      <c r="D60" s="9">
        <v>15.055</v>
      </c>
      <c r="E60" s="10">
        <v>12</v>
      </c>
      <c r="F60" s="10" t="s">
        <v>229</v>
      </c>
      <c r="G60" s="7" t="s">
        <v>257</v>
      </c>
    </row>
    <row r="61" spans="1:7" x14ac:dyDescent="0.35">
      <c r="A61" s="7" t="s">
        <v>264</v>
      </c>
      <c r="B61" s="7" t="s">
        <v>78</v>
      </c>
      <c r="C61" s="7" t="s">
        <v>21</v>
      </c>
      <c r="D61" s="9">
        <v>14.8</v>
      </c>
      <c r="E61" s="10">
        <v>70</v>
      </c>
      <c r="F61" s="10" t="s">
        <v>229</v>
      </c>
      <c r="G61" s="7" t="s">
        <v>257</v>
      </c>
    </row>
    <row r="62" spans="1:7" x14ac:dyDescent="0.35">
      <c r="A62" s="7" t="s">
        <v>265</v>
      </c>
      <c r="B62" s="7" t="s">
        <v>79</v>
      </c>
      <c r="C62" s="7" t="s">
        <v>21</v>
      </c>
      <c r="D62" s="9">
        <v>18.05</v>
      </c>
      <c r="E62" s="10">
        <v>67</v>
      </c>
      <c r="F62" s="10" t="s">
        <v>229</v>
      </c>
      <c r="G62" s="7" t="s">
        <v>257</v>
      </c>
    </row>
    <row r="63" spans="1:7" x14ac:dyDescent="0.35">
      <c r="A63" s="7" t="s">
        <v>266</v>
      </c>
      <c r="B63" s="7" t="s">
        <v>80</v>
      </c>
      <c r="C63" s="7" t="s">
        <v>21</v>
      </c>
      <c r="D63" s="9">
        <v>21.4</v>
      </c>
      <c r="E63" s="10">
        <v>177</v>
      </c>
      <c r="F63" s="10" t="s">
        <v>229</v>
      </c>
      <c r="G63" s="7" t="s">
        <v>257</v>
      </c>
    </row>
    <row r="64" spans="1:7" x14ac:dyDescent="0.35">
      <c r="A64" s="7" t="s">
        <v>267</v>
      </c>
      <c r="B64" s="7" t="s">
        <v>81</v>
      </c>
      <c r="C64" s="7" t="s">
        <v>21</v>
      </c>
      <c r="D64" s="9">
        <v>17.549999999999997</v>
      </c>
      <c r="E64" s="10">
        <v>123</v>
      </c>
      <c r="F64" s="10" t="s">
        <v>229</v>
      </c>
      <c r="G64" s="7" t="s">
        <v>257</v>
      </c>
    </row>
    <row r="65" spans="1:7" x14ac:dyDescent="0.35">
      <c r="A65" s="7" t="s">
        <v>268</v>
      </c>
      <c r="B65" s="7" t="s">
        <v>82</v>
      </c>
      <c r="C65" s="7" t="s">
        <v>21</v>
      </c>
      <c r="D65" s="9">
        <v>25.774999999999999</v>
      </c>
      <c r="E65" s="10">
        <v>300</v>
      </c>
      <c r="F65" s="10" t="s">
        <v>229</v>
      </c>
      <c r="G65" s="7" t="s">
        <v>257</v>
      </c>
    </row>
    <row r="66" spans="1:7" x14ac:dyDescent="0.35">
      <c r="A66" s="7" t="s">
        <v>269</v>
      </c>
      <c r="B66" s="7" t="s">
        <v>83</v>
      </c>
      <c r="C66" s="7" t="s">
        <v>21</v>
      </c>
      <c r="D66" s="9">
        <v>19.04</v>
      </c>
      <c r="E66" s="10">
        <v>92</v>
      </c>
      <c r="F66" s="10" t="s">
        <v>229</v>
      </c>
      <c r="G66" s="7" t="s">
        <v>257</v>
      </c>
    </row>
    <row r="67" spans="1:7" x14ac:dyDescent="0.35">
      <c r="A67" s="7" t="s">
        <v>270</v>
      </c>
      <c r="B67" s="7" t="s">
        <v>84</v>
      </c>
      <c r="C67" s="7" t="s">
        <v>21</v>
      </c>
      <c r="D67" s="9">
        <v>22.27</v>
      </c>
      <c r="E67" s="10">
        <v>300</v>
      </c>
      <c r="F67" s="10" t="s">
        <v>229</v>
      </c>
      <c r="G67" s="7" t="s">
        <v>257</v>
      </c>
    </row>
    <row r="68" spans="1:7" x14ac:dyDescent="0.35">
      <c r="A68" s="7" t="s">
        <v>271</v>
      </c>
      <c r="B68" s="7" t="s">
        <v>85</v>
      </c>
      <c r="C68" s="7" t="s">
        <v>21</v>
      </c>
      <c r="D68" s="9">
        <v>22.75</v>
      </c>
      <c r="E68" s="10">
        <v>300</v>
      </c>
      <c r="F68" s="10" t="s">
        <v>229</v>
      </c>
      <c r="G68" s="7" t="s">
        <v>257</v>
      </c>
    </row>
    <row r="69" spans="1:7" x14ac:dyDescent="0.35">
      <c r="A69" s="7" t="s">
        <v>272</v>
      </c>
      <c r="B69" s="7" t="s">
        <v>86</v>
      </c>
      <c r="C69" s="7" t="s">
        <v>21</v>
      </c>
      <c r="D69" s="9">
        <v>22.695</v>
      </c>
      <c r="E69" s="10">
        <v>300</v>
      </c>
      <c r="F69" s="10" t="s">
        <v>229</v>
      </c>
      <c r="G69" s="7" t="s">
        <v>257</v>
      </c>
    </row>
    <row r="70" spans="1:7" x14ac:dyDescent="0.35">
      <c r="A70" s="7" t="s">
        <v>273</v>
      </c>
      <c r="B70" s="7" t="s">
        <v>87</v>
      </c>
      <c r="C70" s="7" t="s">
        <v>21</v>
      </c>
      <c r="D70" s="9">
        <v>20.895</v>
      </c>
      <c r="E70" s="10">
        <v>135</v>
      </c>
      <c r="F70" s="10" t="s">
        <v>229</v>
      </c>
      <c r="G70" s="7" t="s">
        <v>257</v>
      </c>
    </row>
    <row r="71" spans="1:7" x14ac:dyDescent="0.35">
      <c r="A71" s="7" t="s">
        <v>274</v>
      </c>
      <c r="B71" s="7" t="s">
        <v>88</v>
      </c>
      <c r="C71" s="7" t="s">
        <v>21</v>
      </c>
      <c r="D71" s="9">
        <v>23.615000000000002</v>
      </c>
      <c r="E71" s="10">
        <v>300</v>
      </c>
      <c r="F71" s="10" t="s">
        <v>229</v>
      </c>
      <c r="G71" s="7" t="s">
        <v>257</v>
      </c>
    </row>
    <row r="72" spans="1:7" x14ac:dyDescent="0.35">
      <c r="A72" s="7" t="s">
        <v>275</v>
      </c>
      <c r="B72" s="7" t="s">
        <v>89</v>
      </c>
      <c r="C72" s="7" t="s">
        <v>21</v>
      </c>
      <c r="D72" s="9">
        <v>17.29</v>
      </c>
      <c r="E72" s="10">
        <v>62</v>
      </c>
      <c r="F72" s="10" t="s">
        <v>229</v>
      </c>
      <c r="G72" s="7" t="s">
        <v>257</v>
      </c>
    </row>
    <row r="73" spans="1:7" x14ac:dyDescent="0.35">
      <c r="A73" s="7" t="s">
        <v>276</v>
      </c>
      <c r="B73" s="7" t="s">
        <v>90</v>
      </c>
      <c r="C73" s="7" t="s">
        <v>21</v>
      </c>
      <c r="D73" s="9">
        <v>21.009999999999998</v>
      </c>
      <c r="E73" s="10">
        <v>300</v>
      </c>
      <c r="F73" s="10" t="s">
        <v>229</v>
      </c>
      <c r="G73" s="7" t="s">
        <v>257</v>
      </c>
    </row>
    <row r="74" spans="1:7" x14ac:dyDescent="0.35">
      <c r="A74" s="7" t="s">
        <v>277</v>
      </c>
      <c r="B74" s="7" t="s">
        <v>91</v>
      </c>
      <c r="C74" s="7" t="s">
        <v>21</v>
      </c>
      <c r="D74" s="9">
        <v>20.145</v>
      </c>
      <c r="E74" s="10">
        <v>129</v>
      </c>
      <c r="F74" s="10" t="s">
        <v>229</v>
      </c>
      <c r="G74" s="7" t="s">
        <v>257</v>
      </c>
    </row>
    <row r="75" spans="1:7" x14ac:dyDescent="0.35">
      <c r="A75" s="7" t="s">
        <v>278</v>
      </c>
      <c r="B75" s="7" t="s">
        <v>92</v>
      </c>
      <c r="C75" s="7" t="s">
        <v>21</v>
      </c>
      <c r="D75" s="9">
        <v>20.085000000000001</v>
      </c>
      <c r="E75" s="10">
        <v>15</v>
      </c>
      <c r="F75" s="10" t="s">
        <v>229</v>
      </c>
      <c r="G75" s="7" t="s">
        <v>257</v>
      </c>
    </row>
    <row r="76" spans="1:7" x14ac:dyDescent="0.35">
      <c r="A76" s="7" t="s">
        <v>279</v>
      </c>
      <c r="B76" s="7" t="s">
        <v>93</v>
      </c>
      <c r="C76" s="7" t="s">
        <v>21</v>
      </c>
      <c r="D76" s="9">
        <v>19.645000000000003</v>
      </c>
      <c r="E76" s="10">
        <v>300</v>
      </c>
      <c r="F76" s="10" t="s">
        <v>229</v>
      </c>
      <c r="G76" s="7" t="s">
        <v>257</v>
      </c>
    </row>
    <row r="77" spans="1:7" x14ac:dyDescent="0.35">
      <c r="A77" s="7" t="s">
        <v>280</v>
      </c>
      <c r="B77" s="7" t="s">
        <v>94</v>
      </c>
      <c r="C77" s="7" t="s">
        <v>21</v>
      </c>
      <c r="D77" s="9">
        <v>18.84</v>
      </c>
      <c r="E77" s="10">
        <v>34</v>
      </c>
      <c r="F77" s="10" t="s">
        <v>229</v>
      </c>
      <c r="G77" s="7" t="s">
        <v>257</v>
      </c>
    </row>
    <row r="78" spans="1:7" x14ac:dyDescent="0.35">
      <c r="A78" s="7" t="s">
        <v>281</v>
      </c>
      <c r="B78" s="7" t="s">
        <v>94</v>
      </c>
      <c r="C78" s="7" t="s">
        <v>45</v>
      </c>
      <c r="D78" s="9">
        <v>19.559999999999999</v>
      </c>
      <c r="E78" s="10">
        <v>67</v>
      </c>
      <c r="F78" s="10" t="s">
        <v>229</v>
      </c>
      <c r="G78" s="7" t="s">
        <v>257</v>
      </c>
    </row>
    <row r="79" spans="1:7" x14ac:dyDescent="0.35">
      <c r="A79" s="7" t="s">
        <v>282</v>
      </c>
      <c r="B79" s="7" t="s">
        <v>94</v>
      </c>
      <c r="C79" s="7" t="s">
        <v>46</v>
      </c>
      <c r="D79" s="9">
        <v>17.27</v>
      </c>
      <c r="E79" s="10">
        <v>26</v>
      </c>
      <c r="F79" s="10" t="s">
        <v>229</v>
      </c>
      <c r="G79" s="7" t="s">
        <v>257</v>
      </c>
    </row>
    <row r="80" spans="1:7" x14ac:dyDescent="0.35">
      <c r="A80" s="7" t="s">
        <v>283</v>
      </c>
      <c r="B80" s="7" t="s">
        <v>95</v>
      </c>
      <c r="C80" s="7" t="s">
        <v>21</v>
      </c>
      <c r="D80" s="9">
        <v>21.765000000000001</v>
      </c>
      <c r="E80" s="10">
        <v>300</v>
      </c>
      <c r="F80" s="10" t="s">
        <v>229</v>
      </c>
      <c r="G80" s="7" t="s">
        <v>284</v>
      </c>
    </row>
    <row r="81" spans="1:7" x14ac:dyDescent="0.35">
      <c r="A81" s="7" t="s">
        <v>285</v>
      </c>
      <c r="B81" s="7" t="s">
        <v>96</v>
      </c>
      <c r="C81" s="7" t="s">
        <v>21</v>
      </c>
      <c r="D81" s="9">
        <v>17.079999999999998</v>
      </c>
      <c r="E81" s="10">
        <v>115</v>
      </c>
      <c r="F81" s="10" t="s">
        <v>229</v>
      </c>
      <c r="G81" s="7" t="s">
        <v>284</v>
      </c>
    </row>
    <row r="82" spans="1:7" x14ac:dyDescent="0.35">
      <c r="A82" s="7" t="s">
        <v>286</v>
      </c>
      <c r="B82" s="7" t="s">
        <v>97</v>
      </c>
      <c r="C82" s="7" t="s">
        <v>21</v>
      </c>
      <c r="D82" s="9">
        <v>17.75</v>
      </c>
      <c r="E82" s="10">
        <v>89</v>
      </c>
      <c r="F82" s="10" t="s">
        <v>229</v>
      </c>
      <c r="G82" s="7" t="s">
        <v>284</v>
      </c>
    </row>
    <row r="83" spans="1:7" x14ac:dyDescent="0.35">
      <c r="A83" s="7" t="s">
        <v>287</v>
      </c>
      <c r="B83" s="7" t="s">
        <v>98</v>
      </c>
      <c r="C83" s="7" t="s">
        <v>21</v>
      </c>
      <c r="D83" s="9">
        <v>20.45</v>
      </c>
      <c r="E83" s="10">
        <v>131</v>
      </c>
      <c r="F83" s="10" t="s">
        <v>229</v>
      </c>
      <c r="G83" s="7" t="s">
        <v>284</v>
      </c>
    </row>
    <row r="84" spans="1:7" x14ac:dyDescent="0.35">
      <c r="A84" s="7" t="s">
        <v>288</v>
      </c>
      <c r="B84" s="7" t="s">
        <v>99</v>
      </c>
      <c r="C84" s="7" t="s">
        <v>21</v>
      </c>
      <c r="D84" s="9">
        <v>17.16</v>
      </c>
      <c r="E84" s="10">
        <v>86</v>
      </c>
      <c r="F84" s="10" t="s">
        <v>229</v>
      </c>
      <c r="G84" s="7" t="s">
        <v>284</v>
      </c>
    </row>
    <row r="85" spans="1:7" x14ac:dyDescent="0.35">
      <c r="A85" s="7" t="s">
        <v>289</v>
      </c>
      <c r="B85" s="7" t="s">
        <v>100</v>
      </c>
      <c r="C85" s="7" t="s">
        <v>21</v>
      </c>
      <c r="D85" s="9">
        <v>18.02</v>
      </c>
      <c r="E85" s="10">
        <v>300</v>
      </c>
      <c r="F85" s="10" t="s">
        <v>229</v>
      </c>
      <c r="G85" s="7" t="s">
        <v>284</v>
      </c>
    </row>
    <row r="86" spans="1:7" x14ac:dyDescent="0.35">
      <c r="A86" s="7" t="s">
        <v>290</v>
      </c>
      <c r="B86" s="7" t="s">
        <v>101</v>
      </c>
      <c r="C86" s="7" t="s">
        <v>21</v>
      </c>
      <c r="D86" s="9">
        <v>20.574999999999999</v>
      </c>
      <c r="E86" s="10">
        <v>200</v>
      </c>
      <c r="F86" s="10" t="s">
        <v>229</v>
      </c>
      <c r="G86" s="7" t="s">
        <v>284</v>
      </c>
    </row>
    <row r="87" spans="1:7" x14ac:dyDescent="0.35">
      <c r="A87" s="7" t="s">
        <v>291</v>
      </c>
      <c r="B87" s="7" t="s">
        <v>102</v>
      </c>
      <c r="C87" s="7" t="s">
        <v>21</v>
      </c>
      <c r="D87" s="9">
        <v>19.924999999999997</v>
      </c>
      <c r="E87" s="10">
        <v>300</v>
      </c>
      <c r="F87" s="10" t="s">
        <v>229</v>
      </c>
      <c r="G87" s="7" t="s">
        <v>284</v>
      </c>
    </row>
    <row r="88" spans="1:7" x14ac:dyDescent="0.35">
      <c r="A88" s="7" t="s">
        <v>292</v>
      </c>
      <c r="B88" s="7" t="s">
        <v>103</v>
      </c>
      <c r="C88" s="7" t="s">
        <v>21</v>
      </c>
      <c r="D88" s="9">
        <v>21.384999999999998</v>
      </c>
      <c r="E88" s="10">
        <v>300</v>
      </c>
      <c r="F88" s="10" t="s">
        <v>229</v>
      </c>
      <c r="G88" s="7" t="s">
        <v>284</v>
      </c>
    </row>
    <row r="89" spans="1:7" x14ac:dyDescent="0.35">
      <c r="A89" s="7" t="s">
        <v>293</v>
      </c>
      <c r="B89" s="7" t="s">
        <v>104</v>
      </c>
      <c r="C89" s="7" t="s">
        <v>21</v>
      </c>
      <c r="D89" s="9">
        <v>23.189999999999998</v>
      </c>
      <c r="E89" s="10">
        <v>300</v>
      </c>
      <c r="F89" s="10" t="s">
        <v>229</v>
      </c>
      <c r="G89" s="7" t="s">
        <v>284</v>
      </c>
    </row>
    <row r="90" spans="1:7" x14ac:dyDescent="0.35">
      <c r="A90" s="7" t="s">
        <v>294</v>
      </c>
      <c r="B90" s="7" t="s">
        <v>105</v>
      </c>
      <c r="C90" s="7" t="s">
        <v>21</v>
      </c>
      <c r="D90" s="9">
        <v>16.759999999999998</v>
      </c>
      <c r="E90" s="10">
        <v>135</v>
      </c>
      <c r="F90" s="10" t="s">
        <v>229</v>
      </c>
      <c r="G90" s="7" t="s">
        <v>284</v>
      </c>
    </row>
    <row r="91" spans="1:7" x14ac:dyDescent="0.35">
      <c r="A91" s="7" t="s">
        <v>295</v>
      </c>
      <c r="B91" s="7" t="s">
        <v>106</v>
      </c>
      <c r="C91" s="7" t="s">
        <v>21</v>
      </c>
      <c r="D91" s="9">
        <v>21.64</v>
      </c>
      <c r="E91" s="10">
        <v>300</v>
      </c>
      <c r="F91" s="10" t="s">
        <v>229</v>
      </c>
      <c r="G91" s="7" t="s">
        <v>284</v>
      </c>
    </row>
    <row r="92" spans="1:7" x14ac:dyDescent="0.35">
      <c r="A92" s="7" t="s">
        <v>296</v>
      </c>
      <c r="B92" s="7" t="s">
        <v>107</v>
      </c>
      <c r="C92" s="7" t="s">
        <v>21</v>
      </c>
      <c r="D92" s="9">
        <v>17.695</v>
      </c>
      <c r="E92" s="10">
        <v>150</v>
      </c>
      <c r="F92" s="10" t="s">
        <v>229</v>
      </c>
      <c r="G92" s="7" t="s">
        <v>284</v>
      </c>
    </row>
    <row r="93" spans="1:7" x14ac:dyDescent="0.35">
      <c r="A93" s="7" t="s">
        <v>297</v>
      </c>
      <c r="B93" s="7" t="s">
        <v>108</v>
      </c>
      <c r="C93" s="7" t="s">
        <v>21</v>
      </c>
      <c r="D93" s="9">
        <v>19.155000000000001</v>
      </c>
      <c r="E93" s="10">
        <v>300</v>
      </c>
      <c r="F93" s="10" t="s">
        <v>229</v>
      </c>
      <c r="G93" s="7" t="s">
        <v>284</v>
      </c>
    </row>
    <row r="94" spans="1:7" x14ac:dyDescent="0.35">
      <c r="A94" s="7" t="s">
        <v>298</v>
      </c>
      <c r="B94" s="7" t="s">
        <v>109</v>
      </c>
      <c r="C94" s="7" t="s">
        <v>21</v>
      </c>
      <c r="D94" s="9">
        <v>17.420000000000002</v>
      </c>
      <c r="E94" s="10">
        <v>81</v>
      </c>
      <c r="F94" s="10" t="s">
        <v>229</v>
      </c>
      <c r="G94" s="7" t="s">
        <v>284</v>
      </c>
    </row>
    <row r="95" spans="1:7" x14ac:dyDescent="0.35">
      <c r="A95" s="7" t="s">
        <v>299</v>
      </c>
      <c r="B95" s="7" t="s">
        <v>110</v>
      </c>
      <c r="C95" s="7" t="s">
        <v>21</v>
      </c>
      <c r="D95" s="9">
        <v>18.045000000000002</v>
      </c>
      <c r="E95" s="10">
        <v>48</v>
      </c>
      <c r="F95" s="10" t="s">
        <v>229</v>
      </c>
      <c r="G95" s="7" t="s">
        <v>284</v>
      </c>
    </row>
    <row r="96" spans="1:7" x14ac:dyDescent="0.35">
      <c r="A96" s="7" t="s">
        <v>300</v>
      </c>
      <c r="B96" s="7" t="s">
        <v>131</v>
      </c>
      <c r="C96" s="7" t="s">
        <v>21</v>
      </c>
      <c r="D96" s="9">
        <v>18.61</v>
      </c>
      <c r="E96" s="10">
        <v>128</v>
      </c>
      <c r="F96" s="10" t="s">
        <v>229</v>
      </c>
      <c r="G96" s="7" t="s">
        <v>284</v>
      </c>
    </row>
    <row r="97" spans="1:7" x14ac:dyDescent="0.35">
      <c r="A97" s="7" t="s">
        <v>301</v>
      </c>
      <c r="B97" s="7" t="s">
        <v>132</v>
      </c>
      <c r="C97" s="7" t="s">
        <v>21</v>
      </c>
      <c r="D97" s="9">
        <v>17.96</v>
      </c>
      <c r="E97" s="10">
        <v>92</v>
      </c>
      <c r="F97" s="10" t="s">
        <v>229</v>
      </c>
      <c r="G97" s="7" t="s">
        <v>284</v>
      </c>
    </row>
    <row r="98" spans="1:7" x14ac:dyDescent="0.35">
      <c r="A98" s="7" t="s">
        <v>302</v>
      </c>
      <c r="B98" s="7" t="s">
        <v>133</v>
      </c>
      <c r="C98" s="7" t="s">
        <v>21</v>
      </c>
      <c r="D98" s="9">
        <v>20.015000000000001</v>
      </c>
      <c r="E98" s="10">
        <v>98</v>
      </c>
      <c r="F98" s="10" t="s">
        <v>229</v>
      </c>
      <c r="G98" s="7" t="s">
        <v>284</v>
      </c>
    </row>
    <row r="99" spans="1:7" x14ac:dyDescent="0.35">
      <c r="A99" s="7" t="s">
        <v>303</v>
      </c>
      <c r="B99" s="7" t="s">
        <v>134</v>
      </c>
      <c r="C99" s="7" t="s">
        <v>21</v>
      </c>
      <c r="D99" s="9">
        <v>19.799999999999997</v>
      </c>
      <c r="E99" s="10">
        <v>107</v>
      </c>
      <c r="F99" s="10" t="s">
        <v>229</v>
      </c>
      <c r="G99" s="7" t="s">
        <v>284</v>
      </c>
    </row>
    <row r="100" spans="1:7" x14ac:dyDescent="0.35">
      <c r="A100" s="7" t="s">
        <v>304</v>
      </c>
      <c r="B100" s="7" t="s">
        <v>135</v>
      </c>
      <c r="C100" s="7" t="s">
        <v>21</v>
      </c>
      <c r="D100" s="9">
        <v>18.675000000000001</v>
      </c>
      <c r="E100" s="10">
        <v>200</v>
      </c>
      <c r="F100" s="10" t="s">
        <v>229</v>
      </c>
      <c r="G100" s="7" t="s">
        <v>284</v>
      </c>
    </row>
    <row r="101" spans="1:7" x14ac:dyDescent="0.35">
      <c r="A101" s="7" t="s">
        <v>305</v>
      </c>
      <c r="B101" s="7" t="s">
        <v>136</v>
      </c>
      <c r="C101" s="7" t="s">
        <v>21</v>
      </c>
      <c r="D101" s="9">
        <v>20.645000000000003</v>
      </c>
      <c r="E101" s="10">
        <v>300</v>
      </c>
      <c r="F101" s="10" t="s">
        <v>229</v>
      </c>
      <c r="G101" s="7" t="s">
        <v>284</v>
      </c>
    </row>
    <row r="102" spans="1:7" x14ac:dyDescent="0.35">
      <c r="A102" s="7" t="s">
        <v>306</v>
      </c>
      <c r="B102" s="7" t="s">
        <v>137</v>
      </c>
      <c r="C102" s="7" t="s">
        <v>21</v>
      </c>
      <c r="D102" s="9">
        <v>19.27</v>
      </c>
      <c r="E102" s="10">
        <v>300</v>
      </c>
      <c r="F102" s="10" t="s">
        <v>229</v>
      </c>
      <c r="G102" s="7" t="s">
        <v>284</v>
      </c>
    </row>
    <row r="103" spans="1:7" x14ac:dyDescent="0.35">
      <c r="A103" s="7" t="s">
        <v>307</v>
      </c>
      <c r="B103" s="7" t="s">
        <v>138</v>
      </c>
      <c r="C103" s="7" t="s">
        <v>21</v>
      </c>
      <c r="D103" s="9">
        <v>20.28</v>
      </c>
      <c r="E103" s="10">
        <v>300</v>
      </c>
      <c r="F103" s="10" t="s">
        <v>229</v>
      </c>
      <c r="G103" s="7" t="s">
        <v>284</v>
      </c>
    </row>
    <row r="104" spans="1:7" x14ac:dyDescent="0.35">
      <c r="A104" s="7" t="s">
        <v>308</v>
      </c>
      <c r="B104" s="7" t="s">
        <v>138</v>
      </c>
      <c r="C104" s="7" t="s">
        <v>45</v>
      </c>
      <c r="D104" s="9">
        <v>22.536666666666665</v>
      </c>
      <c r="E104" s="10">
        <v>300</v>
      </c>
      <c r="F104" s="10" t="s">
        <v>229</v>
      </c>
      <c r="G104" s="7" t="s">
        <v>284</v>
      </c>
    </row>
    <row r="105" spans="1:7" x14ac:dyDescent="0.35">
      <c r="A105" s="7" t="s">
        <v>309</v>
      </c>
      <c r="B105" s="7" t="s">
        <v>138</v>
      </c>
      <c r="C105" s="7" t="s">
        <v>46</v>
      </c>
      <c r="D105" s="9">
        <v>22.483333333333334</v>
      </c>
      <c r="E105" s="10">
        <v>300</v>
      </c>
      <c r="F105" s="10" t="s">
        <v>229</v>
      </c>
      <c r="G105" s="7" t="s">
        <v>284</v>
      </c>
    </row>
    <row r="106" spans="1:7" x14ac:dyDescent="0.35">
      <c r="A106" s="7" t="s">
        <v>310</v>
      </c>
      <c r="B106" s="7" t="s">
        <v>111</v>
      </c>
      <c r="C106" s="7" t="s">
        <v>21</v>
      </c>
      <c r="D106" s="9">
        <v>17.619999999999997</v>
      </c>
      <c r="E106" s="10">
        <v>90</v>
      </c>
      <c r="F106" s="10" t="s">
        <v>229</v>
      </c>
      <c r="G106" s="7" t="s">
        <v>311</v>
      </c>
    </row>
    <row r="107" spans="1:7" x14ac:dyDescent="0.35">
      <c r="A107" s="7" t="s">
        <v>312</v>
      </c>
      <c r="B107" s="7" t="s">
        <v>112</v>
      </c>
      <c r="C107" s="7" t="s">
        <v>21</v>
      </c>
      <c r="D107" s="9">
        <v>16.579999999999998</v>
      </c>
      <c r="E107" s="10">
        <v>101</v>
      </c>
      <c r="F107" s="10" t="s">
        <v>229</v>
      </c>
      <c r="G107" s="7" t="s">
        <v>311</v>
      </c>
    </row>
    <row r="108" spans="1:7" x14ac:dyDescent="0.35">
      <c r="A108" s="7" t="s">
        <v>313</v>
      </c>
      <c r="B108" s="7" t="s">
        <v>113</v>
      </c>
      <c r="C108" s="7" t="s">
        <v>21</v>
      </c>
      <c r="D108" s="9">
        <v>16.704999999999998</v>
      </c>
      <c r="E108" s="10">
        <v>55</v>
      </c>
      <c r="F108" s="10" t="s">
        <v>229</v>
      </c>
      <c r="G108" s="7" t="s">
        <v>311</v>
      </c>
    </row>
    <row r="109" spans="1:7" x14ac:dyDescent="0.35">
      <c r="A109" s="7" t="s">
        <v>314</v>
      </c>
      <c r="B109" s="7" t="s">
        <v>114</v>
      </c>
      <c r="C109" s="7" t="s">
        <v>21</v>
      </c>
      <c r="D109" s="9">
        <v>17.64</v>
      </c>
      <c r="E109" s="10">
        <v>35</v>
      </c>
      <c r="F109" s="10" t="s">
        <v>229</v>
      </c>
      <c r="G109" s="7" t="s">
        <v>311</v>
      </c>
    </row>
    <row r="110" spans="1:7" x14ac:dyDescent="0.35">
      <c r="A110" s="7" t="s">
        <v>315</v>
      </c>
      <c r="B110" s="7" t="s">
        <v>115</v>
      </c>
      <c r="C110" s="7" t="s">
        <v>21</v>
      </c>
      <c r="D110" s="9">
        <v>19.170000000000002</v>
      </c>
      <c r="E110" s="10">
        <v>175</v>
      </c>
      <c r="F110" s="10" t="s">
        <v>229</v>
      </c>
      <c r="G110" s="7" t="s">
        <v>311</v>
      </c>
    </row>
    <row r="111" spans="1:7" x14ac:dyDescent="0.35">
      <c r="A111" s="7" t="s">
        <v>316</v>
      </c>
      <c r="B111" s="7" t="s">
        <v>116</v>
      </c>
      <c r="C111" s="7" t="s">
        <v>21</v>
      </c>
      <c r="D111" s="9">
        <v>18.87</v>
      </c>
      <c r="E111" s="10">
        <v>300</v>
      </c>
      <c r="F111" s="10" t="s">
        <v>229</v>
      </c>
      <c r="G111" s="7" t="s">
        <v>311</v>
      </c>
    </row>
    <row r="112" spans="1:7" x14ac:dyDescent="0.35">
      <c r="A112" s="7" t="s">
        <v>317</v>
      </c>
      <c r="B112" s="7" t="s">
        <v>117</v>
      </c>
      <c r="C112" s="7" t="s">
        <v>21</v>
      </c>
      <c r="D112" s="9">
        <v>19.02</v>
      </c>
      <c r="E112" s="10">
        <v>175</v>
      </c>
      <c r="F112" s="10" t="s">
        <v>229</v>
      </c>
      <c r="G112" s="7" t="s">
        <v>311</v>
      </c>
    </row>
    <row r="113" spans="1:7" x14ac:dyDescent="0.35">
      <c r="A113" s="7" t="s">
        <v>318</v>
      </c>
      <c r="B113" s="7" t="s">
        <v>118</v>
      </c>
      <c r="C113" s="7" t="s">
        <v>21</v>
      </c>
      <c r="D113" s="9">
        <v>17.630000000000003</v>
      </c>
      <c r="E113" s="10">
        <v>45</v>
      </c>
      <c r="F113" s="10" t="s">
        <v>229</v>
      </c>
      <c r="G113" s="7" t="s">
        <v>311</v>
      </c>
    </row>
    <row r="114" spans="1:7" x14ac:dyDescent="0.35">
      <c r="A114" s="7" t="s">
        <v>319</v>
      </c>
      <c r="B114" s="7" t="s">
        <v>139</v>
      </c>
      <c r="C114" s="7" t="s">
        <v>21</v>
      </c>
      <c r="D114" s="9">
        <v>17.545000000000002</v>
      </c>
      <c r="E114" s="10">
        <v>78</v>
      </c>
      <c r="F114" s="10" t="s">
        <v>229</v>
      </c>
      <c r="G114" s="7" t="s">
        <v>311</v>
      </c>
    </row>
    <row r="115" spans="1:7" x14ac:dyDescent="0.35">
      <c r="A115" s="7" t="s">
        <v>320</v>
      </c>
      <c r="B115" s="7" t="s">
        <v>140</v>
      </c>
      <c r="C115" s="7" t="s">
        <v>21</v>
      </c>
      <c r="D115" s="9">
        <v>17.925000000000001</v>
      </c>
      <c r="E115" s="10">
        <v>94</v>
      </c>
      <c r="F115" s="10" t="s">
        <v>229</v>
      </c>
      <c r="G115" s="7" t="s">
        <v>311</v>
      </c>
    </row>
    <row r="116" spans="1:7" x14ac:dyDescent="0.35">
      <c r="A116" s="7" t="s">
        <v>321</v>
      </c>
      <c r="B116" s="7" t="s">
        <v>141</v>
      </c>
      <c r="C116" s="7" t="s">
        <v>21</v>
      </c>
      <c r="D116" s="9">
        <v>18</v>
      </c>
      <c r="E116" s="10">
        <v>150</v>
      </c>
      <c r="F116" s="10" t="s">
        <v>229</v>
      </c>
      <c r="G116" s="7" t="s">
        <v>311</v>
      </c>
    </row>
    <row r="117" spans="1:7" x14ac:dyDescent="0.35">
      <c r="A117" s="7" t="s">
        <v>322</v>
      </c>
      <c r="B117" s="7" t="s">
        <v>142</v>
      </c>
      <c r="C117" s="7" t="s">
        <v>21</v>
      </c>
      <c r="D117" s="9">
        <v>17.725000000000001</v>
      </c>
      <c r="E117" s="10">
        <v>64</v>
      </c>
      <c r="F117" s="10" t="s">
        <v>229</v>
      </c>
      <c r="G117" s="7" t="s">
        <v>311</v>
      </c>
    </row>
    <row r="118" spans="1:7" x14ac:dyDescent="0.35">
      <c r="A118" s="7" t="s">
        <v>323</v>
      </c>
      <c r="B118" s="7" t="s">
        <v>143</v>
      </c>
      <c r="C118" s="7" t="s">
        <v>21</v>
      </c>
      <c r="D118" s="9">
        <v>21.594999999999999</v>
      </c>
      <c r="E118" s="10">
        <v>57</v>
      </c>
      <c r="F118" s="10" t="s">
        <v>229</v>
      </c>
      <c r="G118" s="7" t="s">
        <v>311</v>
      </c>
    </row>
    <row r="119" spans="1:7" x14ac:dyDescent="0.35">
      <c r="A119" s="7" t="s">
        <v>324</v>
      </c>
      <c r="B119" s="7" t="s">
        <v>144</v>
      </c>
      <c r="C119" s="7" t="s">
        <v>21</v>
      </c>
      <c r="D119" s="9">
        <v>18.454999999999998</v>
      </c>
      <c r="E119" s="10">
        <v>62</v>
      </c>
      <c r="F119" s="10" t="s">
        <v>229</v>
      </c>
      <c r="G119" s="7" t="s">
        <v>311</v>
      </c>
    </row>
    <row r="120" spans="1:7" x14ac:dyDescent="0.35">
      <c r="A120" s="7" t="s">
        <v>325</v>
      </c>
      <c r="B120" s="7" t="s">
        <v>145</v>
      </c>
      <c r="C120" s="7" t="s">
        <v>21</v>
      </c>
      <c r="D120" s="9">
        <v>18.524999999999999</v>
      </c>
      <c r="E120" s="10">
        <v>35</v>
      </c>
      <c r="F120" s="10" t="s">
        <v>229</v>
      </c>
      <c r="G120" s="7" t="s">
        <v>311</v>
      </c>
    </row>
    <row r="121" spans="1:7" x14ac:dyDescent="0.35">
      <c r="A121" s="7" t="s">
        <v>326</v>
      </c>
      <c r="B121" s="7" t="s">
        <v>146</v>
      </c>
      <c r="C121" s="7" t="s">
        <v>21</v>
      </c>
      <c r="D121" s="9">
        <v>17.21</v>
      </c>
      <c r="E121" s="10">
        <v>65</v>
      </c>
      <c r="F121" s="10" t="s">
        <v>229</v>
      </c>
      <c r="G121" s="7" t="s">
        <v>311</v>
      </c>
    </row>
    <row r="122" spans="1:7" x14ac:dyDescent="0.35">
      <c r="A122" s="7" t="s">
        <v>327</v>
      </c>
      <c r="B122" s="7" t="s">
        <v>147</v>
      </c>
      <c r="C122" s="7" t="s">
        <v>21</v>
      </c>
      <c r="D122" s="9">
        <v>17.174999999999997</v>
      </c>
      <c r="E122" s="10">
        <v>45</v>
      </c>
      <c r="F122" s="10" t="s">
        <v>229</v>
      </c>
      <c r="G122" s="7" t="s">
        <v>311</v>
      </c>
    </row>
    <row r="123" spans="1:7" x14ac:dyDescent="0.35">
      <c r="A123" s="7" t="s">
        <v>328</v>
      </c>
      <c r="B123" s="7" t="s">
        <v>148</v>
      </c>
      <c r="C123" s="7" t="s">
        <v>21</v>
      </c>
      <c r="D123" s="9">
        <v>19.009999999999998</v>
      </c>
      <c r="E123" s="10">
        <v>60</v>
      </c>
      <c r="F123" s="10" t="s">
        <v>229</v>
      </c>
      <c r="G123" s="7" t="s">
        <v>311</v>
      </c>
    </row>
    <row r="124" spans="1:7" x14ac:dyDescent="0.35">
      <c r="A124" s="7" t="s">
        <v>329</v>
      </c>
      <c r="B124" s="7" t="s">
        <v>149</v>
      </c>
      <c r="C124" s="7" t="s">
        <v>21</v>
      </c>
      <c r="D124" s="9">
        <v>16.664999999999999</v>
      </c>
      <c r="E124" s="10">
        <v>47</v>
      </c>
      <c r="F124" s="10" t="s">
        <v>229</v>
      </c>
      <c r="G124" s="7" t="s">
        <v>311</v>
      </c>
    </row>
    <row r="125" spans="1:7" x14ac:dyDescent="0.35">
      <c r="A125" s="7" t="s">
        <v>330</v>
      </c>
      <c r="B125" s="7" t="s">
        <v>150</v>
      </c>
      <c r="C125" s="7" t="s">
        <v>21</v>
      </c>
      <c r="D125" s="9">
        <v>18.524999999999999</v>
      </c>
      <c r="E125" s="10">
        <v>55</v>
      </c>
      <c r="F125" s="10" t="s">
        <v>229</v>
      </c>
      <c r="G125" s="7" t="s">
        <v>311</v>
      </c>
    </row>
    <row r="126" spans="1:7" x14ac:dyDescent="0.35">
      <c r="A126" s="7" t="s">
        <v>331</v>
      </c>
      <c r="B126" s="7" t="s">
        <v>151</v>
      </c>
      <c r="C126" s="7" t="s">
        <v>21</v>
      </c>
      <c r="D126" s="9">
        <v>17.704999999999998</v>
      </c>
      <c r="E126" s="10">
        <v>127</v>
      </c>
      <c r="F126" s="10" t="s">
        <v>229</v>
      </c>
      <c r="G126" s="7" t="s">
        <v>311</v>
      </c>
    </row>
    <row r="127" spans="1:7" x14ac:dyDescent="0.35">
      <c r="A127" s="7" t="s">
        <v>332</v>
      </c>
      <c r="B127" s="7" t="s">
        <v>152</v>
      </c>
      <c r="C127" s="7" t="s">
        <v>21</v>
      </c>
      <c r="D127" s="9">
        <v>16.225000000000001</v>
      </c>
      <c r="E127" s="10">
        <v>135</v>
      </c>
      <c r="F127" s="10" t="s">
        <v>229</v>
      </c>
      <c r="G127" s="7" t="s">
        <v>311</v>
      </c>
    </row>
    <row r="128" spans="1:7" x14ac:dyDescent="0.35">
      <c r="A128" s="7" t="s">
        <v>333</v>
      </c>
      <c r="B128" s="7" t="s">
        <v>153</v>
      </c>
      <c r="C128" s="7" t="s">
        <v>21</v>
      </c>
      <c r="D128" s="9">
        <v>17.059999999999999</v>
      </c>
      <c r="E128" s="10">
        <v>153</v>
      </c>
      <c r="F128" s="10" t="s">
        <v>229</v>
      </c>
      <c r="G128" s="7" t="s">
        <v>311</v>
      </c>
    </row>
    <row r="129" spans="1:7" x14ac:dyDescent="0.35">
      <c r="A129" s="7" t="s">
        <v>334</v>
      </c>
      <c r="B129" s="7" t="s">
        <v>154</v>
      </c>
      <c r="C129" s="7" t="s">
        <v>21</v>
      </c>
      <c r="D129" s="9">
        <v>16.865000000000002</v>
      </c>
      <c r="E129" s="10">
        <v>90</v>
      </c>
      <c r="F129" s="10" t="s">
        <v>229</v>
      </c>
      <c r="G129" s="7" t="s">
        <v>311</v>
      </c>
    </row>
    <row r="130" spans="1:7" x14ac:dyDescent="0.35">
      <c r="A130" s="7" t="s">
        <v>335</v>
      </c>
      <c r="B130" s="7" t="s">
        <v>154</v>
      </c>
      <c r="C130" s="7" t="s">
        <v>45</v>
      </c>
      <c r="D130" s="9">
        <v>17.592499999999998</v>
      </c>
      <c r="E130" s="10">
        <v>50</v>
      </c>
      <c r="F130" s="10" t="s">
        <v>229</v>
      </c>
      <c r="G130" s="7" t="s">
        <v>311</v>
      </c>
    </row>
    <row r="131" spans="1:7" x14ac:dyDescent="0.35">
      <c r="A131" s="7" t="s">
        <v>336</v>
      </c>
      <c r="B131" s="7" t="s">
        <v>154</v>
      </c>
      <c r="C131" s="7" t="s">
        <v>46</v>
      </c>
      <c r="D131" s="9">
        <v>17.759999999999998</v>
      </c>
      <c r="E131" s="10">
        <v>60</v>
      </c>
      <c r="F131" s="10" t="s">
        <v>229</v>
      </c>
      <c r="G131" s="7" t="s">
        <v>311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8.6配料测试汇总</vt:lpstr>
      <vt:lpstr>换算明细</vt:lpstr>
      <vt:lpstr>测试原始数据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毅成 李</cp:lastModifiedBy>
  <dcterms:modified xsi:type="dcterms:W3CDTF">2026-08-17T03:41:21Z</dcterms:modified>
</cp:coreProperties>
</file>