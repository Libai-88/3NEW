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  <Override PartName="/xl/drawings/drawing_wm4.xml" ContentType="application/vnd.openxmlformats-officedocument.drawing+xml"/>
  <Override PartName="/xl/drawings/drawing_wm5.xml" ContentType="application/vnd.openxmlformats-officedocument.drawing+xml"/>
  <Override PartName="/xl/drawings/drawing_wm6.xml" ContentType="application/vnd.openxmlformats-officedocument.drawing+xml"/>
  <Override PartName="/xl/drawings/drawing_wm7.xml" ContentType="application/vnd.openxmlformats-officedocument.drawing+xml"/>
  <Override PartName="/xl/drawings/drawing_wm8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原料主数据" sheetId="2" state="visible" r:id="rId2"/>
    <sheet xmlns:r="http://schemas.openxmlformats.org/officeDocument/2006/relationships" name="配方明细" sheetId="3" state="visible" r:id="rId3"/>
    <sheet xmlns:r="http://schemas.openxmlformats.org/officeDocument/2006/relationships" name="性能结果" sheetId="4" state="visible" r:id="rId4"/>
    <sheet xmlns:r="http://schemas.openxmlformats.org/officeDocument/2006/relationships" name="工艺条件" sheetId="5" state="visible" r:id="rId5"/>
    <sheet xmlns:r="http://schemas.openxmlformats.org/officeDocument/2006/relationships" name="配方级描述符" sheetId="6" state="visible" r:id="rId6"/>
    <sheet xmlns:r="http://schemas.openxmlformats.org/officeDocument/2006/relationships" name="建模输入" sheetId="7" state="visible" r:id="rId7"/>
    <sheet xmlns:r="http://schemas.openxmlformats.org/officeDocument/2006/relationships" name="数据字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2937"/>
      <sz val="14"/>
    </font>
    <font>
      <name val="Arial"/>
      <charset val="1"/>
      <family val="0"/>
      <b val="1"/>
      <color rgb="FF1F2937"/>
      <sz val="14"/>
    </font>
    <font>
      <name val="Arial"/>
      <charset val="1"/>
      <family val="0"/>
      <sz val="10"/>
    </font>
    <font>
      <name val="Noto Sans CJK SC"/>
      <family val="2"/>
      <b val="1"/>
      <sz val="10"/>
    </font>
    <font>
      <name val="Arial"/>
      <charset val="1"/>
      <family val="0"/>
      <b val="1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E3F5EA"/>
      </patternFill>
    </fill>
    <fill>
      <patternFill patternType="solid">
        <fgColor rgb="FFFFFFFF"/>
        <bgColor rgb="FFF7F9FC"/>
      </patternFill>
    </fill>
    <fill>
      <patternFill patternType="solid">
        <fgColor rgb="FFE3F5EA"/>
        <bgColor rgb="FFEAF2FF"/>
      </patternFill>
    </fill>
    <fill>
      <patternFill patternType="solid">
        <fgColor rgb="FFFFF1DE"/>
        <bgColor rgb="FFF7F9FC"/>
      </patternFill>
    </fill>
  </fills>
  <borders count="2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general" vertical="center" wrapText="1"/>
    </xf>
    <xf numFmtId="0" fontId="11" fillId="3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6" fillId="5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11" fillId="4" borderId="1" applyAlignment="1" pivotButton="0" quotePrefix="0" xfId="0">
      <alignment horizontal="general" vertical="center" wrapText="1"/>
    </xf>
    <xf numFmtId="0" fontId="11" fillId="7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12" fillId="0" borderId="0" applyAlignment="1" pivotButton="0" quotePrefix="0" xfId="0">
      <alignment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general" vertical="center" wrapText="1"/>
    </xf>
    <xf numFmtId="0" fontId="11" fillId="3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6" fillId="5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11" fillId="4" borderId="1" applyAlignment="1" pivotButton="0" quotePrefix="0" xfId="0">
      <alignment horizontal="general" vertical="center" wrapText="1"/>
    </xf>
    <xf numFmtId="0" fontId="11" fillId="7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1DE"/>
      <rgbColor rgb="FFE3F5EA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F"/>
      <rgbColor rgb="FFF7F9F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_rels/sheet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3.xml"/>
</Relationships>
</file>

<file path=xl/worksheets/_rels/sheet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4.xml"/>
</Relationships>
</file>

<file path=xl/worksheets/_rels/sheet5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5.xml"/>
</Relationships>
</file>

<file path=xl/worksheets/_rels/sheet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6.xml"/>
</Relationships>
</file>

<file path=xl/worksheets/_rels/sheet7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7.xml"/>
</Relationships>
</file>

<file path=xl/worksheets/_rels/sheet8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8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B1:B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14" min="1" max="1"/>
    <col width="120" customWidth="1" style="14" min="2" max="2"/>
  </cols>
  <sheetData>
    <row r="1" ht="15" customHeight="1" s="15">
      <c r="B1" s="16" t="inlineStr">
        <is>
          <t>通用型涂料配方-性能数据集模板 v2</t>
        </is>
      </c>
    </row>
    <row r="2" ht="15" customHeight="1" s="15">
      <c r="B2" s="17" t="n"/>
    </row>
    <row r="3" ht="15" customHeight="1" s="15">
      <c r="B3" s="18" t="inlineStr">
        <is>
          <t>一、模板定位</t>
        </is>
      </c>
    </row>
    <row r="4" ht="15" customHeight="1" s="15">
      <c r="B4" s="17" t="n"/>
    </row>
    <row r="5" ht="15" customHeight="1" s="15">
      <c r="B5" s="17" t="n"/>
    </row>
    <row r="6" ht="15" customHeight="1" s="15">
      <c r="B6" s="18" t="inlineStr">
        <is>
          <t>二、v2 优化点</t>
        </is>
      </c>
    </row>
    <row r="7" ht="15" customHeight="1" s="15">
      <c r="B7" s="17" t="n"/>
    </row>
    <row r="8" ht="15" customHeight="1" s="15">
      <c r="B8" s="17" t="n"/>
    </row>
    <row r="9" ht="15" customHeight="1" s="15">
      <c r="B9" s="17" t="n"/>
    </row>
    <row r="10" ht="15" customHeight="1" s="15">
      <c r="B10" s="17" t="n"/>
    </row>
    <row r="11" ht="15" customHeight="1" s="15">
      <c r="B11" s="18" t="inlineStr">
        <is>
          <t>三、工作表结构</t>
        </is>
      </c>
    </row>
    <row r="12" ht="15" customHeight="1" s="15">
      <c r="B12" s="17" t="n"/>
    </row>
    <row r="13" ht="15" customHeight="1" s="15">
      <c r="B13" s="17" t="n"/>
    </row>
    <row r="14" ht="15" customHeight="1" s="15">
      <c r="B14" s="17" t="n"/>
    </row>
    <row r="15" ht="15" customHeight="1" s="15">
      <c r="B15" s="17" t="n"/>
    </row>
    <row r="16" ht="15" customHeight="1" s="15">
      <c r="B16" s="17" t="n"/>
    </row>
    <row r="17" ht="15" customHeight="1" s="15">
      <c r="B17" s="17" t="n"/>
    </row>
    <row r="18" ht="15" customHeight="1" s="15">
      <c r="B18" s="17" t="n"/>
    </row>
    <row r="19" ht="15" customHeight="1" s="15">
      <c r="B19" s="18" t="inlineStr">
        <is>
          <t>四、填写流程</t>
        </is>
      </c>
    </row>
    <row r="20" ht="15" customHeight="1" s="15">
      <c r="B20" s="17" t="n"/>
    </row>
    <row r="21" ht="15" customHeight="1" s="15">
      <c r="B21" s="17" t="n"/>
    </row>
    <row r="22" ht="15" customHeight="1" s="15">
      <c r="B22" s="17" t="n"/>
    </row>
    <row r="23" ht="15" customHeight="1" s="15">
      <c r="B23" s="17" t="n"/>
    </row>
    <row r="24" ht="15" customHeight="1" s="15">
      <c r="B24" s="17" t="n"/>
    </row>
    <row r="25" ht="15" customHeight="1" s="15">
      <c r="B25" s="18" t="inlineStr">
        <is>
          <t>五、标签补充闭环（解决缺标签问题）</t>
        </is>
      </c>
    </row>
    <row r="26" ht="15" customHeight="1" s="15">
      <c r="B26" s="19" t="inlineStr">
        <is>
          <t>1. 冷启动：源域(环氧酚醛)预训练 + 目标域少量实测标签微调，建立初始模型（迁移学习，MVP实验H/I）。</t>
        </is>
      </c>
    </row>
    <row r="27" ht="15" customHeight="1" s="15">
      <c r="B27" s="19" t="inlineStr">
        <is>
          <t>2. 对无标签体系配方预测，输出预测值+不确定性（深度集成方差）。</t>
        </is>
      </c>
    </row>
    <row r="28" ht="15" customHeight="1" s="15">
      <c r="B28" s="19" t="inlineStr">
        <is>
          <t>3. 质量门控：源域可预测性高(随机划分CV R²≥0.2)才启用伪标签；高置信→伪标签(权重0.5)回放；否则跳过伪标签。</t>
        </is>
      </c>
    </row>
    <row r="29" ht="15" customHeight="1" s="15">
      <c r="B29" s="19" t="inlineStr">
        <is>
          <t>4. 主动学习为主：对高不确定样本优先安排实测(推荐测试)，实测标签权重1.0回填；人工复核高置信伪标签与高不确定样本。</t>
        </is>
      </c>
    </row>
    <row r="30" ht="15" customHeight="1" s="15">
      <c r="B30" s="19" t="inlineStr">
        <is>
          <t>5. 最终标签以实测为主、伪标签为辅；迭代至性能平台期或标注预算耗尽（双重停止准则）。</t>
        </is>
      </c>
    </row>
    <row r="31" ht="15" customHeight="1" s="15">
      <c r="B31" s="18" t="inlineStr">
        <is>
          <t>六、关键规则</t>
        </is>
      </c>
    </row>
    <row r="32" ht="15" customHeight="1" s="15">
      <c r="B32" s="17" t="n"/>
    </row>
    <row r="33" ht="15" customHeight="1" s="15">
      <c r="B33" s="17" t="n"/>
    </row>
    <row r="34" ht="15" customHeight="1" s="15">
      <c r="B34" s="1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N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4" customWidth="1" style="14" min="1" max="1"/>
    <col width="22" customWidth="1" style="14" min="2" max="2"/>
    <col width="10" customWidth="1" style="14" min="3" max="3"/>
    <col width="8" customWidth="1" style="14" min="4" max="4"/>
    <col width="9" customWidth="1" style="14" min="5" max="5"/>
    <col width="16" customWidth="1" style="14" min="6" max="6"/>
    <col width="10" customWidth="1" style="14" min="7" max="8"/>
    <col width="11" customWidth="1" style="14" min="9" max="9"/>
    <col width="12" customWidth="1" style="14" min="10" max="12"/>
    <col width="11" customWidth="1" style="14" min="13" max="13"/>
    <col width="8" customWidth="1" style="14" min="14" max="15"/>
    <col width="9" customWidth="1" style="14" min="16" max="20"/>
    <col width="10" customWidth="1" style="14" min="21" max="21"/>
    <col width="8" customWidth="1" style="14" min="22" max="27"/>
    <col width="10" customWidth="1" style="14" min="28" max="35"/>
    <col width="9" customWidth="1" style="14" min="36" max="37"/>
    <col width="14" customWidth="1" style="14" min="38" max="38"/>
    <col width="20" customWidth="1" style="14" min="39" max="39"/>
  </cols>
  <sheetData>
    <row r="1" ht="15" customHeight="1" s="15">
      <c r="A1" s="20" t="inlineStr">
        <is>
          <t>原料代码</t>
        </is>
      </c>
      <c r="B1" s="20" t="inlineStr">
        <is>
          <t>原料名称</t>
        </is>
      </c>
      <c r="C1" s="20" t="inlineStr">
        <is>
          <t>所属体系</t>
        </is>
      </c>
      <c r="D1" s="20" t="inlineStr">
        <is>
          <t>角色</t>
        </is>
      </c>
      <c r="E1" s="20" t="inlineStr">
        <is>
          <t>树脂类型</t>
        </is>
      </c>
      <c r="F1" s="21" t="inlineStr">
        <is>
          <t>SMILES</t>
        </is>
      </c>
      <c r="G1" s="20" t="inlineStr">
        <is>
          <t>固含NV(%)</t>
        </is>
      </c>
      <c r="H1" s="20" t="inlineStr">
        <is>
          <t>密度(g/cm³)</t>
        </is>
      </c>
      <c r="I1" s="20" t="inlineStr">
        <is>
          <t>分子量(g/mol)</t>
        </is>
      </c>
      <c r="J1" s="20" t="inlineStr">
        <is>
          <t>环氧当量EEW(g/eq)</t>
        </is>
      </c>
      <c r="K1" s="20" t="inlineStr">
        <is>
          <t>酸值AV(mgKOH/g)</t>
        </is>
      </c>
      <c r="L1" s="20" t="inlineStr">
        <is>
          <t>羟值OHV(mgKOH/g)</t>
        </is>
      </c>
      <c r="M1" s="20" t="inlineStr">
        <is>
          <t>胺值(mgKOH/g)</t>
        </is>
      </c>
      <c r="N1" s="20" t="inlineStr">
        <is>
          <t>官能度</t>
        </is>
      </c>
      <c r="O1" s="21" t="inlineStr">
        <is>
          <t>Tg(℃)</t>
        </is>
      </c>
      <c r="P1" s="20" t="inlineStr">
        <is>
          <t>沸点(℃)</t>
        </is>
      </c>
      <c r="Q1" s="20" t="inlineStr">
        <is>
          <t>闪点(℃)</t>
        </is>
      </c>
      <c r="R1" s="21" t="inlineStr">
        <is>
          <t>Hansen δD</t>
        </is>
      </c>
      <c r="S1" s="21" t="inlineStr">
        <is>
          <t>Hansen δP</t>
        </is>
      </c>
      <c r="T1" s="21" t="inlineStr">
        <is>
          <t>Hansen δH</t>
        </is>
      </c>
      <c r="U1" s="20" t="inlineStr">
        <is>
          <t>极性指数</t>
        </is>
      </c>
      <c r="V1" s="20" t="inlineStr">
        <is>
          <t>相对挥发速率</t>
        </is>
      </c>
      <c r="W1" s="21" t="inlineStr">
        <is>
          <t>C(%)</t>
        </is>
      </c>
      <c r="X1" s="21" t="inlineStr">
        <is>
          <t>H(%)</t>
        </is>
      </c>
      <c r="Y1" s="21" t="inlineStr">
        <is>
          <t>O(%)</t>
        </is>
      </c>
      <c r="Z1" s="21" t="inlineStr">
        <is>
          <t>N(%)</t>
        </is>
      </c>
      <c r="AA1" s="21" t="inlineStr">
        <is>
          <t>S(%)</t>
        </is>
      </c>
      <c r="AB1" s="21" t="inlineStr">
        <is>
          <t>Cl(%)</t>
        </is>
      </c>
      <c r="AC1" s="20" t="inlineStr">
        <is>
          <t>环氧基(mol/100g)</t>
        </is>
      </c>
      <c r="AD1" s="20" t="inlineStr">
        <is>
          <t>羟基(mol/100g)</t>
        </is>
      </c>
      <c r="AE1" s="20" t="inlineStr">
        <is>
          <t>羧基(mol/100g)</t>
        </is>
      </c>
      <c r="AF1" s="20" t="inlineStr">
        <is>
          <t>酯基(mol/100g)</t>
        </is>
      </c>
      <c r="AG1" s="20" t="inlineStr">
        <is>
          <t>胺基(mol/100g)</t>
        </is>
      </c>
      <c r="AH1" s="20" t="inlineStr">
        <is>
          <t>酰胺(mol/100g)</t>
        </is>
      </c>
      <c r="AI1" s="20" t="inlineStr">
        <is>
          <t>芳香环(mol/100g)</t>
        </is>
      </c>
      <c r="AJ1" s="20" t="inlineStr">
        <is>
          <t>醚键(mol/100g)</t>
        </is>
      </c>
      <c r="AK1" s="20" t="inlineStr">
        <is>
          <t>蜡含量(%)</t>
        </is>
      </c>
      <c r="AL1" s="20" t="inlineStr">
        <is>
          <t>颜料含量(%)</t>
        </is>
      </c>
      <c r="AM1" s="20" t="inlineStr">
        <is>
          <t>数据来源</t>
        </is>
      </c>
      <c r="AN1" s="20" t="inlineStr">
        <is>
          <t>备注</t>
        </is>
      </c>
    </row>
    <row r="2" ht="15" customHeight="1" s="15">
      <c r="A2" s="22" t="inlineStr">
        <is>
          <t>IR190</t>
        </is>
      </c>
      <c r="B2" s="22" t="inlineStr">
        <is>
          <t>9型环氧树脂36%固含</t>
        </is>
      </c>
      <c r="C2" s="23" t="inlineStr">
        <is>
          <t>环氧酚醛</t>
        </is>
      </c>
      <c r="D2" s="23" t="inlineStr">
        <is>
          <t>树脂</t>
        </is>
      </c>
      <c r="E2" s="23" t="inlineStr">
        <is>
          <t>环氧</t>
        </is>
      </c>
      <c r="F2" s="23" t="inlineStr">
        <is>
          <t>专有(无SMILES)</t>
        </is>
      </c>
      <c r="G2" s="24" t="n">
        <v>36</v>
      </c>
      <c r="H2" s="22" t="n">
        <v>1</v>
      </c>
      <c r="I2" s="22" t="n">
        <v>1400</v>
      </c>
      <c r="J2" s="24" t="n">
        <v>2640</v>
      </c>
      <c r="K2" s="24" t="n">
        <v>0.5</v>
      </c>
      <c r="L2" s="24" t="n">
        <v>30</v>
      </c>
      <c r="M2" s="24" t="n">
        <v>0</v>
      </c>
      <c r="N2" s="24" t="n">
        <v>2</v>
      </c>
      <c r="O2" s="22" t="n">
        <v>70</v>
      </c>
      <c r="P2" s="22" t="n">
        <v>250</v>
      </c>
      <c r="Q2" s="22" t="n">
        <v>100</v>
      </c>
      <c r="R2" s="22" t="n">
        <v>18.5</v>
      </c>
      <c r="S2" s="22" t="n">
        <v>6</v>
      </c>
      <c r="T2" s="22" t="n">
        <v>8.5</v>
      </c>
      <c r="U2" s="22" t="n">
        <v>3</v>
      </c>
      <c r="V2" s="22" t="n">
        <v>0</v>
      </c>
      <c r="W2" s="22" t="n">
        <v>72</v>
      </c>
      <c r="X2" s="22" t="n">
        <v>7</v>
      </c>
      <c r="Y2" s="22" t="n">
        <v>20</v>
      </c>
      <c r="Z2" s="22" t="n">
        <v>0</v>
      </c>
      <c r="AA2" s="22" t="n">
        <v>0</v>
      </c>
      <c r="AB2" s="22" t="n">
        <v>0</v>
      </c>
      <c r="AC2" s="24" t="n">
        <v>0.038</v>
      </c>
      <c r="AD2" s="24" t="n">
        <v>0.018</v>
      </c>
      <c r="AE2" s="24" t="n">
        <v>0.001</v>
      </c>
      <c r="AF2" s="24" t="n">
        <v>0.01</v>
      </c>
      <c r="AG2" s="24" t="n">
        <v>0</v>
      </c>
      <c r="AH2" s="24" t="n">
        <v>0</v>
      </c>
      <c r="AI2" s="24" t="n">
        <v>0.4</v>
      </c>
      <c r="AJ2" s="24" t="n">
        <v>0.15</v>
      </c>
      <c r="AK2" s="22" t="n">
        <v>0</v>
      </c>
      <c r="AL2" s="22" t="n">
        <v>0</v>
      </c>
      <c r="AM2" s="23" t="inlineStr">
        <is>
          <t>类别典型值/文件信息</t>
        </is>
      </c>
      <c r="AN2" s="22" t="n"/>
    </row>
    <row r="3" ht="15" customHeight="1" s="15">
      <c r="A3" s="25" t="inlineStr">
        <is>
          <t>IR809</t>
        </is>
      </c>
      <c r="B3" s="26" t="inlineStr">
        <is>
          <t>环氧树脂55%固含</t>
        </is>
      </c>
      <c r="C3" s="26" t="inlineStr">
        <is>
          <t>环氧酚醛</t>
        </is>
      </c>
      <c r="D3" s="26" t="inlineStr">
        <is>
          <t>树脂</t>
        </is>
      </c>
      <c r="E3" s="26" t="inlineStr">
        <is>
          <t>环氧</t>
        </is>
      </c>
      <c r="F3" s="26" t="inlineStr">
        <is>
          <t>专有(无SMILES)</t>
        </is>
      </c>
      <c r="G3" s="24" t="n">
        <v>55</v>
      </c>
      <c r="H3" s="25" t="n">
        <v>1.02</v>
      </c>
      <c r="I3" s="25" t="n">
        <v>1200</v>
      </c>
      <c r="J3" s="24" t="n">
        <v>1600</v>
      </c>
      <c r="K3" s="24" t="n">
        <v>0.5</v>
      </c>
      <c r="L3" s="24" t="n">
        <v>35</v>
      </c>
      <c r="M3" s="24" t="n">
        <v>0</v>
      </c>
      <c r="N3" s="24" t="n">
        <v>2</v>
      </c>
      <c r="O3" s="25" t="n">
        <v>65</v>
      </c>
      <c r="P3" s="25" t="n">
        <v>250</v>
      </c>
      <c r="Q3" s="25" t="n">
        <v>100</v>
      </c>
      <c r="R3" s="25" t="n">
        <v>18.3</v>
      </c>
      <c r="S3" s="25" t="n">
        <v>6.2</v>
      </c>
      <c r="T3" s="25" t="n">
        <v>8.800000000000001</v>
      </c>
      <c r="U3" s="25" t="n">
        <v>3.1</v>
      </c>
      <c r="V3" s="25" t="n">
        <v>0</v>
      </c>
      <c r="W3" s="25" t="n">
        <v>71</v>
      </c>
      <c r="X3" s="25" t="n">
        <v>7</v>
      </c>
      <c r="Y3" s="25" t="n">
        <v>21</v>
      </c>
      <c r="Z3" s="25" t="n">
        <v>0</v>
      </c>
      <c r="AA3" s="25" t="n">
        <v>0</v>
      </c>
      <c r="AB3" s="25" t="n">
        <v>0</v>
      </c>
      <c r="AC3" s="24" t="n">
        <v>0.062</v>
      </c>
      <c r="AD3" s="24" t="n">
        <v>0.021</v>
      </c>
      <c r="AE3" s="24" t="n">
        <v>0.001</v>
      </c>
      <c r="AF3" s="24" t="n">
        <v>0.01</v>
      </c>
      <c r="AG3" s="24" t="n">
        <v>0</v>
      </c>
      <c r="AH3" s="24" t="n">
        <v>0</v>
      </c>
      <c r="AI3" s="24" t="n">
        <v>0.38</v>
      </c>
      <c r="AJ3" s="24" t="n">
        <v>0.16</v>
      </c>
      <c r="AK3" s="25" t="n">
        <v>0</v>
      </c>
      <c r="AL3" s="25" t="n">
        <v>0</v>
      </c>
      <c r="AM3" s="26" t="inlineStr">
        <is>
          <t>类别典型值/文件信息</t>
        </is>
      </c>
      <c r="AN3" s="25" t="n"/>
    </row>
    <row r="4" ht="15" customHeight="1" s="15">
      <c r="A4" s="23" t="inlineStr">
        <is>
          <t>住友55754G</t>
        </is>
      </c>
      <c r="B4" s="23" t="inlineStr">
        <is>
          <t>住友环氧树脂</t>
        </is>
      </c>
      <c r="C4" s="23" t="inlineStr">
        <is>
          <t>环氧酚醛</t>
        </is>
      </c>
      <c r="D4" s="23" t="inlineStr">
        <is>
          <t>树脂</t>
        </is>
      </c>
      <c r="E4" s="23" t="inlineStr">
        <is>
          <t>环氧</t>
        </is>
      </c>
      <c r="F4" s="23" t="inlineStr">
        <is>
          <t>专有(无SMILES)</t>
        </is>
      </c>
      <c r="G4" s="24" t="n">
        <v>100</v>
      </c>
      <c r="H4" s="22" t="n">
        <v>1.15</v>
      </c>
      <c r="I4" s="22" t="n">
        <v>1000</v>
      </c>
      <c r="J4" s="24" t="n">
        <v>950</v>
      </c>
      <c r="K4" s="24" t="n">
        <v>0.3</v>
      </c>
      <c r="L4" s="24" t="n">
        <v>40</v>
      </c>
      <c r="M4" s="24" t="n">
        <v>0</v>
      </c>
      <c r="N4" s="24" t="n">
        <v>2</v>
      </c>
      <c r="O4" s="22" t="n">
        <v>75</v>
      </c>
      <c r="P4" s="22" t="n">
        <v>300</v>
      </c>
      <c r="Q4" s="22" t="n">
        <v>150</v>
      </c>
      <c r="R4" s="22" t="n">
        <v>18.8</v>
      </c>
      <c r="S4" s="22" t="n">
        <v>6</v>
      </c>
      <c r="T4" s="22" t="n">
        <v>8.199999999999999</v>
      </c>
      <c r="U4" s="22" t="n">
        <v>3</v>
      </c>
      <c r="V4" s="22" t="n">
        <v>0</v>
      </c>
      <c r="W4" s="22" t="n">
        <v>73</v>
      </c>
      <c r="X4" s="22" t="n">
        <v>7</v>
      </c>
      <c r="Y4" s="22" t="n">
        <v>19</v>
      </c>
      <c r="Z4" s="22" t="n">
        <v>0</v>
      </c>
      <c r="AA4" s="22" t="n">
        <v>0</v>
      </c>
      <c r="AB4" s="22" t="n">
        <v>0</v>
      </c>
      <c r="AC4" s="24" t="n">
        <v>0.105</v>
      </c>
      <c r="AD4" s="24" t="n">
        <v>0.024</v>
      </c>
      <c r="AE4" s="24" t="n">
        <v>0.001</v>
      </c>
      <c r="AF4" s="24" t="n">
        <v>0.01</v>
      </c>
      <c r="AG4" s="24" t="n">
        <v>0</v>
      </c>
      <c r="AH4" s="24" t="n">
        <v>0</v>
      </c>
      <c r="AI4" s="24" t="n">
        <v>0.42</v>
      </c>
      <c r="AJ4" s="24" t="n">
        <v>0.15</v>
      </c>
      <c r="AK4" s="22" t="n">
        <v>0</v>
      </c>
      <c r="AL4" s="22" t="n">
        <v>0</v>
      </c>
      <c r="AM4" s="23" t="inlineStr">
        <is>
          <t>类别典型值/文件信息</t>
        </is>
      </c>
      <c r="AN4" s="22" t="n"/>
    </row>
    <row r="5" ht="15" customHeight="1" s="15">
      <c r="A5" s="25" t="inlineStr">
        <is>
          <t>IR191</t>
        </is>
      </c>
      <c r="B5" s="25" t="inlineStr">
        <is>
          <t>IR191</t>
        </is>
      </c>
      <c r="C5" s="26" t="inlineStr">
        <is>
          <t>通用</t>
        </is>
      </c>
      <c r="D5" s="26" t="inlineStr">
        <is>
          <t>树脂</t>
        </is>
      </c>
      <c r="E5" s="26" t="inlineStr">
        <is>
          <t>环氧</t>
        </is>
      </c>
      <c r="F5" s="26" t="inlineStr">
        <is>
          <t>专有(无SMILES)</t>
        </is>
      </c>
      <c r="G5" s="24" t="n">
        <v>36</v>
      </c>
      <c r="H5" s="25" t="n">
        <v>1</v>
      </c>
      <c r="I5" s="25" t="n">
        <v>1400</v>
      </c>
      <c r="J5" s="24" t="n">
        <v>2650</v>
      </c>
      <c r="K5" s="24" t="n">
        <v>0.5</v>
      </c>
      <c r="L5" s="24" t="n">
        <v>30</v>
      </c>
      <c r="M5" s="24" t="n">
        <v>0</v>
      </c>
      <c r="N5" s="24" t="n">
        <v>2</v>
      </c>
      <c r="O5" s="25" t="n">
        <v>70</v>
      </c>
      <c r="P5" s="25" t="n">
        <v>250</v>
      </c>
      <c r="Q5" s="25" t="n">
        <v>100</v>
      </c>
      <c r="R5" s="25" t="n">
        <v>18.5</v>
      </c>
      <c r="S5" s="25" t="n">
        <v>6</v>
      </c>
      <c r="T5" s="25" t="n">
        <v>8.5</v>
      </c>
      <c r="U5" s="25" t="n">
        <v>3</v>
      </c>
      <c r="V5" s="25" t="n">
        <v>0</v>
      </c>
      <c r="W5" s="25" t="n">
        <v>72</v>
      </c>
      <c r="X5" s="25" t="n">
        <v>7</v>
      </c>
      <c r="Y5" s="25" t="n">
        <v>20</v>
      </c>
      <c r="Z5" s="25" t="n">
        <v>0</v>
      </c>
      <c r="AA5" s="25" t="n">
        <v>0</v>
      </c>
      <c r="AB5" s="25" t="n">
        <v>0</v>
      </c>
      <c r="AC5" s="24" t="n">
        <v>0.038</v>
      </c>
      <c r="AD5" s="24" t="n">
        <v>0.018</v>
      </c>
      <c r="AE5" s="24" t="n">
        <v>0.001</v>
      </c>
      <c r="AF5" s="24" t="n">
        <v>0.01</v>
      </c>
      <c r="AG5" s="24" t="n">
        <v>0</v>
      </c>
      <c r="AH5" s="24" t="n">
        <v>0</v>
      </c>
      <c r="AI5" s="24" t="n">
        <v>0.4</v>
      </c>
      <c r="AJ5" s="24" t="n">
        <v>0.15</v>
      </c>
      <c r="AK5" s="25" t="n">
        <v>0</v>
      </c>
      <c r="AL5" s="25" t="n">
        <v>0</v>
      </c>
      <c r="AM5" s="26" t="inlineStr">
        <is>
          <t>类别典型值/文件信息</t>
        </is>
      </c>
      <c r="AN5" s="25" t="n"/>
    </row>
    <row r="6" ht="15" customHeight="1" s="15">
      <c r="A6" s="22" t="inlineStr">
        <is>
          <t>IR170</t>
        </is>
      </c>
      <c r="B6" s="22" t="inlineStr">
        <is>
          <t>IR170</t>
        </is>
      </c>
      <c r="C6" s="23" t="inlineStr">
        <is>
          <t>通用</t>
        </is>
      </c>
      <c r="D6" s="23" t="inlineStr">
        <is>
          <t>树脂</t>
        </is>
      </c>
      <c r="E6" s="23" t="inlineStr">
        <is>
          <t>环氧</t>
        </is>
      </c>
      <c r="F6" s="23" t="inlineStr">
        <is>
          <t>专有(无SMILES)</t>
        </is>
      </c>
      <c r="G6" s="24" t="n">
        <v>50</v>
      </c>
      <c r="H6" s="22" t="n">
        <v>1.02</v>
      </c>
      <c r="I6" s="22" t="n">
        <v>1300</v>
      </c>
      <c r="J6" s="24" t="n">
        <v>1800</v>
      </c>
      <c r="K6" s="24" t="n">
        <v>0.5</v>
      </c>
      <c r="L6" s="24" t="n">
        <v>32</v>
      </c>
      <c r="M6" s="24" t="n">
        <v>0</v>
      </c>
      <c r="N6" s="24" t="n">
        <v>2</v>
      </c>
      <c r="O6" s="22" t="n">
        <v>68</v>
      </c>
      <c r="P6" s="22" t="n">
        <v>250</v>
      </c>
      <c r="Q6" s="22" t="n">
        <v>100</v>
      </c>
      <c r="R6" s="22" t="n">
        <v>18.4</v>
      </c>
      <c r="S6" s="22" t="n">
        <v>6.1</v>
      </c>
      <c r="T6" s="22" t="n">
        <v>8.6</v>
      </c>
      <c r="U6" s="22" t="n">
        <v>3</v>
      </c>
      <c r="V6" s="22" t="n">
        <v>0</v>
      </c>
      <c r="W6" s="22" t="n">
        <v>72</v>
      </c>
      <c r="X6" s="22" t="n">
        <v>7</v>
      </c>
      <c r="Y6" s="22" t="n">
        <v>20</v>
      </c>
      <c r="Z6" s="22" t="n">
        <v>0</v>
      </c>
      <c r="AA6" s="22" t="n">
        <v>0</v>
      </c>
      <c r="AB6" s="22" t="n">
        <v>0</v>
      </c>
      <c r="AC6" s="24" t="n">
        <v>0.056</v>
      </c>
      <c r="AD6" s="24" t="n">
        <v>0.019</v>
      </c>
      <c r="AE6" s="24" t="n">
        <v>0.001</v>
      </c>
      <c r="AF6" s="24" t="n">
        <v>0.01</v>
      </c>
      <c r="AG6" s="24" t="n">
        <v>0</v>
      </c>
      <c r="AH6" s="24" t="n">
        <v>0</v>
      </c>
      <c r="AI6" s="24" t="n">
        <v>0.4</v>
      </c>
      <c r="AJ6" s="24" t="n">
        <v>0.15</v>
      </c>
      <c r="AK6" s="22" t="n">
        <v>0</v>
      </c>
      <c r="AL6" s="22" t="n">
        <v>0</v>
      </c>
      <c r="AM6" s="23" t="inlineStr">
        <is>
          <t>类别典型值/文件信息</t>
        </is>
      </c>
      <c r="AN6" s="22" t="n"/>
    </row>
    <row r="7" ht="15" customHeight="1" s="15">
      <c r="A7" s="25" t="inlineStr">
        <is>
          <t>IR877</t>
        </is>
      </c>
      <c r="B7" s="26" t="inlineStr">
        <is>
          <t>环氧树脂</t>
        </is>
      </c>
      <c r="C7" s="26" t="inlineStr">
        <is>
          <t>有机</t>
        </is>
      </c>
      <c r="D7" s="26" t="inlineStr">
        <is>
          <t>树脂</t>
        </is>
      </c>
      <c r="E7" s="26" t="inlineStr">
        <is>
          <t>环氧</t>
        </is>
      </c>
      <c r="F7" s="26" t="inlineStr">
        <is>
          <t>专有(无SMILES)</t>
        </is>
      </c>
      <c r="G7" s="24" t="n">
        <v>60</v>
      </c>
      <c r="H7" s="25" t="n">
        <v>1.03</v>
      </c>
      <c r="I7" s="25" t="n">
        <v>1200</v>
      </c>
      <c r="J7" s="24" t="n">
        <v>1500</v>
      </c>
      <c r="K7" s="24" t="n">
        <v>0.5</v>
      </c>
      <c r="L7" s="24" t="n">
        <v>35</v>
      </c>
      <c r="M7" s="24" t="n">
        <v>0</v>
      </c>
      <c r="N7" s="24" t="n">
        <v>2</v>
      </c>
      <c r="O7" s="25" t="n">
        <v>66</v>
      </c>
      <c r="P7" s="25" t="n">
        <v>250</v>
      </c>
      <c r="Q7" s="25" t="n">
        <v>100</v>
      </c>
      <c r="R7" s="25" t="n">
        <v>18.3</v>
      </c>
      <c r="S7" s="25" t="n">
        <v>6.2</v>
      </c>
      <c r="T7" s="25" t="n">
        <v>8.699999999999999</v>
      </c>
      <c r="U7" s="25" t="n">
        <v>3.1</v>
      </c>
      <c r="V7" s="25" t="n">
        <v>0</v>
      </c>
      <c r="W7" s="25" t="n">
        <v>71</v>
      </c>
      <c r="X7" s="25" t="n">
        <v>7</v>
      </c>
      <c r="Y7" s="25" t="n">
        <v>21</v>
      </c>
      <c r="Z7" s="25" t="n">
        <v>0</v>
      </c>
      <c r="AA7" s="25" t="n">
        <v>0</v>
      </c>
      <c r="AB7" s="25" t="n">
        <v>0</v>
      </c>
      <c r="AC7" s="24" t="n">
        <v>0.067</v>
      </c>
      <c r="AD7" s="24" t="n">
        <v>0.021</v>
      </c>
      <c r="AE7" s="24" t="n">
        <v>0.001</v>
      </c>
      <c r="AF7" s="24" t="n">
        <v>0.01</v>
      </c>
      <c r="AG7" s="24" t="n">
        <v>0</v>
      </c>
      <c r="AH7" s="24" t="n">
        <v>0</v>
      </c>
      <c r="AI7" s="24" t="n">
        <v>0.38</v>
      </c>
      <c r="AJ7" s="24" t="n">
        <v>0.16</v>
      </c>
      <c r="AK7" s="25" t="n">
        <v>0</v>
      </c>
      <c r="AL7" s="25" t="n">
        <v>0</v>
      </c>
      <c r="AM7" s="26" t="inlineStr">
        <is>
          <t>类别典型值/文件信息</t>
        </is>
      </c>
      <c r="AN7" s="25" t="n"/>
    </row>
    <row r="8" ht="15" customHeight="1" s="15">
      <c r="A8" s="22" t="inlineStr">
        <is>
          <t>IR909</t>
        </is>
      </c>
      <c r="B8" s="23" t="inlineStr">
        <is>
          <t>环氧树脂</t>
        </is>
      </c>
      <c r="C8" s="23" t="inlineStr">
        <is>
          <t>聚酯</t>
        </is>
      </c>
      <c r="D8" s="23" t="inlineStr">
        <is>
          <t>树脂</t>
        </is>
      </c>
      <c r="E8" s="23" t="inlineStr">
        <is>
          <t>环氧</t>
        </is>
      </c>
      <c r="F8" s="23" t="inlineStr">
        <is>
          <t>专有(无SMILES)</t>
        </is>
      </c>
      <c r="G8" s="24" t="n">
        <v>60</v>
      </c>
      <c r="H8" s="22" t="n">
        <v>1.03</v>
      </c>
      <c r="I8" s="22" t="n">
        <v>1200</v>
      </c>
      <c r="J8" s="24" t="n">
        <v>1500</v>
      </c>
      <c r="K8" s="24" t="n">
        <v>0.5</v>
      </c>
      <c r="L8" s="24" t="n">
        <v>35</v>
      </c>
      <c r="M8" s="24" t="n">
        <v>0</v>
      </c>
      <c r="N8" s="24" t="n">
        <v>2</v>
      </c>
      <c r="O8" s="22" t="n">
        <v>66</v>
      </c>
      <c r="P8" s="22" t="n">
        <v>250</v>
      </c>
      <c r="Q8" s="22" t="n">
        <v>100</v>
      </c>
      <c r="R8" s="22" t="n">
        <v>18.3</v>
      </c>
      <c r="S8" s="22" t="n">
        <v>6.2</v>
      </c>
      <c r="T8" s="22" t="n">
        <v>8.699999999999999</v>
      </c>
      <c r="U8" s="22" t="n">
        <v>3.1</v>
      </c>
      <c r="V8" s="22" t="n">
        <v>0</v>
      </c>
      <c r="W8" s="22" t="n">
        <v>71</v>
      </c>
      <c r="X8" s="22" t="n">
        <v>7</v>
      </c>
      <c r="Y8" s="22" t="n">
        <v>21</v>
      </c>
      <c r="Z8" s="22" t="n">
        <v>0</v>
      </c>
      <c r="AA8" s="22" t="n">
        <v>0</v>
      </c>
      <c r="AB8" s="22" t="n">
        <v>0</v>
      </c>
      <c r="AC8" s="24" t="n">
        <v>0.067</v>
      </c>
      <c r="AD8" s="24" t="n">
        <v>0.021</v>
      </c>
      <c r="AE8" s="24" t="n">
        <v>0.001</v>
      </c>
      <c r="AF8" s="24" t="n">
        <v>0.01</v>
      </c>
      <c r="AG8" s="24" t="n">
        <v>0</v>
      </c>
      <c r="AH8" s="24" t="n">
        <v>0</v>
      </c>
      <c r="AI8" s="24" t="n">
        <v>0.38</v>
      </c>
      <c r="AJ8" s="24" t="n">
        <v>0.16</v>
      </c>
      <c r="AK8" s="22" t="n">
        <v>0</v>
      </c>
      <c r="AL8" s="22" t="n">
        <v>0</v>
      </c>
      <c r="AM8" s="23" t="inlineStr">
        <is>
          <t>类别典型值/文件信息</t>
        </is>
      </c>
      <c r="AN8" s="22" t="n"/>
    </row>
    <row r="9" ht="15" customHeight="1" s="15">
      <c r="A9" s="25" t="inlineStr">
        <is>
          <t>IR557</t>
        </is>
      </c>
      <c r="B9" s="26" t="inlineStr">
        <is>
          <t>环氧树脂</t>
        </is>
      </c>
      <c r="C9" s="26" t="inlineStr">
        <is>
          <t>聚酯</t>
        </is>
      </c>
      <c r="D9" s="26" t="inlineStr">
        <is>
          <t>树脂</t>
        </is>
      </c>
      <c r="E9" s="26" t="inlineStr">
        <is>
          <t>环氧</t>
        </is>
      </c>
      <c r="F9" s="26" t="inlineStr">
        <is>
          <t>专有(无SMILES)</t>
        </is>
      </c>
      <c r="G9" s="24" t="n">
        <v>60</v>
      </c>
      <c r="H9" s="25" t="n">
        <v>1.03</v>
      </c>
      <c r="I9" s="25" t="n">
        <v>1200</v>
      </c>
      <c r="J9" s="24" t="n">
        <v>1500</v>
      </c>
      <c r="K9" s="24" t="n">
        <v>0.5</v>
      </c>
      <c r="L9" s="24" t="n">
        <v>35</v>
      </c>
      <c r="M9" s="24" t="n">
        <v>0</v>
      </c>
      <c r="N9" s="24" t="n">
        <v>2</v>
      </c>
      <c r="O9" s="25" t="n">
        <v>66</v>
      </c>
      <c r="P9" s="25" t="n">
        <v>250</v>
      </c>
      <c r="Q9" s="25" t="n">
        <v>100</v>
      </c>
      <c r="R9" s="25" t="n">
        <v>18.3</v>
      </c>
      <c r="S9" s="25" t="n">
        <v>6.2</v>
      </c>
      <c r="T9" s="25" t="n">
        <v>8.699999999999999</v>
      </c>
      <c r="U9" s="25" t="n">
        <v>3.1</v>
      </c>
      <c r="V9" s="25" t="n">
        <v>0</v>
      </c>
      <c r="W9" s="25" t="n">
        <v>71</v>
      </c>
      <c r="X9" s="25" t="n">
        <v>7</v>
      </c>
      <c r="Y9" s="25" t="n">
        <v>21</v>
      </c>
      <c r="Z9" s="25" t="n">
        <v>0</v>
      </c>
      <c r="AA9" s="25" t="n">
        <v>0</v>
      </c>
      <c r="AB9" s="25" t="n">
        <v>0</v>
      </c>
      <c r="AC9" s="24" t="n">
        <v>0.067</v>
      </c>
      <c r="AD9" s="24" t="n">
        <v>0.021</v>
      </c>
      <c r="AE9" s="24" t="n">
        <v>0.001</v>
      </c>
      <c r="AF9" s="24" t="n">
        <v>0.01</v>
      </c>
      <c r="AG9" s="24" t="n">
        <v>0</v>
      </c>
      <c r="AH9" s="24" t="n">
        <v>0</v>
      </c>
      <c r="AI9" s="24" t="n">
        <v>0.38</v>
      </c>
      <c r="AJ9" s="24" t="n">
        <v>0.16</v>
      </c>
      <c r="AK9" s="25" t="n">
        <v>0</v>
      </c>
      <c r="AL9" s="25" t="n">
        <v>0</v>
      </c>
      <c r="AM9" s="26" t="inlineStr">
        <is>
          <t>类别典型值/文件信息</t>
        </is>
      </c>
      <c r="AN9" s="25" t="n"/>
    </row>
    <row r="10" ht="15" customHeight="1" s="15">
      <c r="A10" s="22" t="inlineStr">
        <is>
          <t>R170M</t>
        </is>
      </c>
      <c r="B10" s="23" t="inlineStr">
        <is>
          <t>环氧树脂</t>
        </is>
      </c>
      <c r="C10" s="23" t="inlineStr">
        <is>
          <t>聚酯</t>
        </is>
      </c>
      <c r="D10" s="23" t="inlineStr">
        <is>
          <t>树脂</t>
        </is>
      </c>
      <c r="E10" s="23" t="inlineStr">
        <is>
          <t>环氧</t>
        </is>
      </c>
      <c r="F10" s="23" t="inlineStr">
        <is>
          <t>专有(无SMILES)</t>
        </is>
      </c>
      <c r="G10" s="24" t="n">
        <v>60</v>
      </c>
      <c r="H10" s="22" t="n">
        <v>1.03</v>
      </c>
      <c r="I10" s="22" t="n">
        <v>1200</v>
      </c>
      <c r="J10" s="24" t="n">
        <v>1500</v>
      </c>
      <c r="K10" s="24" t="n">
        <v>0.5</v>
      </c>
      <c r="L10" s="24" t="n">
        <v>35</v>
      </c>
      <c r="M10" s="24" t="n">
        <v>0</v>
      </c>
      <c r="N10" s="24" t="n">
        <v>2</v>
      </c>
      <c r="O10" s="22" t="n">
        <v>66</v>
      </c>
      <c r="P10" s="22" t="n">
        <v>250</v>
      </c>
      <c r="Q10" s="22" t="n">
        <v>100</v>
      </c>
      <c r="R10" s="22" t="n">
        <v>18.3</v>
      </c>
      <c r="S10" s="22" t="n">
        <v>6.2</v>
      </c>
      <c r="T10" s="22" t="n">
        <v>8.699999999999999</v>
      </c>
      <c r="U10" s="22" t="n">
        <v>3.1</v>
      </c>
      <c r="V10" s="22" t="n">
        <v>0</v>
      </c>
      <c r="W10" s="22" t="n">
        <v>71</v>
      </c>
      <c r="X10" s="22" t="n">
        <v>7</v>
      </c>
      <c r="Y10" s="22" t="n">
        <v>21</v>
      </c>
      <c r="Z10" s="22" t="n">
        <v>0</v>
      </c>
      <c r="AA10" s="22" t="n">
        <v>0</v>
      </c>
      <c r="AB10" s="22" t="n">
        <v>0</v>
      </c>
      <c r="AC10" s="24" t="n">
        <v>0.067</v>
      </c>
      <c r="AD10" s="24" t="n">
        <v>0.021</v>
      </c>
      <c r="AE10" s="24" t="n">
        <v>0.001</v>
      </c>
      <c r="AF10" s="24" t="n">
        <v>0.01</v>
      </c>
      <c r="AG10" s="24" t="n">
        <v>0</v>
      </c>
      <c r="AH10" s="24" t="n">
        <v>0</v>
      </c>
      <c r="AI10" s="24" t="n">
        <v>0.38</v>
      </c>
      <c r="AJ10" s="24" t="n">
        <v>0.16</v>
      </c>
      <c r="AK10" s="22" t="n">
        <v>0</v>
      </c>
      <c r="AL10" s="22" t="n">
        <v>0</v>
      </c>
      <c r="AM10" s="23" t="inlineStr">
        <is>
          <t>类别典型值/文件信息</t>
        </is>
      </c>
      <c r="AN10" s="22" t="n"/>
    </row>
    <row r="11" ht="15" customHeight="1" s="15">
      <c r="A11" s="25" t="inlineStr">
        <is>
          <t>IR868</t>
        </is>
      </c>
      <c r="B11" s="26" t="inlineStr">
        <is>
          <t>环氧树脂</t>
        </is>
      </c>
      <c r="C11" s="26" t="inlineStr">
        <is>
          <t>聚酯</t>
        </is>
      </c>
      <c r="D11" s="26" t="inlineStr">
        <is>
          <t>树脂</t>
        </is>
      </c>
      <c r="E11" s="26" t="inlineStr">
        <is>
          <t>环氧</t>
        </is>
      </c>
      <c r="F11" s="26" t="inlineStr">
        <is>
          <t>专有(无SMILES)</t>
        </is>
      </c>
      <c r="G11" s="24" t="n">
        <v>60</v>
      </c>
      <c r="H11" s="25" t="n">
        <v>1.03</v>
      </c>
      <c r="I11" s="25" t="n">
        <v>1200</v>
      </c>
      <c r="J11" s="24" t="n">
        <v>1500</v>
      </c>
      <c r="K11" s="24" t="n">
        <v>0.5</v>
      </c>
      <c r="L11" s="24" t="n">
        <v>35</v>
      </c>
      <c r="M11" s="24" t="n">
        <v>0</v>
      </c>
      <c r="N11" s="24" t="n">
        <v>2</v>
      </c>
      <c r="O11" s="25" t="n">
        <v>66</v>
      </c>
      <c r="P11" s="25" t="n">
        <v>250</v>
      </c>
      <c r="Q11" s="25" t="n">
        <v>100</v>
      </c>
      <c r="R11" s="25" t="n">
        <v>18.3</v>
      </c>
      <c r="S11" s="25" t="n">
        <v>6.2</v>
      </c>
      <c r="T11" s="25" t="n">
        <v>8.699999999999999</v>
      </c>
      <c r="U11" s="25" t="n">
        <v>3.1</v>
      </c>
      <c r="V11" s="25" t="n">
        <v>0</v>
      </c>
      <c r="W11" s="25" t="n">
        <v>71</v>
      </c>
      <c r="X11" s="25" t="n">
        <v>7</v>
      </c>
      <c r="Y11" s="25" t="n">
        <v>21</v>
      </c>
      <c r="Z11" s="25" t="n">
        <v>0</v>
      </c>
      <c r="AA11" s="25" t="n">
        <v>0</v>
      </c>
      <c r="AB11" s="25" t="n">
        <v>0</v>
      </c>
      <c r="AC11" s="24" t="n">
        <v>0.067</v>
      </c>
      <c r="AD11" s="24" t="n">
        <v>0.021</v>
      </c>
      <c r="AE11" s="24" t="n">
        <v>0.001</v>
      </c>
      <c r="AF11" s="24" t="n">
        <v>0.01</v>
      </c>
      <c r="AG11" s="24" t="n">
        <v>0</v>
      </c>
      <c r="AH11" s="24" t="n">
        <v>0</v>
      </c>
      <c r="AI11" s="24" t="n">
        <v>0.38</v>
      </c>
      <c r="AJ11" s="24" t="n">
        <v>0.16</v>
      </c>
      <c r="AK11" s="25" t="n">
        <v>0</v>
      </c>
      <c r="AL11" s="25" t="n">
        <v>0</v>
      </c>
      <c r="AM11" s="26" t="inlineStr">
        <is>
          <t>类别典型值/文件信息</t>
        </is>
      </c>
      <c r="AN11" s="25" t="n"/>
    </row>
    <row r="12" ht="15" customHeight="1" s="15">
      <c r="A12" s="22" t="inlineStr">
        <is>
          <t>IR842</t>
        </is>
      </c>
      <c r="B12" s="23" t="inlineStr">
        <is>
          <t>环氧树脂</t>
        </is>
      </c>
      <c r="C12" s="23" t="inlineStr">
        <is>
          <t>有机</t>
        </is>
      </c>
      <c r="D12" s="23" t="inlineStr">
        <is>
          <t>树脂</t>
        </is>
      </c>
      <c r="E12" s="23" t="inlineStr">
        <is>
          <t>环氧</t>
        </is>
      </c>
      <c r="F12" s="23" t="inlineStr">
        <is>
          <t>专有(无SMILES)</t>
        </is>
      </c>
      <c r="G12" s="24" t="n">
        <v>60</v>
      </c>
      <c r="H12" s="22" t="n">
        <v>1.03</v>
      </c>
      <c r="I12" s="22" t="n">
        <v>1200</v>
      </c>
      <c r="J12" s="24" t="n">
        <v>1500</v>
      </c>
      <c r="K12" s="24" t="n">
        <v>0.5</v>
      </c>
      <c r="L12" s="24" t="n">
        <v>35</v>
      </c>
      <c r="M12" s="24" t="n">
        <v>0</v>
      </c>
      <c r="N12" s="24" t="n">
        <v>2</v>
      </c>
      <c r="O12" s="22" t="n">
        <v>66</v>
      </c>
      <c r="P12" s="22" t="n">
        <v>250</v>
      </c>
      <c r="Q12" s="22" t="n">
        <v>100</v>
      </c>
      <c r="R12" s="22" t="n">
        <v>18.3</v>
      </c>
      <c r="S12" s="22" t="n">
        <v>6.2</v>
      </c>
      <c r="T12" s="22" t="n">
        <v>8.699999999999999</v>
      </c>
      <c r="U12" s="22" t="n">
        <v>3.1</v>
      </c>
      <c r="V12" s="22" t="n">
        <v>0</v>
      </c>
      <c r="W12" s="22" t="n">
        <v>71</v>
      </c>
      <c r="X12" s="22" t="n">
        <v>7</v>
      </c>
      <c r="Y12" s="22" t="n">
        <v>21</v>
      </c>
      <c r="Z12" s="22" t="n">
        <v>0</v>
      </c>
      <c r="AA12" s="22" t="n">
        <v>0</v>
      </c>
      <c r="AB12" s="22" t="n">
        <v>0</v>
      </c>
      <c r="AC12" s="24" t="n">
        <v>0.067</v>
      </c>
      <c r="AD12" s="24" t="n">
        <v>0.021</v>
      </c>
      <c r="AE12" s="24" t="n">
        <v>0.001</v>
      </c>
      <c r="AF12" s="24" t="n">
        <v>0.01</v>
      </c>
      <c r="AG12" s="24" t="n">
        <v>0</v>
      </c>
      <c r="AH12" s="24" t="n">
        <v>0</v>
      </c>
      <c r="AI12" s="24" t="n">
        <v>0.38</v>
      </c>
      <c r="AJ12" s="24" t="n">
        <v>0.16</v>
      </c>
      <c r="AK12" s="22" t="n">
        <v>0</v>
      </c>
      <c r="AL12" s="22" t="n">
        <v>0</v>
      </c>
      <c r="AM12" s="23" t="inlineStr">
        <is>
          <t>类别典型值/文件信息</t>
        </is>
      </c>
      <c r="AN12" s="22" t="n"/>
    </row>
    <row r="13" ht="15" customHeight="1" s="15">
      <c r="A13" s="25" t="inlineStr">
        <is>
          <t>40%50177</t>
        </is>
      </c>
      <c r="B13" s="26" t="inlineStr">
        <is>
          <t>环氧树脂40%固含</t>
        </is>
      </c>
      <c r="C13" s="26" t="inlineStr">
        <is>
          <t>有机</t>
        </is>
      </c>
      <c r="D13" s="26" t="inlineStr">
        <is>
          <t>树脂</t>
        </is>
      </c>
      <c r="E13" s="26" t="inlineStr">
        <is>
          <t>环氧</t>
        </is>
      </c>
      <c r="F13" s="26" t="inlineStr">
        <is>
          <t>专有(无SMILES)</t>
        </is>
      </c>
      <c r="G13" s="24" t="n">
        <v>40</v>
      </c>
      <c r="H13" s="25" t="n">
        <v>1.01</v>
      </c>
      <c r="I13" s="25" t="n">
        <v>1300</v>
      </c>
      <c r="J13" s="24" t="n">
        <v>2400</v>
      </c>
      <c r="K13" s="24" t="n">
        <v>0.5</v>
      </c>
      <c r="L13" s="24" t="n">
        <v>32</v>
      </c>
      <c r="M13" s="24" t="n">
        <v>0</v>
      </c>
      <c r="N13" s="24" t="n">
        <v>2</v>
      </c>
      <c r="O13" s="25" t="n">
        <v>68</v>
      </c>
      <c r="P13" s="25" t="n">
        <v>250</v>
      </c>
      <c r="Q13" s="25" t="n">
        <v>100</v>
      </c>
      <c r="R13" s="25" t="n">
        <v>18.4</v>
      </c>
      <c r="S13" s="25" t="n">
        <v>6.1</v>
      </c>
      <c r="T13" s="25" t="n">
        <v>8.6</v>
      </c>
      <c r="U13" s="25" t="n">
        <v>3</v>
      </c>
      <c r="V13" s="25" t="n">
        <v>0</v>
      </c>
      <c r="W13" s="25" t="n">
        <v>72</v>
      </c>
      <c r="X13" s="25" t="n">
        <v>7</v>
      </c>
      <c r="Y13" s="25" t="n">
        <v>20</v>
      </c>
      <c r="Z13" s="25" t="n">
        <v>0</v>
      </c>
      <c r="AA13" s="25" t="n">
        <v>0</v>
      </c>
      <c r="AB13" s="25" t="n">
        <v>0</v>
      </c>
      <c r="AC13" s="24" t="n">
        <v>0.042</v>
      </c>
      <c r="AD13" s="24" t="n">
        <v>0.019</v>
      </c>
      <c r="AE13" s="24" t="n">
        <v>0.001</v>
      </c>
      <c r="AF13" s="24" t="n">
        <v>0.01</v>
      </c>
      <c r="AG13" s="24" t="n">
        <v>0</v>
      </c>
      <c r="AH13" s="24" t="n">
        <v>0</v>
      </c>
      <c r="AI13" s="24" t="n">
        <v>0.4</v>
      </c>
      <c r="AJ13" s="24" t="n">
        <v>0.15</v>
      </c>
      <c r="AK13" s="25" t="n">
        <v>0</v>
      </c>
      <c r="AL13" s="25" t="n">
        <v>0</v>
      </c>
      <c r="AM13" s="26" t="inlineStr">
        <is>
          <t>类别典型值/文件信息</t>
        </is>
      </c>
      <c r="AN13" s="25" t="n"/>
    </row>
    <row r="14" ht="15" customHeight="1" s="15">
      <c r="A14" s="23" t="inlineStr">
        <is>
          <t>杜邦-FT960</t>
        </is>
      </c>
      <c r="B14" s="23" t="inlineStr">
        <is>
          <t>环氧树脂</t>
        </is>
      </c>
      <c r="C14" s="23" t="inlineStr">
        <is>
          <t>有机</t>
        </is>
      </c>
      <c r="D14" s="23" t="inlineStr">
        <is>
          <t>树脂</t>
        </is>
      </c>
      <c r="E14" s="23" t="inlineStr">
        <is>
          <t>环氧</t>
        </is>
      </c>
      <c r="F14" s="23" t="inlineStr">
        <is>
          <t>专有(无SMILES)</t>
        </is>
      </c>
      <c r="G14" s="24" t="n">
        <v>50</v>
      </c>
      <c r="H14" s="22" t="n">
        <v>1.02</v>
      </c>
      <c r="I14" s="22" t="n">
        <v>1300</v>
      </c>
      <c r="J14" s="24" t="n">
        <v>1800</v>
      </c>
      <c r="K14" s="24" t="n">
        <v>0.5</v>
      </c>
      <c r="L14" s="24" t="n">
        <v>32</v>
      </c>
      <c r="M14" s="24" t="n">
        <v>0</v>
      </c>
      <c r="N14" s="24" t="n">
        <v>2</v>
      </c>
      <c r="O14" s="22" t="n">
        <v>68</v>
      </c>
      <c r="P14" s="22" t="n">
        <v>250</v>
      </c>
      <c r="Q14" s="22" t="n">
        <v>100</v>
      </c>
      <c r="R14" s="22" t="n">
        <v>18.4</v>
      </c>
      <c r="S14" s="22" t="n">
        <v>6.1</v>
      </c>
      <c r="T14" s="22" t="n">
        <v>8.6</v>
      </c>
      <c r="U14" s="22" t="n">
        <v>3</v>
      </c>
      <c r="V14" s="22" t="n">
        <v>0</v>
      </c>
      <c r="W14" s="22" t="n">
        <v>72</v>
      </c>
      <c r="X14" s="22" t="n">
        <v>7</v>
      </c>
      <c r="Y14" s="22" t="n">
        <v>20</v>
      </c>
      <c r="Z14" s="22" t="n">
        <v>0</v>
      </c>
      <c r="AA14" s="22" t="n">
        <v>0</v>
      </c>
      <c r="AB14" s="22" t="n">
        <v>0</v>
      </c>
      <c r="AC14" s="24" t="n">
        <v>0.056</v>
      </c>
      <c r="AD14" s="24" t="n">
        <v>0.019</v>
      </c>
      <c r="AE14" s="24" t="n">
        <v>0.001</v>
      </c>
      <c r="AF14" s="24" t="n">
        <v>0.01</v>
      </c>
      <c r="AG14" s="24" t="n">
        <v>0</v>
      </c>
      <c r="AH14" s="24" t="n">
        <v>0</v>
      </c>
      <c r="AI14" s="24" t="n">
        <v>0.4</v>
      </c>
      <c r="AJ14" s="24" t="n">
        <v>0.15</v>
      </c>
      <c r="AK14" s="22" t="n">
        <v>0</v>
      </c>
      <c r="AL14" s="22" t="n">
        <v>0</v>
      </c>
      <c r="AM14" s="23" t="inlineStr">
        <is>
          <t>类别典型值/文件信息</t>
        </is>
      </c>
      <c r="AN14" s="22" t="n"/>
    </row>
    <row r="15" ht="15" customHeight="1" s="15">
      <c r="A15" s="25" t="inlineStr">
        <is>
          <t>RF401</t>
        </is>
      </c>
      <c r="B15" s="26" t="inlineStr">
        <is>
          <t>酚醛固化剂PR401</t>
        </is>
      </c>
      <c r="C15" s="26" t="inlineStr">
        <is>
          <t>环氧酚醛</t>
        </is>
      </c>
      <c r="D15" s="26" t="inlineStr">
        <is>
          <t>固化剂</t>
        </is>
      </c>
      <c r="E15" s="26" t="inlineStr">
        <is>
          <t>酚醛</t>
        </is>
      </c>
      <c r="F15" s="26" t="inlineStr">
        <is>
          <t>专有(无SMILES)</t>
        </is>
      </c>
      <c r="G15" s="24" t="n">
        <v>60</v>
      </c>
      <c r="H15" s="25" t="n">
        <v>1.08</v>
      </c>
      <c r="I15" s="25" t="n">
        <v>900</v>
      </c>
      <c r="J15" s="24" t="n">
        <v>0</v>
      </c>
      <c r="K15" s="24" t="n">
        <v>1</v>
      </c>
      <c r="L15" s="24" t="n">
        <v>280</v>
      </c>
      <c r="M15" s="24" t="n">
        <v>0</v>
      </c>
      <c r="N15" s="24" t="n">
        <v>3</v>
      </c>
      <c r="O15" s="25" t="n">
        <v>70</v>
      </c>
      <c r="P15" s="25" t="n">
        <v>300</v>
      </c>
      <c r="Q15" s="25" t="n">
        <v>120</v>
      </c>
      <c r="R15" s="25" t="n">
        <v>19.5</v>
      </c>
      <c r="S15" s="25" t="n">
        <v>7</v>
      </c>
      <c r="T15" s="25" t="n">
        <v>10</v>
      </c>
      <c r="U15" s="25" t="n">
        <v>3.5</v>
      </c>
      <c r="V15" s="25" t="n">
        <v>0</v>
      </c>
      <c r="W15" s="25" t="n">
        <v>74</v>
      </c>
      <c r="X15" s="25" t="n">
        <v>6</v>
      </c>
      <c r="Y15" s="25" t="n">
        <v>18</v>
      </c>
      <c r="Z15" s="25" t="n">
        <v>0</v>
      </c>
      <c r="AA15" s="25" t="n">
        <v>0</v>
      </c>
      <c r="AB15" s="25" t="n">
        <v>0</v>
      </c>
      <c r="AC15" s="24" t="n">
        <v>0</v>
      </c>
      <c r="AD15" s="24" t="n">
        <v>0.165</v>
      </c>
      <c r="AE15" s="24" t="n">
        <v>0.002</v>
      </c>
      <c r="AF15" s="24" t="n">
        <v>0.01</v>
      </c>
      <c r="AG15" s="24" t="n">
        <v>0</v>
      </c>
      <c r="AH15" s="24" t="n">
        <v>0</v>
      </c>
      <c r="AI15" s="24" t="n">
        <v>0.6</v>
      </c>
      <c r="AJ15" s="24" t="n">
        <v>0.05</v>
      </c>
      <c r="AK15" s="25" t="n">
        <v>0</v>
      </c>
      <c r="AL15" s="25" t="n">
        <v>0</v>
      </c>
      <c r="AM15" s="26" t="inlineStr">
        <is>
          <t>类别典型值/文件信息</t>
        </is>
      </c>
      <c r="AN15" s="25" t="n"/>
    </row>
    <row r="16" ht="15" customHeight="1" s="15">
      <c r="A16" s="22" t="inlineStr">
        <is>
          <t>RF160</t>
        </is>
      </c>
      <c r="B16" s="23" t="inlineStr">
        <is>
          <t>酚醛固化剂PR33160G</t>
        </is>
      </c>
      <c r="C16" s="23" t="inlineStr">
        <is>
          <t>环氧酚醛</t>
        </is>
      </c>
      <c r="D16" s="23" t="inlineStr">
        <is>
          <t>固化剂</t>
        </is>
      </c>
      <c r="E16" s="23" t="inlineStr">
        <is>
          <t>酚醛</t>
        </is>
      </c>
      <c r="F16" s="23" t="inlineStr">
        <is>
          <t>专有(无SMILES)</t>
        </is>
      </c>
      <c r="G16" s="24" t="n">
        <v>60</v>
      </c>
      <c r="H16" s="22" t="n">
        <v>1.08</v>
      </c>
      <c r="I16" s="22" t="n">
        <v>900</v>
      </c>
      <c r="J16" s="24" t="n">
        <v>0</v>
      </c>
      <c r="K16" s="24" t="n">
        <v>1</v>
      </c>
      <c r="L16" s="24" t="n">
        <v>280</v>
      </c>
      <c r="M16" s="24" t="n">
        <v>0</v>
      </c>
      <c r="N16" s="24" t="n">
        <v>3</v>
      </c>
      <c r="O16" s="22" t="n">
        <v>70</v>
      </c>
      <c r="P16" s="22" t="n">
        <v>300</v>
      </c>
      <c r="Q16" s="22" t="n">
        <v>120</v>
      </c>
      <c r="R16" s="22" t="n">
        <v>19.5</v>
      </c>
      <c r="S16" s="22" t="n">
        <v>7</v>
      </c>
      <c r="T16" s="22" t="n">
        <v>10</v>
      </c>
      <c r="U16" s="22" t="n">
        <v>3.5</v>
      </c>
      <c r="V16" s="22" t="n">
        <v>0</v>
      </c>
      <c r="W16" s="22" t="n">
        <v>74</v>
      </c>
      <c r="X16" s="22" t="n">
        <v>6</v>
      </c>
      <c r="Y16" s="22" t="n">
        <v>18</v>
      </c>
      <c r="Z16" s="22" t="n">
        <v>0</v>
      </c>
      <c r="AA16" s="22" t="n">
        <v>0</v>
      </c>
      <c r="AB16" s="22" t="n">
        <v>0</v>
      </c>
      <c r="AC16" s="24" t="n">
        <v>0</v>
      </c>
      <c r="AD16" s="24" t="n">
        <v>0.165</v>
      </c>
      <c r="AE16" s="24" t="n">
        <v>0.002</v>
      </c>
      <c r="AF16" s="24" t="n">
        <v>0.01</v>
      </c>
      <c r="AG16" s="24" t="n">
        <v>0</v>
      </c>
      <c r="AH16" s="24" t="n">
        <v>0</v>
      </c>
      <c r="AI16" s="24" t="n">
        <v>0.6</v>
      </c>
      <c r="AJ16" s="24" t="n">
        <v>0.05</v>
      </c>
      <c r="AK16" s="22" t="n">
        <v>0</v>
      </c>
      <c r="AL16" s="22" t="n">
        <v>0</v>
      </c>
      <c r="AM16" s="23" t="inlineStr">
        <is>
          <t>类别典型值/文件信息</t>
        </is>
      </c>
      <c r="AN16" s="22" t="n"/>
    </row>
    <row r="17" ht="15" customHeight="1" s="15">
      <c r="A17" s="25" t="inlineStr">
        <is>
          <t>RF516</t>
        </is>
      </c>
      <c r="B17" s="26" t="inlineStr">
        <is>
          <t>酚醛固化剂PR516</t>
        </is>
      </c>
      <c r="C17" s="26" t="inlineStr">
        <is>
          <t>聚酯</t>
        </is>
      </c>
      <c r="D17" s="26" t="inlineStr">
        <is>
          <t>固化剂</t>
        </is>
      </c>
      <c r="E17" s="26" t="inlineStr">
        <is>
          <t>酚醛</t>
        </is>
      </c>
      <c r="F17" s="26" t="inlineStr">
        <is>
          <t>专有(无SMILES)</t>
        </is>
      </c>
      <c r="G17" s="24" t="n">
        <v>60</v>
      </c>
      <c r="H17" s="25" t="n">
        <v>1.08</v>
      </c>
      <c r="I17" s="25" t="n">
        <v>900</v>
      </c>
      <c r="J17" s="24" t="n">
        <v>0</v>
      </c>
      <c r="K17" s="24" t="n">
        <v>1</v>
      </c>
      <c r="L17" s="24" t="n">
        <v>280</v>
      </c>
      <c r="M17" s="24" t="n">
        <v>0</v>
      </c>
      <c r="N17" s="24" t="n">
        <v>3</v>
      </c>
      <c r="O17" s="25" t="n">
        <v>70</v>
      </c>
      <c r="P17" s="25" t="n">
        <v>300</v>
      </c>
      <c r="Q17" s="25" t="n">
        <v>120</v>
      </c>
      <c r="R17" s="25" t="n">
        <v>19.5</v>
      </c>
      <c r="S17" s="25" t="n">
        <v>7</v>
      </c>
      <c r="T17" s="25" t="n">
        <v>10</v>
      </c>
      <c r="U17" s="25" t="n">
        <v>3.5</v>
      </c>
      <c r="V17" s="25" t="n">
        <v>0</v>
      </c>
      <c r="W17" s="25" t="n">
        <v>74</v>
      </c>
      <c r="X17" s="25" t="n">
        <v>6</v>
      </c>
      <c r="Y17" s="25" t="n">
        <v>18</v>
      </c>
      <c r="Z17" s="25" t="n">
        <v>0</v>
      </c>
      <c r="AA17" s="25" t="n">
        <v>0</v>
      </c>
      <c r="AB17" s="25" t="n">
        <v>0</v>
      </c>
      <c r="AC17" s="24" t="n">
        <v>0</v>
      </c>
      <c r="AD17" s="24" t="n">
        <v>0.165</v>
      </c>
      <c r="AE17" s="24" t="n">
        <v>0.002</v>
      </c>
      <c r="AF17" s="24" t="n">
        <v>0.01</v>
      </c>
      <c r="AG17" s="24" t="n">
        <v>0</v>
      </c>
      <c r="AH17" s="24" t="n">
        <v>0</v>
      </c>
      <c r="AI17" s="24" t="n">
        <v>0.6</v>
      </c>
      <c r="AJ17" s="24" t="n">
        <v>0.05</v>
      </c>
      <c r="AK17" s="25" t="n">
        <v>0</v>
      </c>
      <c r="AL17" s="25" t="n">
        <v>0</v>
      </c>
      <c r="AM17" s="26" t="inlineStr">
        <is>
          <t>类别典型值/文件信息</t>
        </is>
      </c>
      <c r="AN17" s="25" t="n"/>
    </row>
    <row r="18" ht="15" customHeight="1" s="15">
      <c r="A18" s="22" t="inlineStr">
        <is>
          <t>RF950</t>
        </is>
      </c>
      <c r="B18" s="23" t="inlineStr">
        <is>
          <t>酚醛固化剂PR8219-50</t>
        </is>
      </c>
      <c r="C18" s="23" t="inlineStr">
        <is>
          <t>聚酯</t>
        </is>
      </c>
      <c r="D18" s="23" t="inlineStr">
        <is>
          <t>固化剂</t>
        </is>
      </c>
      <c r="E18" s="23" t="inlineStr">
        <is>
          <t>酚醛</t>
        </is>
      </c>
      <c r="F18" s="23" t="inlineStr">
        <is>
          <t>专有(无SMILES)</t>
        </is>
      </c>
      <c r="G18" s="24" t="n">
        <v>50</v>
      </c>
      <c r="H18" s="22" t="n">
        <v>1.07</v>
      </c>
      <c r="I18" s="22" t="n">
        <v>900</v>
      </c>
      <c r="J18" s="24" t="n">
        <v>0</v>
      </c>
      <c r="K18" s="24" t="n">
        <v>1</v>
      </c>
      <c r="L18" s="24" t="n">
        <v>280</v>
      </c>
      <c r="M18" s="24" t="n">
        <v>0</v>
      </c>
      <c r="N18" s="24" t="n">
        <v>3</v>
      </c>
      <c r="O18" s="22" t="n">
        <v>70</v>
      </c>
      <c r="P18" s="22" t="n">
        <v>300</v>
      </c>
      <c r="Q18" s="22" t="n">
        <v>120</v>
      </c>
      <c r="R18" s="22" t="n">
        <v>19.5</v>
      </c>
      <c r="S18" s="22" t="n">
        <v>7</v>
      </c>
      <c r="T18" s="22" t="n">
        <v>10</v>
      </c>
      <c r="U18" s="22" t="n">
        <v>3.5</v>
      </c>
      <c r="V18" s="22" t="n">
        <v>0</v>
      </c>
      <c r="W18" s="22" t="n">
        <v>74</v>
      </c>
      <c r="X18" s="22" t="n">
        <v>6</v>
      </c>
      <c r="Y18" s="22" t="n">
        <v>18</v>
      </c>
      <c r="Z18" s="22" t="n">
        <v>0</v>
      </c>
      <c r="AA18" s="22" t="n">
        <v>0</v>
      </c>
      <c r="AB18" s="22" t="n">
        <v>0</v>
      </c>
      <c r="AC18" s="24" t="n">
        <v>0</v>
      </c>
      <c r="AD18" s="24" t="n">
        <v>0.165</v>
      </c>
      <c r="AE18" s="24" t="n">
        <v>0.002</v>
      </c>
      <c r="AF18" s="24" t="n">
        <v>0.01</v>
      </c>
      <c r="AG18" s="24" t="n">
        <v>0</v>
      </c>
      <c r="AH18" s="24" t="n">
        <v>0</v>
      </c>
      <c r="AI18" s="24" t="n">
        <v>0.6</v>
      </c>
      <c r="AJ18" s="24" t="n">
        <v>0.05</v>
      </c>
      <c r="AK18" s="22" t="n">
        <v>0</v>
      </c>
      <c r="AL18" s="22" t="n">
        <v>0</v>
      </c>
      <c r="AM18" s="23" t="inlineStr">
        <is>
          <t>类别典型值/文件信息</t>
        </is>
      </c>
      <c r="AN18" s="22" t="n"/>
    </row>
    <row r="19" ht="15" customHeight="1" s="15">
      <c r="A19" s="25" t="inlineStr">
        <is>
          <t>RF956</t>
        </is>
      </c>
      <c r="B19" s="26" t="inlineStr">
        <is>
          <t>酚醛固化剂PR8219-65</t>
        </is>
      </c>
      <c r="C19" s="26" t="inlineStr">
        <is>
          <t>环氧酚醛</t>
        </is>
      </c>
      <c r="D19" s="26" t="inlineStr">
        <is>
          <t>固化剂</t>
        </is>
      </c>
      <c r="E19" s="26" t="inlineStr">
        <is>
          <t>酚醛</t>
        </is>
      </c>
      <c r="F19" s="26" t="inlineStr">
        <is>
          <t>专有(无SMILES)</t>
        </is>
      </c>
      <c r="G19" s="24" t="n">
        <v>65</v>
      </c>
      <c r="H19" s="25" t="n">
        <v>1.09</v>
      </c>
      <c r="I19" s="25" t="n">
        <v>900</v>
      </c>
      <c r="J19" s="24" t="n">
        <v>0</v>
      </c>
      <c r="K19" s="24" t="n">
        <v>1</v>
      </c>
      <c r="L19" s="24" t="n">
        <v>280</v>
      </c>
      <c r="M19" s="24" t="n">
        <v>0</v>
      </c>
      <c r="N19" s="24" t="n">
        <v>3</v>
      </c>
      <c r="O19" s="25" t="n">
        <v>70</v>
      </c>
      <c r="P19" s="25" t="n">
        <v>300</v>
      </c>
      <c r="Q19" s="25" t="n">
        <v>120</v>
      </c>
      <c r="R19" s="25" t="n">
        <v>19.5</v>
      </c>
      <c r="S19" s="25" t="n">
        <v>7</v>
      </c>
      <c r="T19" s="25" t="n">
        <v>10</v>
      </c>
      <c r="U19" s="25" t="n">
        <v>3.5</v>
      </c>
      <c r="V19" s="25" t="n">
        <v>0</v>
      </c>
      <c r="W19" s="25" t="n">
        <v>74</v>
      </c>
      <c r="X19" s="25" t="n">
        <v>6</v>
      </c>
      <c r="Y19" s="25" t="n">
        <v>18</v>
      </c>
      <c r="Z19" s="25" t="n">
        <v>0</v>
      </c>
      <c r="AA19" s="25" t="n">
        <v>0</v>
      </c>
      <c r="AB19" s="25" t="n">
        <v>0</v>
      </c>
      <c r="AC19" s="24" t="n">
        <v>0</v>
      </c>
      <c r="AD19" s="24" t="n">
        <v>0.165</v>
      </c>
      <c r="AE19" s="24" t="n">
        <v>0.002</v>
      </c>
      <c r="AF19" s="24" t="n">
        <v>0.01</v>
      </c>
      <c r="AG19" s="24" t="n">
        <v>0</v>
      </c>
      <c r="AH19" s="24" t="n">
        <v>0</v>
      </c>
      <c r="AI19" s="24" t="n">
        <v>0.6</v>
      </c>
      <c r="AJ19" s="24" t="n">
        <v>0.05</v>
      </c>
      <c r="AK19" s="25" t="n">
        <v>0</v>
      </c>
      <c r="AL19" s="25" t="n">
        <v>0</v>
      </c>
      <c r="AM19" s="26" t="inlineStr">
        <is>
          <t>类别典型值/文件信息</t>
        </is>
      </c>
      <c r="AN19" s="25" t="n"/>
    </row>
    <row r="20" ht="15" customHeight="1" s="15">
      <c r="A20" s="22" t="inlineStr">
        <is>
          <t>RH601</t>
        </is>
      </c>
      <c r="B20" s="23" t="inlineStr">
        <is>
          <t>酚醛固化剂SM601RX75</t>
        </is>
      </c>
      <c r="C20" s="23" t="inlineStr">
        <is>
          <t>环氧酚醛</t>
        </is>
      </c>
      <c r="D20" s="23" t="inlineStr">
        <is>
          <t>固化剂</t>
        </is>
      </c>
      <c r="E20" s="23" t="inlineStr">
        <is>
          <t>酚醛</t>
        </is>
      </c>
      <c r="F20" s="23" t="inlineStr">
        <is>
          <t>专有(无SMILES)</t>
        </is>
      </c>
      <c r="G20" s="24" t="n">
        <v>75</v>
      </c>
      <c r="H20" s="22" t="n">
        <v>1.1</v>
      </c>
      <c r="I20" s="22" t="n">
        <v>900</v>
      </c>
      <c r="J20" s="24" t="n">
        <v>0</v>
      </c>
      <c r="K20" s="24" t="n">
        <v>1</v>
      </c>
      <c r="L20" s="24" t="n">
        <v>280</v>
      </c>
      <c r="M20" s="24" t="n">
        <v>0</v>
      </c>
      <c r="N20" s="24" t="n">
        <v>3</v>
      </c>
      <c r="O20" s="22" t="n">
        <v>70</v>
      </c>
      <c r="P20" s="22" t="n">
        <v>300</v>
      </c>
      <c r="Q20" s="22" t="n">
        <v>120</v>
      </c>
      <c r="R20" s="22" t="n">
        <v>19.5</v>
      </c>
      <c r="S20" s="22" t="n">
        <v>7</v>
      </c>
      <c r="T20" s="22" t="n">
        <v>10</v>
      </c>
      <c r="U20" s="22" t="n">
        <v>3.5</v>
      </c>
      <c r="V20" s="22" t="n">
        <v>0</v>
      </c>
      <c r="W20" s="22" t="n">
        <v>74</v>
      </c>
      <c r="X20" s="22" t="n">
        <v>6</v>
      </c>
      <c r="Y20" s="22" t="n">
        <v>18</v>
      </c>
      <c r="Z20" s="22" t="n">
        <v>0</v>
      </c>
      <c r="AA20" s="22" t="n">
        <v>0</v>
      </c>
      <c r="AB20" s="22" t="n">
        <v>0</v>
      </c>
      <c r="AC20" s="24" t="n">
        <v>0</v>
      </c>
      <c r="AD20" s="24" t="n">
        <v>0.165</v>
      </c>
      <c r="AE20" s="24" t="n">
        <v>0.002</v>
      </c>
      <c r="AF20" s="24" t="n">
        <v>0.01</v>
      </c>
      <c r="AG20" s="24" t="n">
        <v>0</v>
      </c>
      <c r="AH20" s="24" t="n">
        <v>0</v>
      </c>
      <c r="AI20" s="24" t="n">
        <v>0.6</v>
      </c>
      <c r="AJ20" s="24" t="n">
        <v>0.05</v>
      </c>
      <c r="AK20" s="22" t="n">
        <v>0</v>
      </c>
      <c r="AL20" s="22" t="n">
        <v>0</v>
      </c>
      <c r="AM20" s="23" t="inlineStr">
        <is>
          <t>类别典型值/文件信息</t>
        </is>
      </c>
      <c r="AN20" s="22" t="n"/>
    </row>
    <row r="21" ht="15" customHeight="1" s="15">
      <c r="A21" s="25" t="inlineStr">
        <is>
          <t>RJ173M</t>
        </is>
      </c>
      <c r="B21" s="26" t="inlineStr">
        <is>
          <t>聚酯树脂</t>
        </is>
      </c>
      <c r="C21" s="26" t="inlineStr">
        <is>
          <t>聚酯</t>
        </is>
      </c>
      <c r="D21" s="26" t="inlineStr">
        <is>
          <t>树脂</t>
        </is>
      </c>
      <c r="E21" s="26" t="inlineStr">
        <is>
          <t>聚酯</t>
        </is>
      </c>
      <c r="F21" s="26" t="inlineStr">
        <is>
          <t>专有(无SMILES)</t>
        </is>
      </c>
      <c r="G21" s="24" t="n">
        <v>60</v>
      </c>
      <c r="H21" s="25" t="n">
        <v>1.1</v>
      </c>
      <c r="I21" s="25" t="n">
        <v>3000</v>
      </c>
      <c r="J21" s="24" t="n">
        <v>0</v>
      </c>
      <c r="K21" s="24" t="n">
        <v>8</v>
      </c>
      <c r="L21" s="24" t="n">
        <v>60</v>
      </c>
      <c r="M21" s="24" t="n">
        <v>0</v>
      </c>
      <c r="N21" s="24" t="n">
        <v>2</v>
      </c>
      <c r="O21" s="25" t="n">
        <v>40</v>
      </c>
      <c r="P21" s="25" t="n">
        <v>300</v>
      </c>
      <c r="Q21" s="25" t="n">
        <v>150</v>
      </c>
      <c r="R21" s="25" t="n">
        <v>18</v>
      </c>
      <c r="S21" s="25" t="n">
        <v>7</v>
      </c>
      <c r="T21" s="25" t="n">
        <v>9</v>
      </c>
      <c r="U21" s="25" t="n">
        <v>3.2</v>
      </c>
      <c r="V21" s="25" t="n">
        <v>0</v>
      </c>
      <c r="W21" s="25" t="n">
        <v>66</v>
      </c>
      <c r="X21" s="25" t="n">
        <v>8</v>
      </c>
      <c r="Y21" s="25" t="n">
        <v>26</v>
      </c>
      <c r="Z21" s="25" t="n">
        <v>0</v>
      </c>
      <c r="AA21" s="25" t="n">
        <v>0</v>
      </c>
      <c r="AB21" s="25" t="n">
        <v>0</v>
      </c>
      <c r="AC21" s="24" t="n">
        <v>0</v>
      </c>
      <c r="AD21" s="24" t="n">
        <v>0.035</v>
      </c>
      <c r="AE21" s="24" t="n">
        <v>0.005</v>
      </c>
      <c r="AF21" s="24" t="n">
        <v>0.35</v>
      </c>
      <c r="AG21" s="24" t="n">
        <v>0</v>
      </c>
      <c r="AH21" s="24" t="n">
        <v>0</v>
      </c>
      <c r="AI21" s="24" t="n">
        <v>0.3</v>
      </c>
      <c r="AJ21" s="24" t="n">
        <v>0.05</v>
      </c>
      <c r="AK21" s="25" t="n">
        <v>0</v>
      </c>
      <c r="AL21" s="25" t="n">
        <v>0</v>
      </c>
      <c r="AM21" s="26" t="inlineStr">
        <is>
          <t>类别典型值/文件信息</t>
        </is>
      </c>
      <c r="AN21" s="25" t="n"/>
    </row>
    <row r="22" ht="15" customHeight="1" s="15">
      <c r="A22" s="22" t="inlineStr">
        <is>
          <t>RJ561</t>
        </is>
      </c>
      <c r="B22" s="23" t="inlineStr">
        <is>
          <t>聚酯树脂</t>
        </is>
      </c>
      <c r="C22" s="23" t="inlineStr">
        <is>
          <t>聚酯</t>
        </is>
      </c>
      <c r="D22" s="23" t="inlineStr">
        <is>
          <t>树脂</t>
        </is>
      </c>
      <c r="E22" s="23" t="inlineStr">
        <is>
          <t>聚酯</t>
        </is>
      </c>
      <c r="F22" s="23" t="inlineStr">
        <is>
          <t>专有(无SMILES)</t>
        </is>
      </c>
      <c r="G22" s="24" t="n">
        <v>60</v>
      </c>
      <c r="H22" s="22" t="n">
        <v>1.1</v>
      </c>
      <c r="I22" s="22" t="n">
        <v>3000</v>
      </c>
      <c r="J22" s="24" t="n">
        <v>0</v>
      </c>
      <c r="K22" s="24" t="n">
        <v>8</v>
      </c>
      <c r="L22" s="24" t="n">
        <v>60</v>
      </c>
      <c r="M22" s="24" t="n">
        <v>0</v>
      </c>
      <c r="N22" s="24" t="n">
        <v>2</v>
      </c>
      <c r="O22" s="22" t="n">
        <v>40</v>
      </c>
      <c r="P22" s="22" t="n">
        <v>300</v>
      </c>
      <c r="Q22" s="22" t="n">
        <v>150</v>
      </c>
      <c r="R22" s="22" t="n">
        <v>18</v>
      </c>
      <c r="S22" s="22" t="n">
        <v>7</v>
      </c>
      <c r="T22" s="22" t="n">
        <v>9</v>
      </c>
      <c r="U22" s="22" t="n">
        <v>3.2</v>
      </c>
      <c r="V22" s="22" t="n">
        <v>0</v>
      </c>
      <c r="W22" s="22" t="n">
        <v>66</v>
      </c>
      <c r="X22" s="22" t="n">
        <v>8</v>
      </c>
      <c r="Y22" s="22" t="n">
        <v>26</v>
      </c>
      <c r="Z22" s="22" t="n">
        <v>0</v>
      </c>
      <c r="AA22" s="22" t="n">
        <v>0</v>
      </c>
      <c r="AB22" s="22" t="n">
        <v>0</v>
      </c>
      <c r="AC22" s="24" t="n">
        <v>0</v>
      </c>
      <c r="AD22" s="24" t="n">
        <v>0.035</v>
      </c>
      <c r="AE22" s="24" t="n">
        <v>0.005</v>
      </c>
      <c r="AF22" s="24" t="n">
        <v>0.35</v>
      </c>
      <c r="AG22" s="24" t="n">
        <v>0</v>
      </c>
      <c r="AH22" s="24" t="n">
        <v>0</v>
      </c>
      <c r="AI22" s="24" t="n">
        <v>0.3</v>
      </c>
      <c r="AJ22" s="24" t="n">
        <v>0.05</v>
      </c>
      <c r="AK22" s="22" t="n">
        <v>0</v>
      </c>
      <c r="AL22" s="22" t="n">
        <v>0</v>
      </c>
      <c r="AM22" s="23" t="inlineStr">
        <is>
          <t>类别典型值/文件信息</t>
        </is>
      </c>
      <c r="AN22" s="22" t="n"/>
    </row>
    <row r="23" ht="15" customHeight="1" s="15">
      <c r="A23" s="25" t="inlineStr">
        <is>
          <t>RJ183</t>
        </is>
      </c>
      <c r="B23" s="26" t="inlineStr">
        <is>
          <t>聚酯树脂</t>
        </is>
      </c>
      <c r="C23" s="26" t="inlineStr">
        <is>
          <t>有机</t>
        </is>
      </c>
      <c r="D23" s="26" t="inlineStr">
        <is>
          <t>树脂</t>
        </is>
      </c>
      <c r="E23" s="26" t="inlineStr">
        <is>
          <t>聚酯</t>
        </is>
      </c>
      <c r="F23" s="26" t="inlineStr">
        <is>
          <t>专有(无SMILES)</t>
        </is>
      </c>
      <c r="G23" s="24" t="n">
        <v>60</v>
      </c>
      <c r="H23" s="25" t="n">
        <v>1.1</v>
      </c>
      <c r="I23" s="25" t="n">
        <v>3000</v>
      </c>
      <c r="J23" s="24" t="n">
        <v>0</v>
      </c>
      <c r="K23" s="24" t="n">
        <v>8</v>
      </c>
      <c r="L23" s="24" t="n">
        <v>60</v>
      </c>
      <c r="M23" s="24" t="n">
        <v>0</v>
      </c>
      <c r="N23" s="24" t="n">
        <v>2</v>
      </c>
      <c r="O23" s="25" t="n">
        <v>40</v>
      </c>
      <c r="P23" s="25" t="n">
        <v>300</v>
      </c>
      <c r="Q23" s="25" t="n">
        <v>150</v>
      </c>
      <c r="R23" s="25" t="n">
        <v>18</v>
      </c>
      <c r="S23" s="25" t="n">
        <v>7</v>
      </c>
      <c r="T23" s="25" t="n">
        <v>9</v>
      </c>
      <c r="U23" s="25" t="n">
        <v>3.2</v>
      </c>
      <c r="V23" s="25" t="n">
        <v>0</v>
      </c>
      <c r="W23" s="25" t="n">
        <v>66</v>
      </c>
      <c r="X23" s="25" t="n">
        <v>8</v>
      </c>
      <c r="Y23" s="25" t="n">
        <v>26</v>
      </c>
      <c r="Z23" s="25" t="n">
        <v>0</v>
      </c>
      <c r="AA23" s="25" t="n">
        <v>0</v>
      </c>
      <c r="AB23" s="25" t="n">
        <v>0</v>
      </c>
      <c r="AC23" s="24" t="n">
        <v>0</v>
      </c>
      <c r="AD23" s="24" t="n">
        <v>0.035</v>
      </c>
      <c r="AE23" s="24" t="n">
        <v>0.005</v>
      </c>
      <c r="AF23" s="24" t="n">
        <v>0.35</v>
      </c>
      <c r="AG23" s="24" t="n">
        <v>0</v>
      </c>
      <c r="AH23" s="24" t="n">
        <v>0</v>
      </c>
      <c r="AI23" s="24" t="n">
        <v>0.3</v>
      </c>
      <c r="AJ23" s="24" t="n">
        <v>0.05</v>
      </c>
      <c r="AK23" s="25" t="n">
        <v>0</v>
      </c>
      <c r="AL23" s="25" t="n">
        <v>0</v>
      </c>
      <c r="AM23" s="26" t="inlineStr">
        <is>
          <t>类别典型值/文件信息</t>
        </is>
      </c>
      <c r="AN23" s="25" t="n"/>
    </row>
    <row r="24" ht="15" customHeight="1" s="15">
      <c r="A24" s="22" t="inlineStr">
        <is>
          <t>RJ362</t>
        </is>
      </c>
      <c r="B24" s="23" t="inlineStr">
        <is>
          <t>聚酯树脂</t>
        </is>
      </c>
      <c r="C24" s="23" t="inlineStr">
        <is>
          <t>有机</t>
        </is>
      </c>
      <c r="D24" s="23" t="inlineStr">
        <is>
          <t>树脂</t>
        </is>
      </c>
      <c r="E24" s="23" t="inlineStr">
        <is>
          <t>聚酯</t>
        </is>
      </c>
      <c r="F24" s="23" t="inlineStr">
        <is>
          <t>专有(无SMILES)</t>
        </is>
      </c>
      <c r="G24" s="24" t="n">
        <v>60</v>
      </c>
      <c r="H24" s="22" t="n">
        <v>1.1</v>
      </c>
      <c r="I24" s="22" t="n">
        <v>3000</v>
      </c>
      <c r="J24" s="24" t="n">
        <v>0</v>
      </c>
      <c r="K24" s="24" t="n">
        <v>8</v>
      </c>
      <c r="L24" s="24" t="n">
        <v>60</v>
      </c>
      <c r="M24" s="24" t="n">
        <v>0</v>
      </c>
      <c r="N24" s="24" t="n">
        <v>2</v>
      </c>
      <c r="O24" s="22" t="n">
        <v>40</v>
      </c>
      <c r="P24" s="22" t="n">
        <v>300</v>
      </c>
      <c r="Q24" s="22" t="n">
        <v>150</v>
      </c>
      <c r="R24" s="22" t="n">
        <v>18</v>
      </c>
      <c r="S24" s="22" t="n">
        <v>7</v>
      </c>
      <c r="T24" s="22" t="n">
        <v>9</v>
      </c>
      <c r="U24" s="22" t="n">
        <v>3.2</v>
      </c>
      <c r="V24" s="22" t="n">
        <v>0</v>
      </c>
      <c r="W24" s="22" t="n">
        <v>66</v>
      </c>
      <c r="X24" s="22" t="n">
        <v>8</v>
      </c>
      <c r="Y24" s="22" t="n">
        <v>26</v>
      </c>
      <c r="Z24" s="22" t="n">
        <v>0</v>
      </c>
      <c r="AA24" s="22" t="n">
        <v>0</v>
      </c>
      <c r="AB24" s="22" t="n">
        <v>0</v>
      </c>
      <c r="AC24" s="24" t="n">
        <v>0</v>
      </c>
      <c r="AD24" s="24" t="n">
        <v>0.035</v>
      </c>
      <c r="AE24" s="24" t="n">
        <v>0.005</v>
      </c>
      <c r="AF24" s="24" t="n">
        <v>0.35</v>
      </c>
      <c r="AG24" s="24" t="n">
        <v>0</v>
      </c>
      <c r="AH24" s="24" t="n">
        <v>0</v>
      </c>
      <c r="AI24" s="24" t="n">
        <v>0.3</v>
      </c>
      <c r="AJ24" s="24" t="n">
        <v>0.05</v>
      </c>
      <c r="AK24" s="22" t="n">
        <v>0</v>
      </c>
      <c r="AL24" s="22" t="n">
        <v>0</v>
      </c>
      <c r="AM24" s="23" t="inlineStr">
        <is>
          <t>类别典型值/文件信息</t>
        </is>
      </c>
      <c r="AN24" s="22" t="n"/>
    </row>
    <row r="25" ht="15" customHeight="1" s="15">
      <c r="A25" s="25" t="inlineStr">
        <is>
          <t>TF100</t>
        </is>
      </c>
      <c r="B25" s="26" t="inlineStr">
        <is>
          <t>乙烯基树脂</t>
        </is>
      </c>
      <c r="C25" s="26" t="inlineStr">
        <is>
          <t>聚酯</t>
        </is>
      </c>
      <c r="D25" s="26" t="inlineStr">
        <is>
          <t>树脂</t>
        </is>
      </c>
      <c r="E25" s="26" t="inlineStr">
        <is>
          <t>乙烯基</t>
        </is>
      </c>
      <c r="F25" s="26" t="inlineStr">
        <is>
          <t>专有(无SMILES)</t>
        </is>
      </c>
      <c r="G25" s="24" t="n">
        <v>25</v>
      </c>
      <c r="H25" s="25" t="n">
        <v>1.08</v>
      </c>
      <c r="I25" s="25" t="n">
        <v>20000</v>
      </c>
      <c r="J25" s="24" t="n">
        <v>0</v>
      </c>
      <c r="K25" s="24" t="n">
        <v>0.5</v>
      </c>
      <c r="L25" s="24" t="n">
        <v>20</v>
      </c>
      <c r="M25" s="24" t="n">
        <v>0</v>
      </c>
      <c r="N25" s="24" t="n">
        <v>1</v>
      </c>
      <c r="O25" s="25" t="n">
        <v>55</v>
      </c>
      <c r="P25" s="25" t="n">
        <v>200</v>
      </c>
      <c r="Q25" s="25" t="n">
        <v>80</v>
      </c>
      <c r="R25" s="25" t="n">
        <v>17.5</v>
      </c>
      <c r="S25" s="25" t="n">
        <v>6</v>
      </c>
      <c r="T25" s="25" t="n">
        <v>7</v>
      </c>
      <c r="U25" s="25" t="n">
        <v>2.8</v>
      </c>
      <c r="V25" s="25" t="n">
        <v>0</v>
      </c>
      <c r="W25" s="25" t="n">
        <v>55</v>
      </c>
      <c r="X25" s="25" t="n">
        <v>7</v>
      </c>
      <c r="Y25" s="25" t="n">
        <v>5</v>
      </c>
      <c r="Z25" s="25" t="n">
        <v>0</v>
      </c>
      <c r="AA25" s="25" t="n">
        <v>0</v>
      </c>
      <c r="AB25" s="25" t="n">
        <v>30</v>
      </c>
      <c r="AC25" s="24" t="n">
        <v>0</v>
      </c>
      <c r="AD25" s="24" t="n">
        <v>0.012</v>
      </c>
      <c r="AE25" s="24" t="n">
        <v>0.001</v>
      </c>
      <c r="AF25" s="24" t="n">
        <v>0.02</v>
      </c>
      <c r="AG25" s="24" t="n">
        <v>0</v>
      </c>
      <c r="AH25" s="24" t="n">
        <v>0</v>
      </c>
      <c r="AI25" s="24" t="n">
        <v>0.1</v>
      </c>
      <c r="AJ25" s="24" t="n">
        <v>0.02</v>
      </c>
      <c r="AK25" s="25" t="n">
        <v>0</v>
      </c>
      <c r="AL25" s="25" t="n">
        <v>0</v>
      </c>
      <c r="AM25" s="26" t="inlineStr">
        <is>
          <t>类别典型值/文件信息</t>
        </is>
      </c>
      <c r="AN25" s="25" t="n"/>
    </row>
    <row r="26" ht="15" customHeight="1" s="15">
      <c r="A26" s="22" t="inlineStr">
        <is>
          <t>TF022</t>
        </is>
      </c>
      <c r="B26" s="23" t="inlineStr">
        <is>
          <t>乙烯基树脂</t>
        </is>
      </c>
      <c r="C26" s="23" t="inlineStr">
        <is>
          <t>聚酯</t>
        </is>
      </c>
      <c r="D26" s="23" t="inlineStr">
        <is>
          <t>树脂</t>
        </is>
      </c>
      <c r="E26" s="23" t="inlineStr">
        <is>
          <t>乙烯基</t>
        </is>
      </c>
      <c r="F26" s="23" t="inlineStr">
        <is>
          <t>专有(无SMILES)</t>
        </is>
      </c>
      <c r="G26" s="24" t="n">
        <v>25</v>
      </c>
      <c r="H26" s="22" t="n">
        <v>1.08</v>
      </c>
      <c r="I26" s="22" t="n">
        <v>20000</v>
      </c>
      <c r="J26" s="24" t="n">
        <v>0</v>
      </c>
      <c r="K26" s="24" t="n">
        <v>0.5</v>
      </c>
      <c r="L26" s="24" t="n">
        <v>20</v>
      </c>
      <c r="M26" s="24" t="n">
        <v>0</v>
      </c>
      <c r="N26" s="24" t="n">
        <v>1</v>
      </c>
      <c r="O26" s="22" t="n">
        <v>55</v>
      </c>
      <c r="P26" s="22" t="n">
        <v>200</v>
      </c>
      <c r="Q26" s="22" t="n">
        <v>80</v>
      </c>
      <c r="R26" s="22" t="n">
        <v>17.5</v>
      </c>
      <c r="S26" s="22" t="n">
        <v>6</v>
      </c>
      <c r="T26" s="22" t="n">
        <v>7</v>
      </c>
      <c r="U26" s="22" t="n">
        <v>2.8</v>
      </c>
      <c r="V26" s="22" t="n">
        <v>0</v>
      </c>
      <c r="W26" s="22" t="n">
        <v>55</v>
      </c>
      <c r="X26" s="22" t="n">
        <v>7</v>
      </c>
      <c r="Y26" s="22" t="n">
        <v>5</v>
      </c>
      <c r="Z26" s="22" t="n">
        <v>0</v>
      </c>
      <c r="AA26" s="22" t="n">
        <v>0</v>
      </c>
      <c r="AB26" s="22" t="n">
        <v>30</v>
      </c>
      <c r="AC26" s="24" t="n">
        <v>0</v>
      </c>
      <c r="AD26" s="24" t="n">
        <v>0.012</v>
      </c>
      <c r="AE26" s="24" t="n">
        <v>0.001</v>
      </c>
      <c r="AF26" s="24" t="n">
        <v>0.02</v>
      </c>
      <c r="AG26" s="24" t="n">
        <v>0</v>
      </c>
      <c r="AH26" s="24" t="n">
        <v>0</v>
      </c>
      <c r="AI26" s="24" t="n">
        <v>0.1</v>
      </c>
      <c r="AJ26" s="24" t="n">
        <v>0.02</v>
      </c>
      <c r="AK26" s="22" t="n">
        <v>0</v>
      </c>
      <c r="AL26" s="22" t="n">
        <v>0</v>
      </c>
      <c r="AM26" s="23" t="inlineStr">
        <is>
          <t>类别典型值/文件信息</t>
        </is>
      </c>
      <c r="AN26" s="22" t="n"/>
    </row>
    <row r="27" ht="15" customHeight="1" s="15">
      <c r="A27" s="25" t="inlineStr">
        <is>
          <t>AS400</t>
        </is>
      </c>
      <c r="B27" s="26" t="inlineStr">
        <is>
          <t>丙烯酸树脂</t>
        </is>
      </c>
      <c r="C27" s="26" t="inlineStr">
        <is>
          <t>有机</t>
        </is>
      </c>
      <c r="D27" s="26" t="inlineStr">
        <is>
          <t>树脂</t>
        </is>
      </c>
      <c r="E27" s="26" t="inlineStr">
        <is>
          <t>丙烯酸</t>
        </is>
      </c>
      <c r="F27" s="26" t="inlineStr">
        <is>
          <t>专有(无SMILES)</t>
        </is>
      </c>
      <c r="G27" s="24" t="n">
        <v>50</v>
      </c>
      <c r="H27" s="25" t="n">
        <v>1.05</v>
      </c>
      <c r="I27" s="25" t="n">
        <v>15000</v>
      </c>
      <c r="J27" s="24" t="n">
        <v>0</v>
      </c>
      <c r="K27" s="24" t="n">
        <v>5</v>
      </c>
      <c r="L27" s="24" t="n">
        <v>50</v>
      </c>
      <c r="M27" s="24" t="n">
        <v>0</v>
      </c>
      <c r="N27" s="24" t="n">
        <v>1</v>
      </c>
      <c r="O27" s="25" t="n">
        <v>45</v>
      </c>
      <c r="P27" s="25" t="n">
        <v>250</v>
      </c>
      <c r="Q27" s="25" t="n">
        <v>100</v>
      </c>
      <c r="R27" s="25" t="n">
        <v>17.8</v>
      </c>
      <c r="S27" s="25" t="n">
        <v>6.5</v>
      </c>
      <c r="T27" s="25" t="n">
        <v>8.5</v>
      </c>
      <c r="U27" s="25" t="n">
        <v>3</v>
      </c>
      <c r="V27" s="25" t="n">
        <v>0</v>
      </c>
      <c r="W27" s="25" t="n">
        <v>65</v>
      </c>
      <c r="X27" s="25" t="n">
        <v>9</v>
      </c>
      <c r="Y27" s="25" t="n">
        <v>25</v>
      </c>
      <c r="Z27" s="25" t="n">
        <v>0</v>
      </c>
      <c r="AA27" s="25" t="n">
        <v>0</v>
      </c>
      <c r="AB27" s="25" t="n">
        <v>0</v>
      </c>
      <c r="AC27" s="24" t="n">
        <v>0</v>
      </c>
      <c r="AD27" s="24" t="n">
        <v>0.03</v>
      </c>
      <c r="AE27" s="24" t="n">
        <v>0.003</v>
      </c>
      <c r="AF27" s="24" t="n">
        <v>0.3</v>
      </c>
      <c r="AG27" s="24" t="n">
        <v>0</v>
      </c>
      <c r="AH27" s="24" t="n">
        <v>0</v>
      </c>
      <c r="AI27" s="24" t="n">
        <v>0.25</v>
      </c>
      <c r="AJ27" s="24" t="n">
        <v>0.05</v>
      </c>
      <c r="AK27" s="25" t="n">
        <v>0</v>
      </c>
      <c r="AL27" s="25" t="n">
        <v>0</v>
      </c>
      <c r="AM27" s="26" t="inlineStr">
        <is>
          <t>类别典型值/文件信息</t>
        </is>
      </c>
      <c r="AN27" s="25" t="n"/>
    </row>
    <row r="28" ht="15" customHeight="1" s="15">
      <c r="A28" s="22" t="inlineStr">
        <is>
          <t>RX170-140</t>
        </is>
      </c>
      <c r="B28" s="23" t="inlineStr">
        <is>
          <t>丙烯酸树脂</t>
        </is>
      </c>
      <c r="C28" s="23" t="inlineStr">
        <is>
          <t>有机</t>
        </is>
      </c>
      <c r="D28" s="23" t="inlineStr">
        <is>
          <t>树脂</t>
        </is>
      </c>
      <c r="E28" s="23" t="inlineStr">
        <is>
          <t>丙烯酸</t>
        </is>
      </c>
      <c r="F28" s="23" t="inlineStr">
        <is>
          <t>专有(无SMILES)</t>
        </is>
      </c>
      <c r="G28" s="24" t="n">
        <v>50</v>
      </c>
      <c r="H28" s="22" t="n">
        <v>1.05</v>
      </c>
      <c r="I28" s="22" t="n">
        <v>15000</v>
      </c>
      <c r="J28" s="24" t="n">
        <v>0</v>
      </c>
      <c r="K28" s="24" t="n">
        <v>5</v>
      </c>
      <c r="L28" s="24" t="n">
        <v>50</v>
      </c>
      <c r="M28" s="24" t="n">
        <v>0</v>
      </c>
      <c r="N28" s="24" t="n">
        <v>1</v>
      </c>
      <c r="O28" s="22" t="n">
        <v>45</v>
      </c>
      <c r="P28" s="22" t="n">
        <v>250</v>
      </c>
      <c r="Q28" s="22" t="n">
        <v>100</v>
      </c>
      <c r="R28" s="22" t="n">
        <v>17.8</v>
      </c>
      <c r="S28" s="22" t="n">
        <v>6.5</v>
      </c>
      <c r="T28" s="22" t="n">
        <v>8.5</v>
      </c>
      <c r="U28" s="22" t="n">
        <v>3</v>
      </c>
      <c r="V28" s="22" t="n">
        <v>0</v>
      </c>
      <c r="W28" s="22" t="n">
        <v>65</v>
      </c>
      <c r="X28" s="22" t="n">
        <v>9</v>
      </c>
      <c r="Y28" s="22" t="n">
        <v>25</v>
      </c>
      <c r="Z28" s="22" t="n">
        <v>0</v>
      </c>
      <c r="AA28" s="22" t="n">
        <v>0</v>
      </c>
      <c r="AB28" s="22" t="n">
        <v>0</v>
      </c>
      <c r="AC28" s="24" t="n">
        <v>0</v>
      </c>
      <c r="AD28" s="24" t="n">
        <v>0.03</v>
      </c>
      <c r="AE28" s="24" t="n">
        <v>0.003</v>
      </c>
      <c r="AF28" s="24" t="n">
        <v>0.3</v>
      </c>
      <c r="AG28" s="24" t="n">
        <v>0</v>
      </c>
      <c r="AH28" s="24" t="n">
        <v>0</v>
      </c>
      <c r="AI28" s="24" t="n">
        <v>0.25</v>
      </c>
      <c r="AJ28" s="24" t="n">
        <v>0.05</v>
      </c>
      <c r="AK28" s="22" t="n">
        <v>0</v>
      </c>
      <c r="AL28" s="22" t="n">
        <v>0</v>
      </c>
      <c r="AM28" s="23" t="inlineStr">
        <is>
          <t>类别典型值/文件信息</t>
        </is>
      </c>
      <c r="AN28" s="22" t="n"/>
    </row>
    <row r="29" ht="15" customHeight="1" s="15">
      <c r="A29" s="25" t="inlineStr">
        <is>
          <t>AL525</t>
        </is>
      </c>
      <c r="B29" s="26" t="inlineStr">
        <is>
          <t>丙烯酸树脂</t>
        </is>
      </c>
      <c r="C29" s="26" t="inlineStr">
        <is>
          <t>有机</t>
        </is>
      </c>
      <c r="D29" s="26" t="inlineStr">
        <is>
          <t>树脂</t>
        </is>
      </c>
      <c r="E29" s="26" t="inlineStr">
        <is>
          <t>丙烯酸</t>
        </is>
      </c>
      <c r="F29" s="26" t="inlineStr">
        <is>
          <t>专有(无SMILES)</t>
        </is>
      </c>
      <c r="G29" s="24" t="n">
        <v>50</v>
      </c>
      <c r="H29" s="25" t="n">
        <v>1.05</v>
      </c>
      <c r="I29" s="25" t="n">
        <v>15000</v>
      </c>
      <c r="J29" s="24" t="n">
        <v>0</v>
      </c>
      <c r="K29" s="24" t="n">
        <v>5</v>
      </c>
      <c r="L29" s="24" t="n">
        <v>50</v>
      </c>
      <c r="M29" s="24" t="n">
        <v>0</v>
      </c>
      <c r="N29" s="24" t="n">
        <v>1</v>
      </c>
      <c r="O29" s="25" t="n">
        <v>45</v>
      </c>
      <c r="P29" s="25" t="n">
        <v>250</v>
      </c>
      <c r="Q29" s="25" t="n">
        <v>100</v>
      </c>
      <c r="R29" s="25" t="n">
        <v>17.8</v>
      </c>
      <c r="S29" s="25" t="n">
        <v>6.5</v>
      </c>
      <c r="T29" s="25" t="n">
        <v>8.5</v>
      </c>
      <c r="U29" s="25" t="n">
        <v>3</v>
      </c>
      <c r="V29" s="25" t="n">
        <v>0</v>
      </c>
      <c r="W29" s="25" t="n">
        <v>65</v>
      </c>
      <c r="X29" s="25" t="n">
        <v>9</v>
      </c>
      <c r="Y29" s="25" t="n">
        <v>25</v>
      </c>
      <c r="Z29" s="25" t="n">
        <v>0</v>
      </c>
      <c r="AA29" s="25" t="n">
        <v>0</v>
      </c>
      <c r="AB29" s="25" t="n">
        <v>0</v>
      </c>
      <c r="AC29" s="24" t="n">
        <v>0</v>
      </c>
      <c r="AD29" s="24" t="n">
        <v>0.03</v>
      </c>
      <c r="AE29" s="24" t="n">
        <v>0.003</v>
      </c>
      <c r="AF29" s="24" t="n">
        <v>0.3</v>
      </c>
      <c r="AG29" s="24" t="n">
        <v>0</v>
      </c>
      <c r="AH29" s="24" t="n">
        <v>0</v>
      </c>
      <c r="AI29" s="24" t="n">
        <v>0.25</v>
      </c>
      <c r="AJ29" s="24" t="n">
        <v>0.05</v>
      </c>
      <c r="AK29" s="25" t="n">
        <v>0</v>
      </c>
      <c r="AL29" s="25" t="n">
        <v>0</v>
      </c>
      <c r="AM29" s="26" t="inlineStr">
        <is>
          <t>类别典型值/文件信息</t>
        </is>
      </c>
      <c r="AN29" s="25" t="n"/>
    </row>
    <row r="30" ht="15" customHeight="1" s="15">
      <c r="A30" s="22" t="inlineStr">
        <is>
          <t>AL710</t>
        </is>
      </c>
      <c r="B30" s="23" t="inlineStr">
        <is>
          <t>丙烯酸树脂</t>
        </is>
      </c>
      <c r="C30" s="23" t="inlineStr">
        <is>
          <t>有机</t>
        </is>
      </c>
      <c r="D30" s="23" t="inlineStr">
        <is>
          <t>树脂</t>
        </is>
      </c>
      <c r="E30" s="23" t="inlineStr">
        <is>
          <t>丙烯酸</t>
        </is>
      </c>
      <c r="F30" s="23" t="inlineStr">
        <is>
          <t>专有(无SMILES)</t>
        </is>
      </c>
      <c r="G30" s="24" t="n">
        <v>50</v>
      </c>
      <c r="H30" s="22" t="n">
        <v>1.05</v>
      </c>
      <c r="I30" s="22" t="n">
        <v>15000</v>
      </c>
      <c r="J30" s="24" t="n">
        <v>0</v>
      </c>
      <c r="K30" s="24" t="n">
        <v>5</v>
      </c>
      <c r="L30" s="24" t="n">
        <v>50</v>
      </c>
      <c r="M30" s="24" t="n">
        <v>0</v>
      </c>
      <c r="N30" s="24" t="n">
        <v>1</v>
      </c>
      <c r="O30" s="22" t="n">
        <v>45</v>
      </c>
      <c r="P30" s="22" t="n">
        <v>250</v>
      </c>
      <c r="Q30" s="22" t="n">
        <v>100</v>
      </c>
      <c r="R30" s="22" t="n">
        <v>17.8</v>
      </c>
      <c r="S30" s="22" t="n">
        <v>6.5</v>
      </c>
      <c r="T30" s="22" t="n">
        <v>8.5</v>
      </c>
      <c r="U30" s="22" t="n">
        <v>3</v>
      </c>
      <c r="V30" s="22" t="n">
        <v>0</v>
      </c>
      <c r="W30" s="22" t="n">
        <v>65</v>
      </c>
      <c r="X30" s="22" t="n">
        <v>9</v>
      </c>
      <c r="Y30" s="22" t="n">
        <v>25</v>
      </c>
      <c r="Z30" s="22" t="n">
        <v>0</v>
      </c>
      <c r="AA30" s="22" t="n">
        <v>0</v>
      </c>
      <c r="AB30" s="22" t="n">
        <v>0</v>
      </c>
      <c r="AC30" s="24" t="n">
        <v>0</v>
      </c>
      <c r="AD30" s="24" t="n">
        <v>0.03</v>
      </c>
      <c r="AE30" s="24" t="n">
        <v>0.003</v>
      </c>
      <c r="AF30" s="24" t="n">
        <v>0.3</v>
      </c>
      <c r="AG30" s="24" t="n">
        <v>0</v>
      </c>
      <c r="AH30" s="24" t="n">
        <v>0</v>
      </c>
      <c r="AI30" s="24" t="n">
        <v>0.25</v>
      </c>
      <c r="AJ30" s="24" t="n">
        <v>0.05</v>
      </c>
      <c r="AK30" s="22" t="n">
        <v>0</v>
      </c>
      <c r="AL30" s="22" t="n">
        <v>0</v>
      </c>
      <c r="AM30" s="23" t="inlineStr">
        <is>
          <t>类别典型值/文件信息</t>
        </is>
      </c>
      <c r="AN30" s="22" t="n"/>
    </row>
    <row r="31" ht="15" customHeight="1" s="15">
      <c r="A31" s="25" t="inlineStr">
        <is>
          <t>AL800</t>
        </is>
      </c>
      <c r="B31" s="26" t="inlineStr">
        <is>
          <t>丙烯酸树脂</t>
        </is>
      </c>
      <c r="C31" s="26" t="inlineStr">
        <is>
          <t>聚酯</t>
        </is>
      </c>
      <c r="D31" s="26" t="inlineStr">
        <is>
          <t>树脂</t>
        </is>
      </c>
      <c r="E31" s="26" t="inlineStr">
        <is>
          <t>丙烯酸</t>
        </is>
      </c>
      <c r="F31" s="26" t="inlineStr">
        <is>
          <t>专有(无SMILES)</t>
        </is>
      </c>
      <c r="G31" s="24" t="n">
        <v>50</v>
      </c>
      <c r="H31" s="25" t="n">
        <v>1.05</v>
      </c>
      <c r="I31" s="25" t="n">
        <v>15000</v>
      </c>
      <c r="J31" s="24" t="n">
        <v>0</v>
      </c>
      <c r="K31" s="24" t="n">
        <v>5</v>
      </c>
      <c r="L31" s="24" t="n">
        <v>50</v>
      </c>
      <c r="M31" s="24" t="n">
        <v>0</v>
      </c>
      <c r="N31" s="24" t="n">
        <v>1</v>
      </c>
      <c r="O31" s="25" t="n">
        <v>45</v>
      </c>
      <c r="P31" s="25" t="n">
        <v>250</v>
      </c>
      <c r="Q31" s="25" t="n">
        <v>100</v>
      </c>
      <c r="R31" s="25" t="n">
        <v>17.8</v>
      </c>
      <c r="S31" s="25" t="n">
        <v>6.5</v>
      </c>
      <c r="T31" s="25" t="n">
        <v>8.5</v>
      </c>
      <c r="U31" s="25" t="n">
        <v>3</v>
      </c>
      <c r="V31" s="25" t="n">
        <v>0</v>
      </c>
      <c r="W31" s="25" t="n">
        <v>65</v>
      </c>
      <c r="X31" s="25" t="n">
        <v>9</v>
      </c>
      <c r="Y31" s="25" t="n">
        <v>25</v>
      </c>
      <c r="Z31" s="25" t="n">
        <v>0</v>
      </c>
      <c r="AA31" s="25" t="n">
        <v>0</v>
      </c>
      <c r="AB31" s="25" t="n">
        <v>0</v>
      </c>
      <c r="AC31" s="24" t="n">
        <v>0</v>
      </c>
      <c r="AD31" s="24" t="n">
        <v>0.03</v>
      </c>
      <c r="AE31" s="24" t="n">
        <v>0.003</v>
      </c>
      <c r="AF31" s="24" t="n">
        <v>0.3</v>
      </c>
      <c r="AG31" s="24" t="n">
        <v>0</v>
      </c>
      <c r="AH31" s="24" t="n">
        <v>0</v>
      </c>
      <c r="AI31" s="24" t="n">
        <v>0.25</v>
      </c>
      <c r="AJ31" s="24" t="n">
        <v>0.05</v>
      </c>
      <c r="AK31" s="25" t="n">
        <v>0</v>
      </c>
      <c r="AL31" s="25" t="n">
        <v>0</v>
      </c>
      <c r="AM31" s="26" t="inlineStr">
        <is>
          <t>类别典型值/文件信息</t>
        </is>
      </c>
      <c r="AN31" s="25" t="n"/>
    </row>
    <row r="32" ht="15" customHeight="1" s="15">
      <c r="A32" s="22" t="inlineStr">
        <is>
          <t>IA800</t>
        </is>
      </c>
      <c r="B32" s="23" t="inlineStr">
        <is>
          <t>丙烯酸树脂</t>
        </is>
      </c>
      <c r="C32" s="23" t="inlineStr">
        <is>
          <t>聚酯</t>
        </is>
      </c>
      <c r="D32" s="23" t="inlineStr">
        <is>
          <t>树脂</t>
        </is>
      </c>
      <c r="E32" s="23" t="inlineStr">
        <is>
          <t>丙烯酸</t>
        </is>
      </c>
      <c r="F32" s="23" t="inlineStr">
        <is>
          <t>专有(无SMILES)</t>
        </is>
      </c>
      <c r="G32" s="24" t="n">
        <v>50</v>
      </c>
      <c r="H32" s="22" t="n">
        <v>1.05</v>
      </c>
      <c r="I32" s="22" t="n">
        <v>15000</v>
      </c>
      <c r="J32" s="24" t="n">
        <v>0</v>
      </c>
      <c r="K32" s="24" t="n">
        <v>5</v>
      </c>
      <c r="L32" s="24" t="n">
        <v>50</v>
      </c>
      <c r="M32" s="24" t="n">
        <v>0</v>
      </c>
      <c r="N32" s="24" t="n">
        <v>1</v>
      </c>
      <c r="O32" s="22" t="n">
        <v>45</v>
      </c>
      <c r="P32" s="22" t="n">
        <v>250</v>
      </c>
      <c r="Q32" s="22" t="n">
        <v>100</v>
      </c>
      <c r="R32" s="22" t="n">
        <v>17.8</v>
      </c>
      <c r="S32" s="22" t="n">
        <v>6.5</v>
      </c>
      <c r="T32" s="22" t="n">
        <v>8.5</v>
      </c>
      <c r="U32" s="22" t="n">
        <v>3</v>
      </c>
      <c r="V32" s="22" t="n">
        <v>0</v>
      </c>
      <c r="W32" s="22" t="n">
        <v>65</v>
      </c>
      <c r="X32" s="22" t="n">
        <v>9</v>
      </c>
      <c r="Y32" s="22" t="n">
        <v>25</v>
      </c>
      <c r="Z32" s="22" t="n">
        <v>0</v>
      </c>
      <c r="AA32" s="22" t="n">
        <v>0</v>
      </c>
      <c r="AB32" s="22" t="n">
        <v>0</v>
      </c>
      <c r="AC32" s="24" t="n">
        <v>0</v>
      </c>
      <c r="AD32" s="24" t="n">
        <v>0.03</v>
      </c>
      <c r="AE32" s="24" t="n">
        <v>0.003</v>
      </c>
      <c r="AF32" s="24" t="n">
        <v>0.3</v>
      </c>
      <c r="AG32" s="24" t="n">
        <v>0</v>
      </c>
      <c r="AH32" s="24" t="n">
        <v>0</v>
      </c>
      <c r="AI32" s="24" t="n">
        <v>0.25</v>
      </c>
      <c r="AJ32" s="24" t="n">
        <v>0.05</v>
      </c>
      <c r="AK32" s="22" t="n">
        <v>0</v>
      </c>
      <c r="AL32" s="22" t="n">
        <v>0</v>
      </c>
      <c r="AM32" s="23" t="inlineStr">
        <is>
          <t>类别典型值/文件信息</t>
        </is>
      </c>
      <c r="AN32" s="22" t="n"/>
    </row>
    <row r="33" ht="15" customHeight="1" s="15">
      <c r="A33" s="25" t="inlineStr">
        <is>
          <t>IA8000</t>
        </is>
      </c>
      <c r="B33" s="26" t="inlineStr">
        <is>
          <t>丙烯酸树脂</t>
        </is>
      </c>
      <c r="C33" s="26" t="inlineStr">
        <is>
          <t>聚酯</t>
        </is>
      </c>
      <c r="D33" s="26" t="inlineStr">
        <is>
          <t>树脂</t>
        </is>
      </c>
      <c r="E33" s="26" t="inlineStr">
        <is>
          <t>丙烯酸</t>
        </is>
      </c>
      <c r="F33" s="26" t="inlineStr">
        <is>
          <t>专有(无SMILES)</t>
        </is>
      </c>
      <c r="G33" s="24" t="n">
        <v>50</v>
      </c>
      <c r="H33" s="25" t="n">
        <v>1.05</v>
      </c>
      <c r="I33" s="25" t="n">
        <v>15000</v>
      </c>
      <c r="J33" s="24" t="n">
        <v>0</v>
      </c>
      <c r="K33" s="24" t="n">
        <v>5</v>
      </c>
      <c r="L33" s="24" t="n">
        <v>50</v>
      </c>
      <c r="M33" s="24" t="n">
        <v>0</v>
      </c>
      <c r="N33" s="24" t="n">
        <v>1</v>
      </c>
      <c r="O33" s="25" t="n">
        <v>45</v>
      </c>
      <c r="P33" s="25" t="n">
        <v>250</v>
      </c>
      <c r="Q33" s="25" t="n">
        <v>100</v>
      </c>
      <c r="R33" s="25" t="n">
        <v>17.8</v>
      </c>
      <c r="S33" s="25" t="n">
        <v>6.5</v>
      </c>
      <c r="T33" s="25" t="n">
        <v>8.5</v>
      </c>
      <c r="U33" s="25" t="n">
        <v>3</v>
      </c>
      <c r="V33" s="25" t="n">
        <v>0</v>
      </c>
      <c r="W33" s="25" t="n">
        <v>65</v>
      </c>
      <c r="X33" s="25" t="n">
        <v>9</v>
      </c>
      <c r="Y33" s="25" t="n">
        <v>25</v>
      </c>
      <c r="Z33" s="25" t="n">
        <v>0</v>
      </c>
      <c r="AA33" s="25" t="n">
        <v>0</v>
      </c>
      <c r="AB33" s="25" t="n">
        <v>0</v>
      </c>
      <c r="AC33" s="24" t="n">
        <v>0</v>
      </c>
      <c r="AD33" s="24" t="n">
        <v>0.03</v>
      </c>
      <c r="AE33" s="24" t="n">
        <v>0.003</v>
      </c>
      <c r="AF33" s="24" t="n">
        <v>0.3</v>
      </c>
      <c r="AG33" s="24" t="n">
        <v>0</v>
      </c>
      <c r="AH33" s="24" t="n">
        <v>0</v>
      </c>
      <c r="AI33" s="24" t="n">
        <v>0.25</v>
      </c>
      <c r="AJ33" s="24" t="n">
        <v>0.05</v>
      </c>
      <c r="AK33" s="25" t="n">
        <v>0</v>
      </c>
      <c r="AL33" s="25" t="n">
        <v>0</v>
      </c>
      <c r="AM33" s="26" t="inlineStr">
        <is>
          <t>类别典型值/文件信息</t>
        </is>
      </c>
      <c r="AN33" s="25" t="n"/>
    </row>
    <row r="34" ht="15" customHeight="1" s="15">
      <c r="A34" s="22" t="inlineStr">
        <is>
          <t>IA151</t>
        </is>
      </c>
      <c r="B34" s="23" t="inlineStr">
        <is>
          <t>丙烯酸树脂</t>
        </is>
      </c>
      <c r="C34" s="23" t="inlineStr">
        <is>
          <t>有机</t>
        </is>
      </c>
      <c r="D34" s="23" t="inlineStr">
        <is>
          <t>树脂</t>
        </is>
      </c>
      <c r="E34" s="23" t="inlineStr">
        <is>
          <t>丙烯酸</t>
        </is>
      </c>
      <c r="F34" s="23" t="inlineStr">
        <is>
          <t>专有(无SMILES)</t>
        </is>
      </c>
      <c r="G34" s="24" t="n">
        <v>50</v>
      </c>
      <c r="H34" s="22" t="n">
        <v>1.05</v>
      </c>
      <c r="I34" s="22" t="n">
        <v>15000</v>
      </c>
      <c r="J34" s="24" t="n">
        <v>0</v>
      </c>
      <c r="K34" s="24" t="n">
        <v>5</v>
      </c>
      <c r="L34" s="24" t="n">
        <v>50</v>
      </c>
      <c r="M34" s="24" t="n">
        <v>0</v>
      </c>
      <c r="N34" s="24" t="n">
        <v>1</v>
      </c>
      <c r="O34" s="22" t="n">
        <v>45</v>
      </c>
      <c r="P34" s="22" t="n">
        <v>250</v>
      </c>
      <c r="Q34" s="22" t="n">
        <v>100</v>
      </c>
      <c r="R34" s="22" t="n">
        <v>17.8</v>
      </c>
      <c r="S34" s="22" t="n">
        <v>6.5</v>
      </c>
      <c r="T34" s="22" t="n">
        <v>8.5</v>
      </c>
      <c r="U34" s="22" t="n">
        <v>3</v>
      </c>
      <c r="V34" s="22" t="n">
        <v>0</v>
      </c>
      <c r="W34" s="22" t="n">
        <v>65</v>
      </c>
      <c r="X34" s="22" t="n">
        <v>9</v>
      </c>
      <c r="Y34" s="22" t="n">
        <v>25</v>
      </c>
      <c r="Z34" s="22" t="n">
        <v>0</v>
      </c>
      <c r="AA34" s="22" t="n">
        <v>0</v>
      </c>
      <c r="AB34" s="22" t="n">
        <v>0</v>
      </c>
      <c r="AC34" s="24" t="n">
        <v>0</v>
      </c>
      <c r="AD34" s="24" t="n">
        <v>0.03</v>
      </c>
      <c r="AE34" s="24" t="n">
        <v>0.003</v>
      </c>
      <c r="AF34" s="24" t="n">
        <v>0.3</v>
      </c>
      <c r="AG34" s="24" t="n">
        <v>0</v>
      </c>
      <c r="AH34" s="24" t="n">
        <v>0</v>
      </c>
      <c r="AI34" s="24" t="n">
        <v>0.25</v>
      </c>
      <c r="AJ34" s="24" t="n">
        <v>0.05</v>
      </c>
      <c r="AK34" s="22" t="n">
        <v>0</v>
      </c>
      <c r="AL34" s="22" t="n">
        <v>0</v>
      </c>
      <c r="AM34" s="23" t="inlineStr">
        <is>
          <t>类别典型值/文件信息</t>
        </is>
      </c>
      <c r="AN34" s="22" t="n"/>
    </row>
    <row r="35" ht="15" customHeight="1" s="15">
      <c r="A35" s="25" t="inlineStr">
        <is>
          <t>IA893</t>
        </is>
      </c>
      <c r="B35" s="26" t="inlineStr">
        <is>
          <t>丙烯酸树脂</t>
        </is>
      </c>
      <c r="C35" s="26" t="inlineStr">
        <is>
          <t>有机</t>
        </is>
      </c>
      <c r="D35" s="26" t="inlineStr">
        <is>
          <t>树脂</t>
        </is>
      </c>
      <c r="E35" s="26" t="inlineStr">
        <is>
          <t>丙烯酸</t>
        </is>
      </c>
      <c r="F35" s="26" t="inlineStr">
        <is>
          <t>专有(无SMILES)</t>
        </is>
      </c>
      <c r="G35" s="24" t="n">
        <v>50</v>
      </c>
      <c r="H35" s="25" t="n">
        <v>1.05</v>
      </c>
      <c r="I35" s="25" t="n">
        <v>15000</v>
      </c>
      <c r="J35" s="24" t="n">
        <v>0</v>
      </c>
      <c r="K35" s="24" t="n">
        <v>5</v>
      </c>
      <c r="L35" s="24" t="n">
        <v>50</v>
      </c>
      <c r="M35" s="24" t="n">
        <v>0</v>
      </c>
      <c r="N35" s="24" t="n">
        <v>1</v>
      </c>
      <c r="O35" s="25" t="n">
        <v>45</v>
      </c>
      <c r="P35" s="25" t="n">
        <v>250</v>
      </c>
      <c r="Q35" s="25" t="n">
        <v>100</v>
      </c>
      <c r="R35" s="25" t="n">
        <v>17.8</v>
      </c>
      <c r="S35" s="25" t="n">
        <v>6.5</v>
      </c>
      <c r="T35" s="25" t="n">
        <v>8.5</v>
      </c>
      <c r="U35" s="25" t="n">
        <v>3</v>
      </c>
      <c r="V35" s="25" t="n">
        <v>0</v>
      </c>
      <c r="W35" s="25" t="n">
        <v>65</v>
      </c>
      <c r="X35" s="25" t="n">
        <v>9</v>
      </c>
      <c r="Y35" s="25" t="n">
        <v>25</v>
      </c>
      <c r="Z35" s="25" t="n">
        <v>0</v>
      </c>
      <c r="AA35" s="25" t="n">
        <v>0</v>
      </c>
      <c r="AB35" s="25" t="n">
        <v>0</v>
      </c>
      <c r="AC35" s="24" t="n">
        <v>0</v>
      </c>
      <c r="AD35" s="24" t="n">
        <v>0.03</v>
      </c>
      <c r="AE35" s="24" t="n">
        <v>0.003</v>
      </c>
      <c r="AF35" s="24" t="n">
        <v>0.3</v>
      </c>
      <c r="AG35" s="24" t="n">
        <v>0</v>
      </c>
      <c r="AH35" s="24" t="n">
        <v>0</v>
      </c>
      <c r="AI35" s="24" t="n">
        <v>0.25</v>
      </c>
      <c r="AJ35" s="24" t="n">
        <v>0.05</v>
      </c>
      <c r="AK35" s="25" t="n">
        <v>0</v>
      </c>
      <c r="AL35" s="25" t="n">
        <v>0</v>
      </c>
      <c r="AM35" s="26" t="inlineStr">
        <is>
          <t>类别典型值/文件信息</t>
        </is>
      </c>
      <c r="AN35" s="25" t="n"/>
    </row>
    <row r="36" ht="15" customHeight="1" s="15">
      <c r="A36" s="22" t="inlineStr">
        <is>
          <t>TM004</t>
        </is>
      </c>
      <c r="B36" s="23" t="inlineStr">
        <is>
          <t>乙二醇丁醚</t>
        </is>
      </c>
      <c r="C36" s="23" t="inlineStr">
        <is>
          <t>聚酯</t>
        </is>
      </c>
      <c r="D36" s="23" t="inlineStr">
        <is>
          <t>溶剂</t>
        </is>
      </c>
      <c r="E36" s="23" t="inlineStr">
        <is>
          <t>其他</t>
        </is>
      </c>
      <c r="F36" s="22" t="inlineStr">
        <is>
          <t>CCCCOCCO</t>
        </is>
      </c>
      <c r="G36" s="24" t="n">
        <v>0</v>
      </c>
      <c r="H36" s="22" t="n">
        <v>0.9</v>
      </c>
      <c r="I36" s="22" t="n">
        <v>118.2</v>
      </c>
      <c r="J36" s="24" t="n">
        <v>0</v>
      </c>
      <c r="K36" s="24" t="n">
        <v>0</v>
      </c>
      <c r="L36" s="24" t="n">
        <v>0</v>
      </c>
      <c r="M36" s="24" t="n">
        <v>0</v>
      </c>
      <c r="N36" s="24" t="n">
        <v>0</v>
      </c>
      <c r="O36" s="22" t="n">
        <v>-70</v>
      </c>
      <c r="P36" s="22" t="n">
        <v>171</v>
      </c>
      <c r="Q36" s="22" t="n">
        <v>60</v>
      </c>
      <c r="R36" s="22" t="n">
        <v>16</v>
      </c>
      <c r="S36" s="22" t="n">
        <v>5.1</v>
      </c>
      <c r="T36" s="22" t="n">
        <v>12.3</v>
      </c>
      <c r="U36" s="22" t="n">
        <v>3.1</v>
      </c>
      <c r="V36" s="22" t="n">
        <v>0.07000000000000001</v>
      </c>
      <c r="W36" s="22" t="n">
        <v>61</v>
      </c>
      <c r="X36" s="22" t="n">
        <v>12</v>
      </c>
      <c r="Y36" s="22" t="n">
        <v>27</v>
      </c>
      <c r="Z36" s="22" t="n">
        <v>0</v>
      </c>
      <c r="AA36" s="22" t="n">
        <v>0</v>
      </c>
      <c r="AB36" s="22" t="n">
        <v>0</v>
      </c>
      <c r="AC36" s="24" t="n">
        <v>0</v>
      </c>
      <c r="AD36" s="24" t="n">
        <v>0.85</v>
      </c>
      <c r="AE36" s="24" t="n">
        <v>0</v>
      </c>
      <c r="AF36" s="24" t="n">
        <v>0</v>
      </c>
      <c r="AG36" s="24" t="n">
        <v>0</v>
      </c>
      <c r="AH36" s="24" t="n">
        <v>0</v>
      </c>
      <c r="AI36" s="24" t="n">
        <v>0</v>
      </c>
      <c r="AJ36" s="24" t="n">
        <v>0.85</v>
      </c>
      <c r="AK36" s="22" t="n">
        <v>0</v>
      </c>
      <c r="AL36" s="22" t="n">
        <v>0</v>
      </c>
      <c r="AM36" s="23" t="inlineStr">
        <is>
          <t>类别典型值/文件信息</t>
        </is>
      </c>
      <c r="AN36" s="22" t="n"/>
    </row>
    <row r="37" ht="15" customHeight="1" s="15">
      <c r="A37" s="26" t="inlineStr">
        <is>
          <t>正丁醇</t>
        </is>
      </c>
      <c r="B37" s="26" t="inlineStr">
        <is>
          <t>正丁醇</t>
        </is>
      </c>
      <c r="C37" s="26" t="inlineStr">
        <is>
          <t>环氧酚醛</t>
        </is>
      </c>
      <c r="D37" s="26" t="inlineStr">
        <is>
          <t>溶剂</t>
        </is>
      </c>
      <c r="E37" s="26" t="inlineStr">
        <is>
          <t>其他</t>
        </is>
      </c>
      <c r="F37" s="25" t="inlineStr">
        <is>
          <t>CCCCO</t>
        </is>
      </c>
      <c r="G37" s="24" t="n">
        <v>0</v>
      </c>
      <c r="H37" s="25" t="n">
        <v>0.8100000000000001</v>
      </c>
      <c r="I37" s="25" t="n">
        <v>74.09999999999999</v>
      </c>
      <c r="J37" s="24" t="n">
        <v>0</v>
      </c>
      <c r="K37" s="24" t="n">
        <v>0</v>
      </c>
      <c r="L37" s="24" t="n">
        <v>0</v>
      </c>
      <c r="M37" s="24" t="n">
        <v>0</v>
      </c>
      <c r="N37" s="24" t="n">
        <v>0</v>
      </c>
      <c r="O37" s="25" t="n">
        <v>-90</v>
      </c>
      <c r="P37" s="25" t="n">
        <v>117.7</v>
      </c>
      <c r="Q37" s="25" t="n">
        <v>35</v>
      </c>
      <c r="R37" s="25" t="n">
        <v>15.8</v>
      </c>
      <c r="S37" s="25" t="n">
        <v>5.7</v>
      </c>
      <c r="T37" s="25" t="n">
        <v>15.8</v>
      </c>
      <c r="U37" s="25" t="n">
        <v>3.9</v>
      </c>
      <c r="V37" s="25" t="n">
        <v>0.44</v>
      </c>
      <c r="W37" s="25" t="n">
        <v>65</v>
      </c>
      <c r="X37" s="25" t="n">
        <v>14</v>
      </c>
      <c r="Y37" s="25" t="n">
        <v>22</v>
      </c>
      <c r="Z37" s="25" t="n">
        <v>0</v>
      </c>
      <c r="AA37" s="25" t="n">
        <v>0</v>
      </c>
      <c r="AB37" s="25" t="n">
        <v>0</v>
      </c>
      <c r="AC37" s="24" t="n">
        <v>0</v>
      </c>
      <c r="AD37" s="24" t="n">
        <v>1.35</v>
      </c>
      <c r="AE37" s="24" t="n">
        <v>0</v>
      </c>
      <c r="AF37" s="24" t="n">
        <v>0</v>
      </c>
      <c r="AG37" s="24" t="n">
        <v>0</v>
      </c>
      <c r="AH37" s="24" t="n">
        <v>0</v>
      </c>
      <c r="AI37" s="24" t="n">
        <v>0</v>
      </c>
      <c r="AJ37" s="24" t="n">
        <v>0</v>
      </c>
      <c r="AK37" s="25" t="n">
        <v>0</v>
      </c>
      <c r="AL37" s="25" t="n">
        <v>0</v>
      </c>
      <c r="AM37" s="26" t="inlineStr">
        <is>
          <t>类别典型值/文件信息</t>
        </is>
      </c>
      <c r="AN37" s="25" t="n"/>
    </row>
    <row r="38" ht="15" customHeight="1" s="15">
      <c r="A38" s="23" t="inlineStr">
        <is>
          <t>二甲苯</t>
        </is>
      </c>
      <c r="B38" s="23" t="inlineStr">
        <is>
          <t>二甲苯</t>
        </is>
      </c>
      <c r="C38" s="23" t="inlineStr">
        <is>
          <t>通用</t>
        </is>
      </c>
      <c r="D38" s="23" t="inlineStr">
        <is>
          <t>溶剂</t>
        </is>
      </c>
      <c r="E38" s="23" t="inlineStr">
        <is>
          <t>其他</t>
        </is>
      </c>
      <c r="F38" s="22" t="inlineStr">
        <is>
          <t>Cc1ccccc1C</t>
        </is>
      </c>
      <c r="G38" s="24" t="n">
        <v>0</v>
      </c>
      <c r="H38" s="22" t="n">
        <v>0.86</v>
      </c>
      <c r="I38" s="22" t="n">
        <v>106.2</v>
      </c>
      <c r="J38" s="24" t="n">
        <v>0</v>
      </c>
      <c r="K38" s="24" t="n">
        <v>0</v>
      </c>
      <c r="L38" s="24" t="n">
        <v>0</v>
      </c>
      <c r="M38" s="24" t="n">
        <v>0</v>
      </c>
      <c r="N38" s="24" t="n">
        <v>0</v>
      </c>
      <c r="O38" s="22" t="n">
        <v>-48</v>
      </c>
      <c r="P38" s="22" t="n">
        <v>139</v>
      </c>
      <c r="Q38" s="22" t="n">
        <v>25</v>
      </c>
      <c r="R38" s="22" t="n">
        <v>17.8</v>
      </c>
      <c r="S38" s="22" t="n">
        <v>1</v>
      </c>
      <c r="T38" s="22" t="n">
        <v>3.1</v>
      </c>
      <c r="U38" s="22" t="n">
        <v>2.5</v>
      </c>
      <c r="V38" s="22" t="n">
        <v>0.7</v>
      </c>
      <c r="W38" s="22" t="n">
        <v>90</v>
      </c>
      <c r="X38" s="22" t="n">
        <v>10</v>
      </c>
      <c r="Y38" s="22" t="n">
        <v>0</v>
      </c>
      <c r="Z38" s="22" t="n">
        <v>0</v>
      </c>
      <c r="AA38" s="22" t="n">
        <v>0</v>
      </c>
      <c r="AB38" s="22" t="n">
        <v>0</v>
      </c>
      <c r="AC38" s="24" t="n">
        <v>0</v>
      </c>
      <c r="AD38" s="24" t="n">
        <v>0</v>
      </c>
      <c r="AE38" s="24" t="n">
        <v>0</v>
      </c>
      <c r="AF38" s="24" t="n">
        <v>0</v>
      </c>
      <c r="AG38" s="24" t="n">
        <v>0</v>
      </c>
      <c r="AH38" s="24" t="n">
        <v>0</v>
      </c>
      <c r="AI38" s="24" t="n">
        <v>1</v>
      </c>
      <c r="AJ38" s="24" t="n">
        <v>0</v>
      </c>
      <c r="AK38" s="22" t="n">
        <v>0</v>
      </c>
      <c r="AL38" s="22" t="n">
        <v>0</v>
      </c>
      <c r="AM38" s="23" t="inlineStr">
        <is>
          <t>类别典型值/文件信息</t>
        </is>
      </c>
      <c r="AN38" s="22" t="n"/>
    </row>
    <row r="39" ht="15" customHeight="1" s="15">
      <c r="A39" s="26" t="inlineStr">
        <is>
          <t>补加混合液</t>
        </is>
      </c>
      <c r="B39" s="26" t="inlineStr">
        <is>
          <t>乙二醇单丁醚:二甲苯=2:1</t>
        </is>
      </c>
      <c r="C39" s="26" t="inlineStr">
        <is>
          <t>环氧酚醛</t>
        </is>
      </c>
      <c r="D39" s="26" t="inlineStr">
        <is>
          <t>溶剂</t>
        </is>
      </c>
      <c r="E39" s="26" t="inlineStr">
        <is>
          <t>其他</t>
        </is>
      </c>
      <c r="F39" s="25" t="inlineStr">
        <is>
          <t>CCCCOCCO</t>
        </is>
      </c>
      <c r="G39" s="24" t="n">
        <v>0</v>
      </c>
      <c r="H39" s="25" t="n">
        <v>0.89</v>
      </c>
      <c r="I39" s="25" t="n">
        <v>114.2</v>
      </c>
      <c r="J39" s="24" t="n">
        <v>0</v>
      </c>
      <c r="K39" s="24" t="n">
        <v>0</v>
      </c>
      <c r="L39" s="24" t="n">
        <v>0</v>
      </c>
      <c r="M39" s="24" t="n">
        <v>0</v>
      </c>
      <c r="N39" s="24" t="n">
        <v>0</v>
      </c>
      <c r="O39" s="25" t="n">
        <v>-63</v>
      </c>
      <c r="P39" s="25" t="n">
        <v>160</v>
      </c>
      <c r="Q39" s="25" t="n">
        <v>48</v>
      </c>
      <c r="R39" s="25" t="n">
        <v>16.6</v>
      </c>
      <c r="S39" s="25" t="n">
        <v>3.7</v>
      </c>
      <c r="T39" s="25" t="n">
        <v>9.199999999999999</v>
      </c>
      <c r="U39" s="25" t="n">
        <v>2.9</v>
      </c>
      <c r="V39" s="25" t="n">
        <v>0.28</v>
      </c>
      <c r="W39" s="25" t="n">
        <v>71</v>
      </c>
      <c r="X39" s="25" t="n">
        <v>11</v>
      </c>
      <c r="Y39" s="25" t="n">
        <v>18</v>
      </c>
      <c r="Z39" s="25" t="n">
        <v>0</v>
      </c>
      <c r="AA39" s="25" t="n">
        <v>0</v>
      </c>
      <c r="AB39" s="25" t="n">
        <v>0</v>
      </c>
      <c r="AC39" s="24" t="n">
        <v>0</v>
      </c>
      <c r="AD39" s="24" t="n">
        <v>0.57</v>
      </c>
      <c r="AE39" s="24" t="n">
        <v>0</v>
      </c>
      <c r="AF39" s="24" t="n">
        <v>0</v>
      </c>
      <c r="AG39" s="24" t="n">
        <v>0</v>
      </c>
      <c r="AH39" s="24" t="n">
        <v>0</v>
      </c>
      <c r="AI39" s="24" t="n">
        <v>0.33</v>
      </c>
      <c r="AJ39" s="24" t="n">
        <v>0.57</v>
      </c>
      <c r="AK39" s="25" t="n">
        <v>0</v>
      </c>
      <c r="AL39" s="25" t="n">
        <v>0</v>
      </c>
      <c r="AM39" s="26" t="inlineStr">
        <is>
          <t>类别典型值/文件信息</t>
        </is>
      </c>
      <c r="AN39" s="25" t="n"/>
    </row>
    <row r="40" ht="15" customHeight="1" s="15">
      <c r="A40" s="22" t="inlineStr">
        <is>
          <t>TZ161</t>
        </is>
      </c>
      <c r="B40" s="22" t="inlineStr">
        <is>
          <t>PMA溶剂</t>
        </is>
      </c>
      <c r="C40" s="23" t="inlineStr">
        <is>
          <t>有机</t>
        </is>
      </c>
      <c r="D40" s="23" t="inlineStr">
        <is>
          <t>溶剂</t>
        </is>
      </c>
      <c r="E40" s="23" t="inlineStr">
        <is>
          <t>其他</t>
        </is>
      </c>
      <c r="F40" s="22" t="inlineStr">
        <is>
          <t>CC(C)OC(=O)C</t>
        </is>
      </c>
      <c r="G40" s="24" t="n">
        <v>0</v>
      </c>
      <c r="H40" s="22" t="n">
        <v>0.97</v>
      </c>
      <c r="I40" s="22" t="n">
        <v>132.2</v>
      </c>
      <c r="J40" s="24" t="n">
        <v>0</v>
      </c>
      <c r="K40" s="24" t="n">
        <v>0</v>
      </c>
      <c r="L40" s="24" t="n">
        <v>0</v>
      </c>
      <c r="M40" s="24" t="n">
        <v>0</v>
      </c>
      <c r="N40" s="24" t="n">
        <v>0</v>
      </c>
      <c r="O40" s="22" t="n">
        <v>-80</v>
      </c>
      <c r="P40" s="22" t="n">
        <v>146</v>
      </c>
      <c r="Q40" s="22" t="n">
        <v>42</v>
      </c>
      <c r="R40" s="22" t="n">
        <v>15.6</v>
      </c>
      <c r="S40" s="22" t="n">
        <v>5.6</v>
      </c>
      <c r="T40" s="22" t="n">
        <v>9.800000000000001</v>
      </c>
      <c r="U40" s="22" t="n">
        <v>3.4</v>
      </c>
      <c r="V40" s="22" t="n">
        <v>0.34</v>
      </c>
      <c r="W40" s="22" t="n">
        <v>55</v>
      </c>
      <c r="X40" s="22" t="n">
        <v>9</v>
      </c>
      <c r="Y40" s="22" t="n">
        <v>36</v>
      </c>
      <c r="Z40" s="22" t="n">
        <v>0</v>
      </c>
      <c r="AA40" s="22" t="n">
        <v>0</v>
      </c>
      <c r="AB40" s="22" t="n">
        <v>0</v>
      </c>
      <c r="AC40" s="24" t="n">
        <v>0</v>
      </c>
      <c r="AD40" s="24" t="n">
        <v>0</v>
      </c>
      <c r="AE40" s="24" t="n">
        <v>0</v>
      </c>
      <c r="AF40" s="24" t="n">
        <v>0.76</v>
      </c>
      <c r="AG40" s="24" t="n">
        <v>0</v>
      </c>
      <c r="AH40" s="24" t="n">
        <v>0</v>
      </c>
      <c r="AI40" s="24" t="n">
        <v>0</v>
      </c>
      <c r="AJ40" s="24" t="n">
        <v>0.76</v>
      </c>
      <c r="AK40" s="22" t="n">
        <v>0</v>
      </c>
      <c r="AL40" s="22" t="n">
        <v>0</v>
      </c>
      <c r="AM40" s="23" t="inlineStr">
        <is>
          <t>类别典型值/文件信息</t>
        </is>
      </c>
      <c r="AN40" s="22" t="n"/>
    </row>
    <row r="41" ht="15" customHeight="1" s="15">
      <c r="A41" s="25" t="inlineStr">
        <is>
          <t>TZ425</t>
        </is>
      </c>
      <c r="B41" s="25" t="inlineStr">
        <is>
          <t>DBE溶剂</t>
        </is>
      </c>
      <c r="C41" s="26" t="inlineStr">
        <is>
          <t>聚酯</t>
        </is>
      </c>
      <c r="D41" s="26" t="inlineStr">
        <is>
          <t>溶剂</t>
        </is>
      </c>
      <c r="E41" s="26" t="inlineStr">
        <is>
          <t>其他</t>
        </is>
      </c>
      <c r="F41" s="25" t="inlineStr">
        <is>
          <t>COC(=O)CCCC(=O)OC</t>
        </is>
      </c>
      <c r="G41" s="24" t="n">
        <v>0</v>
      </c>
      <c r="H41" s="25" t="n">
        <v>1.09</v>
      </c>
      <c r="I41" s="25" t="n">
        <v>160</v>
      </c>
      <c r="J41" s="24" t="n">
        <v>0</v>
      </c>
      <c r="K41" s="24" t="n">
        <v>0</v>
      </c>
      <c r="L41" s="24" t="n">
        <v>0</v>
      </c>
      <c r="M41" s="24" t="n">
        <v>0</v>
      </c>
      <c r="N41" s="24" t="n">
        <v>0</v>
      </c>
      <c r="O41" s="25" t="n">
        <v>-60</v>
      </c>
      <c r="P41" s="25" t="n">
        <v>210</v>
      </c>
      <c r="Q41" s="25" t="n">
        <v>100</v>
      </c>
      <c r="R41" s="25" t="n">
        <v>16.5</v>
      </c>
      <c r="S41" s="25" t="n">
        <v>6.5</v>
      </c>
      <c r="T41" s="25" t="n">
        <v>7.5</v>
      </c>
      <c r="U41" s="25" t="n">
        <v>3</v>
      </c>
      <c r="V41" s="25" t="n">
        <v>0.02</v>
      </c>
      <c r="W41" s="25" t="n">
        <v>50</v>
      </c>
      <c r="X41" s="25" t="n">
        <v>7</v>
      </c>
      <c r="Y41" s="25" t="n">
        <v>43</v>
      </c>
      <c r="Z41" s="25" t="n">
        <v>0</v>
      </c>
      <c r="AA41" s="25" t="n">
        <v>0</v>
      </c>
      <c r="AB41" s="25" t="n">
        <v>0</v>
      </c>
      <c r="AC41" s="24" t="n">
        <v>0</v>
      </c>
      <c r="AD41" s="24" t="n">
        <v>0</v>
      </c>
      <c r="AE41" s="24" t="n">
        <v>0</v>
      </c>
      <c r="AF41" s="24" t="n">
        <v>0.62</v>
      </c>
      <c r="AG41" s="24" t="n">
        <v>0</v>
      </c>
      <c r="AH41" s="24" t="n">
        <v>0</v>
      </c>
      <c r="AI41" s="24" t="n">
        <v>0</v>
      </c>
      <c r="AJ41" s="24" t="n">
        <v>0.62</v>
      </c>
      <c r="AK41" s="25" t="n">
        <v>0</v>
      </c>
      <c r="AL41" s="25" t="n">
        <v>0</v>
      </c>
      <c r="AM41" s="26" t="inlineStr">
        <is>
          <t>类别典型值/文件信息</t>
        </is>
      </c>
      <c r="AN41" s="25" t="n"/>
    </row>
    <row r="42" ht="15" customHeight="1" s="15">
      <c r="A42" s="22" t="inlineStr">
        <is>
          <t>TZ240</t>
        </is>
      </c>
      <c r="B42" s="23" t="inlineStr">
        <is>
          <t>醋酸丁酯</t>
        </is>
      </c>
      <c r="C42" s="23" t="inlineStr">
        <is>
          <t>有机</t>
        </is>
      </c>
      <c r="D42" s="23" t="inlineStr">
        <is>
          <t>溶剂</t>
        </is>
      </c>
      <c r="E42" s="23" t="inlineStr">
        <is>
          <t>其他</t>
        </is>
      </c>
      <c r="F42" s="22" t="inlineStr">
        <is>
          <t>CCCCOC(=O)C</t>
        </is>
      </c>
      <c r="G42" s="24" t="n">
        <v>0</v>
      </c>
      <c r="H42" s="22" t="n">
        <v>0.88</v>
      </c>
      <c r="I42" s="22" t="n">
        <v>116.2</v>
      </c>
      <c r="J42" s="24" t="n">
        <v>0</v>
      </c>
      <c r="K42" s="24" t="n">
        <v>0</v>
      </c>
      <c r="L42" s="24" t="n">
        <v>0</v>
      </c>
      <c r="M42" s="24" t="n">
        <v>0</v>
      </c>
      <c r="N42" s="24" t="n">
        <v>0</v>
      </c>
      <c r="O42" s="22" t="n">
        <v>-78</v>
      </c>
      <c r="P42" s="22" t="n">
        <v>126</v>
      </c>
      <c r="Q42" s="22" t="n">
        <v>22</v>
      </c>
      <c r="R42" s="22" t="n">
        <v>15.8</v>
      </c>
      <c r="S42" s="22" t="n">
        <v>3.7</v>
      </c>
      <c r="T42" s="22" t="n">
        <v>6.3</v>
      </c>
      <c r="U42" s="22" t="n">
        <v>2.8</v>
      </c>
      <c r="V42" s="22" t="n">
        <v>1</v>
      </c>
      <c r="W42" s="22" t="n">
        <v>62</v>
      </c>
      <c r="X42" s="22" t="n">
        <v>10</v>
      </c>
      <c r="Y42" s="22" t="n">
        <v>28</v>
      </c>
      <c r="Z42" s="22" t="n">
        <v>0</v>
      </c>
      <c r="AA42" s="22" t="n">
        <v>0</v>
      </c>
      <c r="AB42" s="22" t="n">
        <v>0</v>
      </c>
      <c r="AC42" s="24" t="n">
        <v>0</v>
      </c>
      <c r="AD42" s="24" t="n">
        <v>0</v>
      </c>
      <c r="AE42" s="24" t="n">
        <v>0</v>
      </c>
      <c r="AF42" s="24" t="n">
        <v>0.86</v>
      </c>
      <c r="AG42" s="24" t="n">
        <v>0</v>
      </c>
      <c r="AH42" s="24" t="n">
        <v>0</v>
      </c>
      <c r="AI42" s="24" t="n">
        <v>0</v>
      </c>
      <c r="AJ42" s="24" t="n">
        <v>0.86</v>
      </c>
      <c r="AK42" s="22" t="n">
        <v>0</v>
      </c>
      <c r="AL42" s="22" t="n">
        <v>0</v>
      </c>
      <c r="AM42" s="23" t="inlineStr">
        <is>
          <t>类别典型值/文件信息</t>
        </is>
      </c>
      <c r="AN42" s="22" t="n"/>
    </row>
    <row r="43" ht="15" customHeight="1" s="15">
      <c r="A43" s="25" t="inlineStr">
        <is>
          <t>TT444</t>
        </is>
      </c>
      <c r="B43" s="26" t="inlineStr">
        <is>
          <t>丁酮</t>
        </is>
      </c>
      <c r="C43" s="26" t="inlineStr">
        <is>
          <t>有机</t>
        </is>
      </c>
      <c r="D43" s="26" t="inlineStr">
        <is>
          <t>溶剂</t>
        </is>
      </c>
      <c r="E43" s="26" t="inlineStr">
        <is>
          <t>其他</t>
        </is>
      </c>
      <c r="F43" s="25" t="inlineStr">
        <is>
          <t>CCC(=O)C</t>
        </is>
      </c>
      <c r="G43" s="24" t="n">
        <v>0</v>
      </c>
      <c r="H43" s="25" t="n">
        <v>0.8</v>
      </c>
      <c r="I43" s="25" t="n">
        <v>72.09999999999999</v>
      </c>
      <c r="J43" s="24" t="n">
        <v>0</v>
      </c>
      <c r="K43" s="24" t="n">
        <v>0</v>
      </c>
      <c r="L43" s="24" t="n">
        <v>0</v>
      </c>
      <c r="M43" s="24" t="n">
        <v>0</v>
      </c>
      <c r="N43" s="24" t="n">
        <v>0</v>
      </c>
      <c r="O43" s="25" t="n">
        <v>-86</v>
      </c>
      <c r="P43" s="25" t="n">
        <v>79.59999999999999</v>
      </c>
      <c r="Q43" s="25" t="n">
        <v>-9</v>
      </c>
      <c r="R43" s="25" t="n">
        <v>16</v>
      </c>
      <c r="S43" s="25" t="n">
        <v>9</v>
      </c>
      <c r="T43" s="25" t="n">
        <v>5.1</v>
      </c>
      <c r="U43" s="25" t="n">
        <v>4.7</v>
      </c>
      <c r="V43" s="25" t="n">
        <v>3.8</v>
      </c>
      <c r="W43" s="25" t="n">
        <v>67</v>
      </c>
      <c r="X43" s="25" t="n">
        <v>11</v>
      </c>
      <c r="Y43" s="25" t="n">
        <v>22</v>
      </c>
      <c r="Z43" s="25" t="n">
        <v>0</v>
      </c>
      <c r="AA43" s="25" t="n">
        <v>0</v>
      </c>
      <c r="AB43" s="25" t="n">
        <v>0</v>
      </c>
      <c r="AC43" s="24" t="n">
        <v>0</v>
      </c>
      <c r="AD43" s="24" t="n">
        <v>0</v>
      </c>
      <c r="AE43" s="24" t="n">
        <v>0</v>
      </c>
      <c r="AF43" s="24" t="n">
        <v>0</v>
      </c>
      <c r="AG43" s="24" t="n">
        <v>0</v>
      </c>
      <c r="AH43" s="24" t="n">
        <v>0</v>
      </c>
      <c r="AI43" s="24" t="n">
        <v>0</v>
      </c>
      <c r="AJ43" s="24" t="n">
        <v>0</v>
      </c>
      <c r="AK43" s="25" t="n">
        <v>0</v>
      </c>
      <c r="AL43" s="25" t="n">
        <v>0</v>
      </c>
      <c r="AM43" s="26" t="inlineStr">
        <is>
          <t>类别典型值/文件信息</t>
        </is>
      </c>
      <c r="AN43" s="25" t="n"/>
    </row>
    <row r="44" ht="15" customHeight="1" s="15">
      <c r="A44" s="22" t="inlineStr">
        <is>
          <t>TT066</t>
        </is>
      </c>
      <c r="B44" s="23" t="inlineStr">
        <is>
          <t>环己酮</t>
        </is>
      </c>
      <c r="C44" s="23" t="inlineStr">
        <is>
          <t>有机</t>
        </is>
      </c>
      <c r="D44" s="23" t="inlineStr">
        <is>
          <t>溶剂</t>
        </is>
      </c>
      <c r="E44" s="23" t="inlineStr">
        <is>
          <t>其他</t>
        </is>
      </c>
      <c r="F44" s="22" t="inlineStr">
        <is>
          <t>O=C1CCCCC1</t>
        </is>
      </c>
      <c r="G44" s="24" t="n">
        <v>0</v>
      </c>
      <c r="H44" s="22" t="n">
        <v>0.95</v>
      </c>
      <c r="I44" s="22" t="n">
        <v>98.09999999999999</v>
      </c>
      <c r="J44" s="24" t="n">
        <v>0</v>
      </c>
      <c r="K44" s="24" t="n">
        <v>0</v>
      </c>
      <c r="L44" s="24" t="n">
        <v>0</v>
      </c>
      <c r="M44" s="24" t="n">
        <v>0</v>
      </c>
      <c r="N44" s="24" t="n">
        <v>0</v>
      </c>
      <c r="O44" s="22" t="n">
        <v>-32</v>
      </c>
      <c r="P44" s="22" t="n">
        <v>155.6</v>
      </c>
      <c r="Q44" s="22" t="n">
        <v>44</v>
      </c>
      <c r="R44" s="22" t="n">
        <v>17.8</v>
      </c>
      <c r="S44" s="22" t="n">
        <v>6.3</v>
      </c>
      <c r="T44" s="22" t="n">
        <v>5.1</v>
      </c>
      <c r="U44" s="22" t="n">
        <v>4.2</v>
      </c>
      <c r="V44" s="22" t="n">
        <v>0.3</v>
      </c>
      <c r="W44" s="22" t="n">
        <v>73</v>
      </c>
      <c r="X44" s="22" t="n">
        <v>10</v>
      </c>
      <c r="Y44" s="22" t="n">
        <v>16</v>
      </c>
      <c r="Z44" s="22" t="n">
        <v>0</v>
      </c>
      <c r="AA44" s="22" t="n">
        <v>0</v>
      </c>
      <c r="AB44" s="22" t="n">
        <v>0</v>
      </c>
      <c r="AC44" s="24" t="n">
        <v>0</v>
      </c>
      <c r="AD44" s="24" t="n">
        <v>0</v>
      </c>
      <c r="AE44" s="24" t="n">
        <v>0</v>
      </c>
      <c r="AF44" s="24" t="n">
        <v>0</v>
      </c>
      <c r="AG44" s="24" t="n">
        <v>0</v>
      </c>
      <c r="AH44" s="24" t="n">
        <v>0</v>
      </c>
      <c r="AI44" s="24" t="n">
        <v>0</v>
      </c>
      <c r="AJ44" s="24" t="n">
        <v>0</v>
      </c>
      <c r="AK44" s="22" t="n">
        <v>0</v>
      </c>
      <c r="AL44" s="22" t="n">
        <v>0</v>
      </c>
      <c r="AM44" s="23" t="inlineStr">
        <is>
          <t>类别典型值/文件信息</t>
        </is>
      </c>
      <c r="AN44" s="22" t="n"/>
    </row>
    <row r="45" ht="15" customHeight="1" s="15">
      <c r="A45" s="25" t="inlineStr">
        <is>
          <t>TM982</t>
        </is>
      </c>
      <c r="B45" s="25" t="inlineStr">
        <is>
          <t>PM溶剂</t>
        </is>
      </c>
      <c r="C45" s="26" t="inlineStr">
        <is>
          <t>有机</t>
        </is>
      </c>
      <c r="D45" s="26" t="inlineStr">
        <is>
          <t>溶剂</t>
        </is>
      </c>
      <c r="E45" s="26" t="inlineStr">
        <is>
          <t>其他</t>
        </is>
      </c>
      <c r="F45" s="25" t="inlineStr">
        <is>
          <t>CC(C)OC</t>
        </is>
      </c>
      <c r="G45" s="24" t="n">
        <v>0</v>
      </c>
      <c r="H45" s="25" t="n">
        <v>0.92</v>
      </c>
      <c r="I45" s="25" t="n">
        <v>90.09999999999999</v>
      </c>
      <c r="J45" s="24" t="n">
        <v>0</v>
      </c>
      <c r="K45" s="24" t="n">
        <v>0</v>
      </c>
      <c r="L45" s="24" t="n">
        <v>0</v>
      </c>
      <c r="M45" s="24" t="n">
        <v>0</v>
      </c>
      <c r="N45" s="24" t="n">
        <v>0</v>
      </c>
      <c r="O45" s="25" t="n">
        <v>-96</v>
      </c>
      <c r="P45" s="25" t="n">
        <v>120</v>
      </c>
      <c r="Q45" s="25" t="n">
        <v>32</v>
      </c>
      <c r="R45" s="25" t="n">
        <v>15.6</v>
      </c>
      <c r="S45" s="25" t="n">
        <v>6.3</v>
      </c>
      <c r="T45" s="25" t="n">
        <v>11.6</v>
      </c>
      <c r="U45" s="25" t="n">
        <v>3.6</v>
      </c>
      <c r="V45" s="25" t="n">
        <v>0.65</v>
      </c>
      <c r="W45" s="25" t="n">
        <v>53</v>
      </c>
      <c r="X45" s="25" t="n">
        <v>11</v>
      </c>
      <c r="Y45" s="25" t="n">
        <v>36</v>
      </c>
      <c r="Z45" s="25" t="n">
        <v>0</v>
      </c>
      <c r="AA45" s="25" t="n">
        <v>0</v>
      </c>
      <c r="AB45" s="25" t="n">
        <v>0</v>
      </c>
      <c r="AC45" s="24" t="n">
        <v>0</v>
      </c>
      <c r="AD45" s="24" t="n">
        <v>1.11</v>
      </c>
      <c r="AE45" s="24" t="n">
        <v>0</v>
      </c>
      <c r="AF45" s="24" t="n">
        <v>0</v>
      </c>
      <c r="AG45" s="24" t="n">
        <v>0</v>
      </c>
      <c r="AH45" s="24" t="n">
        <v>0</v>
      </c>
      <c r="AI45" s="24" t="n">
        <v>0</v>
      </c>
      <c r="AJ45" s="24" t="n">
        <v>1.11</v>
      </c>
      <c r="AK45" s="25" t="n">
        <v>0</v>
      </c>
      <c r="AL45" s="25" t="n">
        <v>0</v>
      </c>
      <c r="AM45" s="26" t="inlineStr">
        <is>
          <t>类别典型值/文件信息</t>
        </is>
      </c>
      <c r="AN45" s="25" t="n"/>
    </row>
    <row r="46" ht="15" customHeight="1" s="15">
      <c r="A46" s="22" t="inlineStr">
        <is>
          <t>TM024</t>
        </is>
      </c>
      <c r="B46" s="23" t="inlineStr">
        <is>
          <t>二乙二醇单丁醚</t>
        </is>
      </c>
      <c r="C46" s="23" t="inlineStr">
        <is>
          <t>有机</t>
        </is>
      </c>
      <c r="D46" s="23" t="inlineStr">
        <is>
          <t>溶剂</t>
        </is>
      </c>
      <c r="E46" s="23" t="inlineStr">
        <is>
          <t>其他</t>
        </is>
      </c>
      <c r="F46" s="22" t="inlineStr">
        <is>
          <t>CCCCOCCOCCO</t>
        </is>
      </c>
      <c r="G46" s="24" t="n">
        <v>0</v>
      </c>
      <c r="H46" s="22" t="n">
        <v>0.96</v>
      </c>
      <c r="I46" s="22" t="n">
        <v>162.2</v>
      </c>
      <c r="J46" s="24" t="n">
        <v>0</v>
      </c>
      <c r="K46" s="24" t="n">
        <v>0</v>
      </c>
      <c r="L46" s="24" t="n">
        <v>0</v>
      </c>
      <c r="M46" s="24" t="n">
        <v>0</v>
      </c>
      <c r="N46" s="24" t="n">
        <v>0</v>
      </c>
      <c r="O46" s="22" t="n">
        <v>-68</v>
      </c>
      <c r="P46" s="22" t="n">
        <v>231</v>
      </c>
      <c r="Q46" s="22" t="n">
        <v>100</v>
      </c>
      <c r="R46" s="22" t="n">
        <v>16</v>
      </c>
      <c r="S46" s="22" t="n">
        <v>7</v>
      </c>
      <c r="T46" s="22" t="n">
        <v>10</v>
      </c>
      <c r="U46" s="22" t="n">
        <v>3.4</v>
      </c>
      <c r="V46" s="22" t="n">
        <v>0.01</v>
      </c>
      <c r="W46" s="22" t="n">
        <v>59</v>
      </c>
      <c r="X46" s="22" t="n">
        <v>11</v>
      </c>
      <c r="Y46" s="22" t="n">
        <v>30</v>
      </c>
      <c r="Z46" s="22" t="n">
        <v>0</v>
      </c>
      <c r="AA46" s="22" t="n">
        <v>0</v>
      </c>
      <c r="AB46" s="22" t="n">
        <v>0</v>
      </c>
      <c r="AC46" s="24" t="n">
        <v>0</v>
      </c>
      <c r="AD46" s="24" t="n">
        <v>0.62</v>
      </c>
      <c r="AE46" s="24" t="n">
        <v>0</v>
      </c>
      <c r="AF46" s="24" t="n">
        <v>0</v>
      </c>
      <c r="AG46" s="24" t="n">
        <v>0</v>
      </c>
      <c r="AH46" s="24" t="n">
        <v>0</v>
      </c>
      <c r="AI46" s="24" t="n">
        <v>0</v>
      </c>
      <c r="AJ46" s="24" t="n">
        <v>0.62</v>
      </c>
      <c r="AK46" s="22" t="n">
        <v>0</v>
      </c>
      <c r="AL46" s="22" t="n">
        <v>0</v>
      </c>
      <c r="AM46" s="23" t="inlineStr">
        <is>
          <t>类别典型值/文件信息</t>
        </is>
      </c>
      <c r="AN46" s="22" t="n"/>
    </row>
    <row r="47" ht="15" customHeight="1" s="15">
      <c r="A47" s="25" t="inlineStr">
        <is>
          <t>TM221</t>
        </is>
      </c>
      <c r="B47" s="26" t="inlineStr">
        <is>
          <t>乙二醇丁醚</t>
        </is>
      </c>
      <c r="C47" s="26" t="inlineStr">
        <is>
          <t>有机</t>
        </is>
      </c>
      <c r="D47" s="26" t="inlineStr">
        <is>
          <t>溶剂</t>
        </is>
      </c>
      <c r="E47" s="26" t="inlineStr">
        <is>
          <t>其他</t>
        </is>
      </c>
      <c r="F47" s="26" t="inlineStr">
        <is>
          <t>专有(无SMILES)</t>
        </is>
      </c>
      <c r="G47" s="24" t="n">
        <v>0</v>
      </c>
      <c r="H47" s="25" t="n">
        <v>0.9</v>
      </c>
      <c r="I47" s="25" t="n">
        <v>118.2</v>
      </c>
      <c r="J47" s="24" t="n">
        <v>0</v>
      </c>
      <c r="K47" s="24" t="n">
        <v>0</v>
      </c>
      <c r="L47" s="24" t="n">
        <v>0</v>
      </c>
      <c r="M47" s="24" t="n">
        <v>0</v>
      </c>
      <c r="N47" s="24" t="n">
        <v>0</v>
      </c>
      <c r="O47" s="25" t="n">
        <v>-70</v>
      </c>
      <c r="P47" s="25" t="n">
        <v>171</v>
      </c>
      <c r="Q47" s="25" t="n">
        <v>60</v>
      </c>
      <c r="R47" s="25" t="n">
        <v>16</v>
      </c>
      <c r="S47" s="25" t="n">
        <v>5.1</v>
      </c>
      <c r="T47" s="25" t="n">
        <v>12.3</v>
      </c>
      <c r="U47" s="25" t="n">
        <v>3.1</v>
      </c>
      <c r="V47" s="25" t="n">
        <v>0.07000000000000001</v>
      </c>
      <c r="W47" s="25" t="n">
        <v>61</v>
      </c>
      <c r="X47" s="25" t="n">
        <v>12</v>
      </c>
      <c r="Y47" s="25" t="n">
        <v>27</v>
      </c>
      <c r="Z47" s="25" t="n">
        <v>0</v>
      </c>
      <c r="AA47" s="25" t="n">
        <v>0</v>
      </c>
      <c r="AB47" s="25" t="n">
        <v>0</v>
      </c>
      <c r="AC47" s="24" t="n">
        <v>0</v>
      </c>
      <c r="AD47" s="24" t="n">
        <v>0.85</v>
      </c>
      <c r="AE47" s="24" t="n">
        <v>0</v>
      </c>
      <c r="AF47" s="24" t="n">
        <v>0</v>
      </c>
      <c r="AG47" s="24" t="n">
        <v>0</v>
      </c>
      <c r="AH47" s="24" t="n">
        <v>0</v>
      </c>
      <c r="AI47" s="24" t="n">
        <v>0</v>
      </c>
      <c r="AJ47" s="24" t="n">
        <v>0.85</v>
      </c>
      <c r="AK47" s="25" t="n">
        <v>0</v>
      </c>
      <c r="AL47" s="25" t="n">
        <v>0</v>
      </c>
      <c r="AM47" s="26" t="inlineStr">
        <is>
          <t>类别典型值/文件信息</t>
        </is>
      </c>
      <c r="AN47" s="25" t="n"/>
    </row>
    <row r="48" ht="15" customHeight="1" s="15">
      <c r="A48" s="22" t="inlineStr">
        <is>
          <t>TZ221</t>
        </is>
      </c>
      <c r="B48" s="23" t="inlineStr">
        <is>
          <t>乙二醇丁醚</t>
        </is>
      </c>
      <c r="C48" s="23" t="inlineStr">
        <is>
          <t>有机</t>
        </is>
      </c>
      <c r="D48" s="23" t="inlineStr">
        <is>
          <t>溶剂</t>
        </is>
      </c>
      <c r="E48" s="23" t="inlineStr">
        <is>
          <t>其他</t>
        </is>
      </c>
      <c r="F48" s="22" t="inlineStr">
        <is>
          <t>CCCCOCCO</t>
        </is>
      </c>
      <c r="G48" s="24" t="n">
        <v>0</v>
      </c>
      <c r="H48" s="22" t="n">
        <v>0.9</v>
      </c>
      <c r="I48" s="22" t="n">
        <v>118.2</v>
      </c>
      <c r="J48" s="24" t="n">
        <v>0</v>
      </c>
      <c r="K48" s="24" t="n">
        <v>0</v>
      </c>
      <c r="L48" s="24" t="n">
        <v>0</v>
      </c>
      <c r="M48" s="24" t="n">
        <v>0</v>
      </c>
      <c r="N48" s="24" t="n">
        <v>0</v>
      </c>
      <c r="O48" s="22" t="n">
        <v>-70</v>
      </c>
      <c r="P48" s="22" t="n">
        <v>171</v>
      </c>
      <c r="Q48" s="22" t="n">
        <v>60</v>
      </c>
      <c r="R48" s="22" t="n">
        <v>16</v>
      </c>
      <c r="S48" s="22" t="n">
        <v>5.1</v>
      </c>
      <c r="T48" s="22" t="n">
        <v>12.3</v>
      </c>
      <c r="U48" s="22" t="n">
        <v>3.1</v>
      </c>
      <c r="V48" s="22" t="n">
        <v>0.07000000000000001</v>
      </c>
      <c r="W48" s="22" t="n">
        <v>61</v>
      </c>
      <c r="X48" s="22" t="n">
        <v>12</v>
      </c>
      <c r="Y48" s="22" t="n">
        <v>27</v>
      </c>
      <c r="Z48" s="22" t="n">
        <v>0</v>
      </c>
      <c r="AA48" s="22" t="n">
        <v>0</v>
      </c>
      <c r="AB48" s="22" t="n">
        <v>0</v>
      </c>
      <c r="AC48" s="24" t="n">
        <v>0</v>
      </c>
      <c r="AD48" s="24" t="n">
        <v>0.85</v>
      </c>
      <c r="AE48" s="24" t="n">
        <v>0</v>
      </c>
      <c r="AF48" s="24" t="n">
        <v>0</v>
      </c>
      <c r="AG48" s="24" t="n">
        <v>0</v>
      </c>
      <c r="AH48" s="24" t="n">
        <v>0</v>
      </c>
      <c r="AI48" s="24" t="n">
        <v>0</v>
      </c>
      <c r="AJ48" s="24" t="n">
        <v>0.85</v>
      </c>
      <c r="AK48" s="22" t="n">
        <v>0</v>
      </c>
      <c r="AL48" s="22" t="n">
        <v>0</v>
      </c>
      <c r="AM48" s="23" t="inlineStr">
        <is>
          <t>类别典型值/文件信息</t>
        </is>
      </c>
      <c r="AN48" s="22" t="n"/>
    </row>
    <row r="49" ht="15" customHeight="1" s="15">
      <c r="A49" s="25" t="inlineStr">
        <is>
          <t>AZ088</t>
        </is>
      </c>
      <c r="B49" s="26" t="inlineStr">
        <is>
          <t>分散剂BYK088</t>
        </is>
      </c>
      <c r="C49" s="26" t="inlineStr">
        <is>
          <t>环氧酚醛</t>
        </is>
      </c>
      <c r="D49" s="26" t="inlineStr">
        <is>
          <t>助剂</t>
        </is>
      </c>
      <c r="E49" s="26" t="inlineStr">
        <is>
          <t>其他</t>
        </is>
      </c>
      <c r="F49" s="26" t="inlineStr">
        <is>
          <t>专有(无SMILES)</t>
        </is>
      </c>
      <c r="G49" s="24" t="n">
        <v>100</v>
      </c>
      <c r="H49" s="25" t="n">
        <v>1</v>
      </c>
      <c r="I49" s="25" t="n">
        <v>5000</v>
      </c>
      <c r="J49" s="24" t="n">
        <v>0</v>
      </c>
      <c r="K49" s="24" t="n">
        <v>10</v>
      </c>
      <c r="L49" s="24" t="n">
        <v>30</v>
      </c>
      <c r="M49" s="24" t="n">
        <v>0</v>
      </c>
      <c r="N49" s="24" t="n">
        <v>0</v>
      </c>
      <c r="O49" s="25" t="n">
        <v>20</v>
      </c>
      <c r="P49" s="25" t="n">
        <v>300</v>
      </c>
      <c r="Q49" s="25" t="n">
        <v>150</v>
      </c>
      <c r="R49" s="25" t="n">
        <v>17.5</v>
      </c>
      <c r="S49" s="25" t="n">
        <v>6.5</v>
      </c>
      <c r="T49" s="25" t="n">
        <v>8.5</v>
      </c>
      <c r="U49" s="25" t="n">
        <v>3.2</v>
      </c>
      <c r="V49" s="25" t="n">
        <v>0</v>
      </c>
      <c r="W49" s="25" t="n">
        <v>65</v>
      </c>
      <c r="X49" s="25" t="n">
        <v>9</v>
      </c>
      <c r="Y49" s="25" t="n">
        <v>25</v>
      </c>
      <c r="Z49" s="25" t="n">
        <v>1</v>
      </c>
      <c r="AA49" s="25" t="n">
        <v>0</v>
      </c>
      <c r="AB49" s="25" t="n">
        <v>0</v>
      </c>
      <c r="AC49" s="24" t="n">
        <v>0</v>
      </c>
      <c r="AD49" s="24" t="n">
        <v>0.018</v>
      </c>
      <c r="AE49" s="24" t="n">
        <v>0.006</v>
      </c>
      <c r="AF49" s="24" t="n">
        <v>0.2</v>
      </c>
      <c r="AG49" s="24" t="n">
        <v>0</v>
      </c>
      <c r="AH49" s="24" t="n">
        <v>0.05</v>
      </c>
      <c r="AI49" s="24" t="n">
        <v>0.2</v>
      </c>
      <c r="AJ49" s="24" t="n">
        <v>0.1</v>
      </c>
      <c r="AK49" s="25" t="n">
        <v>0</v>
      </c>
      <c r="AL49" s="25" t="n">
        <v>0</v>
      </c>
      <c r="AM49" s="26" t="inlineStr">
        <is>
          <t>类别典型值/文件信息</t>
        </is>
      </c>
      <c r="AN49" s="25" t="n"/>
    </row>
    <row r="50" ht="15" customHeight="1" s="15">
      <c r="A50" s="22" t="inlineStr">
        <is>
          <t>BYK104</t>
        </is>
      </c>
      <c r="B50" s="23" t="inlineStr">
        <is>
          <t>分散剂BYK104</t>
        </is>
      </c>
      <c r="C50" s="23" t="inlineStr">
        <is>
          <t>有机</t>
        </is>
      </c>
      <c r="D50" s="23" t="inlineStr">
        <is>
          <t>助剂</t>
        </is>
      </c>
      <c r="E50" s="23" t="inlineStr">
        <is>
          <t>其他</t>
        </is>
      </c>
      <c r="F50" s="23" t="inlineStr">
        <is>
          <t>专有(无SMILES)</t>
        </is>
      </c>
      <c r="G50" s="24" t="n">
        <v>100</v>
      </c>
      <c r="H50" s="22" t="n">
        <v>1</v>
      </c>
      <c r="I50" s="22" t="n">
        <v>5000</v>
      </c>
      <c r="J50" s="24" t="n">
        <v>0</v>
      </c>
      <c r="K50" s="24" t="n">
        <v>30</v>
      </c>
      <c r="L50" s="24" t="n">
        <v>20</v>
      </c>
      <c r="M50" s="24" t="n">
        <v>0</v>
      </c>
      <c r="N50" s="24" t="n">
        <v>0</v>
      </c>
      <c r="O50" s="22" t="n">
        <v>20</v>
      </c>
      <c r="P50" s="22" t="n">
        <v>300</v>
      </c>
      <c r="Q50" s="22" t="n">
        <v>150</v>
      </c>
      <c r="R50" s="22" t="n">
        <v>17.5</v>
      </c>
      <c r="S50" s="22" t="n">
        <v>6.5</v>
      </c>
      <c r="T50" s="22" t="n">
        <v>8.5</v>
      </c>
      <c r="U50" s="22" t="n">
        <v>3.2</v>
      </c>
      <c r="V50" s="22" t="n">
        <v>0</v>
      </c>
      <c r="W50" s="22" t="n">
        <v>60</v>
      </c>
      <c r="X50" s="22" t="n">
        <v>9</v>
      </c>
      <c r="Y50" s="22" t="n">
        <v>30</v>
      </c>
      <c r="Z50" s="22" t="n">
        <v>0</v>
      </c>
      <c r="AA50" s="22" t="n">
        <v>0</v>
      </c>
      <c r="AB50" s="22" t="n">
        <v>0</v>
      </c>
      <c r="AC50" s="24" t="n">
        <v>0</v>
      </c>
      <c r="AD50" s="24" t="n">
        <v>0.012</v>
      </c>
      <c r="AE50" s="24" t="n">
        <v>0.018</v>
      </c>
      <c r="AF50" s="24" t="n">
        <v>0.2</v>
      </c>
      <c r="AG50" s="24" t="n">
        <v>0</v>
      </c>
      <c r="AH50" s="24" t="n">
        <v>0.05</v>
      </c>
      <c r="AI50" s="24" t="n">
        <v>0.2</v>
      </c>
      <c r="AJ50" s="24" t="n">
        <v>0.1</v>
      </c>
      <c r="AK50" s="22" t="n">
        <v>0</v>
      </c>
      <c r="AL50" s="22" t="n">
        <v>0</v>
      </c>
      <c r="AM50" s="23" t="inlineStr">
        <is>
          <t>类别典型值/文件信息</t>
        </is>
      </c>
      <c r="AN50" s="22" t="n"/>
    </row>
    <row r="51" ht="15" customHeight="1" s="15">
      <c r="A51" s="25" t="inlineStr">
        <is>
          <t>AC040</t>
        </is>
      </c>
      <c r="B51" s="26" t="inlineStr">
        <is>
          <t>助剂</t>
        </is>
      </c>
      <c r="C51" s="26" t="inlineStr">
        <is>
          <t>聚酯</t>
        </is>
      </c>
      <c r="D51" s="26" t="inlineStr">
        <is>
          <t>助剂</t>
        </is>
      </c>
      <c r="E51" s="26" t="inlineStr">
        <is>
          <t>其他</t>
        </is>
      </c>
      <c r="F51" s="26" t="inlineStr">
        <is>
          <t>专有(无SMILES)</t>
        </is>
      </c>
      <c r="G51" s="24" t="n">
        <v>100</v>
      </c>
      <c r="H51" s="25" t="n">
        <v>1</v>
      </c>
      <c r="I51" s="25" t="n">
        <v>3000</v>
      </c>
      <c r="J51" s="24" t="n">
        <v>0</v>
      </c>
      <c r="K51" s="24" t="n">
        <v>5</v>
      </c>
      <c r="L51" s="24" t="n">
        <v>40</v>
      </c>
      <c r="M51" s="24" t="n">
        <v>0</v>
      </c>
      <c r="N51" s="24" t="n">
        <v>0</v>
      </c>
      <c r="O51" s="25" t="n">
        <v>20</v>
      </c>
      <c r="P51" s="25" t="n">
        <v>300</v>
      </c>
      <c r="Q51" s="25" t="n">
        <v>150</v>
      </c>
      <c r="R51" s="25" t="n">
        <v>17.5</v>
      </c>
      <c r="S51" s="25" t="n">
        <v>6</v>
      </c>
      <c r="T51" s="25" t="n">
        <v>8</v>
      </c>
      <c r="U51" s="25" t="n">
        <v>3</v>
      </c>
      <c r="V51" s="25" t="n">
        <v>0</v>
      </c>
      <c r="W51" s="25" t="n">
        <v>65</v>
      </c>
      <c r="X51" s="25" t="n">
        <v>9</v>
      </c>
      <c r="Y51" s="25" t="n">
        <v>25</v>
      </c>
      <c r="Z51" s="25" t="n">
        <v>0</v>
      </c>
      <c r="AA51" s="25" t="n">
        <v>0</v>
      </c>
      <c r="AB51" s="25" t="n">
        <v>0</v>
      </c>
      <c r="AC51" s="24" t="n">
        <v>0</v>
      </c>
      <c r="AD51" s="24" t="n">
        <v>0.024</v>
      </c>
      <c r="AE51" s="24" t="n">
        <v>0.003</v>
      </c>
      <c r="AF51" s="24" t="n">
        <v>0.2</v>
      </c>
      <c r="AG51" s="24" t="n">
        <v>0</v>
      </c>
      <c r="AH51" s="24" t="n">
        <v>0.05</v>
      </c>
      <c r="AI51" s="24" t="n">
        <v>0.2</v>
      </c>
      <c r="AJ51" s="24" t="n">
        <v>0.1</v>
      </c>
      <c r="AK51" s="25" t="n">
        <v>0</v>
      </c>
      <c r="AL51" s="25" t="n">
        <v>0</v>
      </c>
      <c r="AM51" s="26" t="inlineStr">
        <is>
          <t>类别典型值/文件信息</t>
        </is>
      </c>
      <c r="AN51" s="25" t="n"/>
    </row>
    <row r="52" ht="15" customHeight="1" s="15">
      <c r="A52" s="22" t="inlineStr">
        <is>
          <t>AZ135</t>
        </is>
      </c>
      <c r="B52" s="23" t="inlineStr">
        <is>
          <t>助剂</t>
        </is>
      </c>
      <c r="C52" s="23" t="inlineStr">
        <is>
          <t>聚酯</t>
        </is>
      </c>
      <c r="D52" s="23" t="inlineStr">
        <is>
          <t>助剂</t>
        </is>
      </c>
      <c r="E52" s="23" t="inlineStr">
        <is>
          <t>其他</t>
        </is>
      </c>
      <c r="F52" s="23" t="inlineStr">
        <is>
          <t>专有(无SMILES)</t>
        </is>
      </c>
      <c r="G52" s="24" t="n">
        <v>100</v>
      </c>
      <c r="H52" s="22" t="n">
        <v>1</v>
      </c>
      <c r="I52" s="22" t="n">
        <v>3000</v>
      </c>
      <c r="J52" s="24" t="n">
        <v>0</v>
      </c>
      <c r="K52" s="24" t="n">
        <v>5</v>
      </c>
      <c r="L52" s="24" t="n">
        <v>40</v>
      </c>
      <c r="M52" s="24" t="n">
        <v>0</v>
      </c>
      <c r="N52" s="24" t="n">
        <v>0</v>
      </c>
      <c r="O52" s="22" t="n">
        <v>20</v>
      </c>
      <c r="P52" s="22" t="n">
        <v>300</v>
      </c>
      <c r="Q52" s="22" t="n">
        <v>150</v>
      </c>
      <c r="R52" s="22" t="n">
        <v>17.5</v>
      </c>
      <c r="S52" s="22" t="n">
        <v>6</v>
      </c>
      <c r="T52" s="22" t="n">
        <v>8</v>
      </c>
      <c r="U52" s="22" t="n">
        <v>3</v>
      </c>
      <c r="V52" s="22" t="n">
        <v>0</v>
      </c>
      <c r="W52" s="22" t="n">
        <v>65</v>
      </c>
      <c r="X52" s="22" t="n">
        <v>9</v>
      </c>
      <c r="Y52" s="22" t="n">
        <v>25</v>
      </c>
      <c r="Z52" s="22" t="n">
        <v>0</v>
      </c>
      <c r="AA52" s="22" t="n">
        <v>0</v>
      </c>
      <c r="AB52" s="22" t="n">
        <v>0</v>
      </c>
      <c r="AC52" s="24" t="n">
        <v>0</v>
      </c>
      <c r="AD52" s="24" t="n">
        <v>0.024</v>
      </c>
      <c r="AE52" s="24" t="n">
        <v>0.003</v>
      </c>
      <c r="AF52" s="24" t="n">
        <v>0.2</v>
      </c>
      <c r="AG52" s="24" t="n">
        <v>0</v>
      </c>
      <c r="AH52" s="24" t="n">
        <v>0.05</v>
      </c>
      <c r="AI52" s="24" t="n">
        <v>0.2</v>
      </c>
      <c r="AJ52" s="24" t="n">
        <v>0.1</v>
      </c>
      <c r="AK52" s="22" t="n">
        <v>0</v>
      </c>
      <c r="AL52" s="22" t="n">
        <v>0</v>
      </c>
      <c r="AM52" s="23" t="inlineStr">
        <is>
          <t>类别典型值/文件信息</t>
        </is>
      </c>
      <c r="AN52" s="22" t="n"/>
    </row>
    <row r="53" ht="15" customHeight="1" s="15">
      <c r="A53" s="25" t="inlineStr">
        <is>
          <t>AZ306</t>
        </is>
      </c>
      <c r="B53" s="26" t="inlineStr">
        <is>
          <t>助剂</t>
        </is>
      </c>
      <c r="C53" s="26" t="inlineStr">
        <is>
          <t>有机</t>
        </is>
      </c>
      <c r="D53" s="26" t="inlineStr">
        <is>
          <t>助剂</t>
        </is>
      </c>
      <c r="E53" s="26" t="inlineStr">
        <is>
          <t>其他</t>
        </is>
      </c>
      <c r="F53" s="26" t="inlineStr">
        <is>
          <t>专有(无SMILES)</t>
        </is>
      </c>
      <c r="G53" s="24" t="n">
        <v>100</v>
      </c>
      <c r="H53" s="25" t="n">
        <v>1</v>
      </c>
      <c r="I53" s="25" t="n">
        <v>3000</v>
      </c>
      <c r="J53" s="24" t="n">
        <v>0</v>
      </c>
      <c r="K53" s="24" t="n">
        <v>5</v>
      </c>
      <c r="L53" s="24" t="n">
        <v>40</v>
      </c>
      <c r="M53" s="24" t="n">
        <v>0</v>
      </c>
      <c r="N53" s="24" t="n">
        <v>0</v>
      </c>
      <c r="O53" s="25" t="n">
        <v>20</v>
      </c>
      <c r="P53" s="25" t="n">
        <v>300</v>
      </c>
      <c r="Q53" s="25" t="n">
        <v>150</v>
      </c>
      <c r="R53" s="25" t="n">
        <v>17.5</v>
      </c>
      <c r="S53" s="25" t="n">
        <v>6</v>
      </c>
      <c r="T53" s="25" t="n">
        <v>8</v>
      </c>
      <c r="U53" s="25" t="n">
        <v>3</v>
      </c>
      <c r="V53" s="25" t="n">
        <v>0</v>
      </c>
      <c r="W53" s="25" t="n">
        <v>65</v>
      </c>
      <c r="X53" s="25" t="n">
        <v>9</v>
      </c>
      <c r="Y53" s="25" t="n">
        <v>25</v>
      </c>
      <c r="Z53" s="25" t="n">
        <v>0</v>
      </c>
      <c r="AA53" s="25" t="n">
        <v>0</v>
      </c>
      <c r="AB53" s="25" t="n">
        <v>0</v>
      </c>
      <c r="AC53" s="24" t="n">
        <v>0</v>
      </c>
      <c r="AD53" s="24" t="n">
        <v>0.024</v>
      </c>
      <c r="AE53" s="24" t="n">
        <v>0.003</v>
      </c>
      <c r="AF53" s="24" t="n">
        <v>0.2</v>
      </c>
      <c r="AG53" s="24" t="n">
        <v>0</v>
      </c>
      <c r="AH53" s="24" t="n">
        <v>0.05</v>
      </c>
      <c r="AI53" s="24" t="n">
        <v>0.2</v>
      </c>
      <c r="AJ53" s="24" t="n">
        <v>0.1</v>
      </c>
      <c r="AK53" s="25" t="n">
        <v>0</v>
      </c>
      <c r="AL53" s="25" t="n">
        <v>0</v>
      </c>
      <c r="AM53" s="26" t="inlineStr">
        <is>
          <t>类别典型值/文件信息</t>
        </is>
      </c>
      <c r="AN53" s="25" t="n"/>
    </row>
    <row r="54" ht="15" customHeight="1" s="15">
      <c r="A54" s="22" t="inlineStr">
        <is>
          <t>AZ551</t>
        </is>
      </c>
      <c r="B54" s="23" t="inlineStr">
        <is>
          <t>助剂</t>
        </is>
      </c>
      <c r="C54" s="23" t="inlineStr">
        <is>
          <t>有机</t>
        </is>
      </c>
      <c r="D54" s="23" t="inlineStr">
        <is>
          <t>助剂</t>
        </is>
      </c>
      <c r="E54" s="23" t="inlineStr">
        <is>
          <t>其他</t>
        </is>
      </c>
      <c r="F54" s="23" t="inlineStr">
        <is>
          <t>专有(无SMILES)</t>
        </is>
      </c>
      <c r="G54" s="24" t="n">
        <v>100</v>
      </c>
      <c r="H54" s="22" t="n">
        <v>1</v>
      </c>
      <c r="I54" s="22" t="n">
        <v>3000</v>
      </c>
      <c r="J54" s="24" t="n">
        <v>0</v>
      </c>
      <c r="K54" s="24" t="n">
        <v>5</v>
      </c>
      <c r="L54" s="24" t="n">
        <v>40</v>
      </c>
      <c r="M54" s="24" t="n">
        <v>0</v>
      </c>
      <c r="N54" s="24" t="n">
        <v>0</v>
      </c>
      <c r="O54" s="22" t="n">
        <v>20</v>
      </c>
      <c r="P54" s="22" t="n">
        <v>300</v>
      </c>
      <c r="Q54" s="22" t="n">
        <v>150</v>
      </c>
      <c r="R54" s="22" t="n">
        <v>17.5</v>
      </c>
      <c r="S54" s="22" t="n">
        <v>6</v>
      </c>
      <c r="T54" s="22" t="n">
        <v>8</v>
      </c>
      <c r="U54" s="22" t="n">
        <v>3</v>
      </c>
      <c r="V54" s="22" t="n">
        <v>0</v>
      </c>
      <c r="W54" s="22" t="n">
        <v>65</v>
      </c>
      <c r="X54" s="22" t="n">
        <v>9</v>
      </c>
      <c r="Y54" s="22" t="n">
        <v>25</v>
      </c>
      <c r="Z54" s="22" t="n">
        <v>0</v>
      </c>
      <c r="AA54" s="22" t="n">
        <v>0</v>
      </c>
      <c r="AB54" s="22" t="n">
        <v>0</v>
      </c>
      <c r="AC54" s="24" t="n">
        <v>0</v>
      </c>
      <c r="AD54" s="24" t="n">
        <v>0.024</v>
      </c>
      <c r="AE54" s="24" t="n">
        <v>0.003</v>
      </c>
      <c r="AF54" s="24" t="n">
        <v>0.2</v>
      </c>
      <c r="AG54" s="24" t="n">
        <v>0</v>
      </c>
      <c r="AH54" s="24" t="n">
        <v>0.05</v>
      </c>
      <c r="AI54" s="24" t="n">
        <v>0.2</v>
      </c>
      <c r="AJ54" s="24" t="n">
        <v>0.1</v>
      </c>
      <c r="AK54" s="22" t="n">
        <v>0</v>
      </c>
      <c r="AL54" s="22" t="n">
        <v>0</v>
      </c>
      <c r="AM54" s="23" t="inlineStr">
        <is>
          <t>类别典型值/文件信息</t>
        </is>
      </c>
      <c r="AN54" s="22" t="n"/>
    </row>
    <row r="55" ht="15" customHeight="1" s="15">
      <c r="A55" s="25" t="inlineStr">
        <is>
          <t>BYK306</t>
        </is>
      </c>
      <c r="B55" s="26" t="inlineStr">
        <is>
          <t>流平剂</t>
        </is>
      </c>
      <c r="C55" s="26" t="inlineStr">
        <is>
          <t>有机</t>
        </is>
      </c>
      <c r="D55" s="26" t="inlineStr">
        <is>
          <t>助剂</t>
        </is>
      </c>
      <c r="E55" s="26" t="inlineStr">
        <is>
          <t>其他</t>
        </is>
      </c>
      <c r="F55" s="26" t="inlineStr">
        <is>
          <t>专有(无SMILES)</t>
        </is>
      </c>
      <c r="G55" s="24" t="n">
        <v>100</v>
      </c>
      <c r="H55" s="25" t="n">
        <v>1</v>
      </c>
      <c r="I55" s="25" t="n">
        <v>3000</v>
      </c>
      <c r="J55" s="24" t="n">
        <v>0</v>
      </c>
      <c r="K55" s="24" t="n">
        <v>5</v>
      </c>
      <c r="L55" s="24" t="n">
        <v>40</v>
      </c>
      <c r="M55" s="24" t="n">
        <v>0</v>
      </c>
      <c r="N55" s="24" t="n">
        <v>0</v>
      </c>
      <c r="O55" s="25" t="n">
        <v>20</v>
      </c>
      <c r="P55" s="25" t="n">
        <v>300</v>
      </c>
      <c r="Q55" s="25" t="n">
        <v>150</v>
      </c>
      <c r="R55" s="25" t="n">
        <v>17.5</v>
      </c>
      <c r="S55" s="25" t="n">
        <v>6</v>
      </c>
      <c r="T55" s="25" t="n">
        <v>8</v>
      </c>
      <c r="U55" s="25" t="n">
        <v>3</v>
      </c>
      <c r="V55" s="25" t="n">
        <v>0</v>
      </c>
      <c r="W55" s="25" t="n">
        <v>65</v>
      </c>
      <c r="X55" s="25" t="n">
        <v>9</v>
      </c>
      <c r="Y55" s="25" t="n">
        <v>25</v>
      </c>
      <c r="Z55" s="25" t="n">
        <v>0</v>
      </c>
      <c r="AA55" s="25" t="n">
        <v>0</v>
      </c>
      <c r="AB55" s="25" t="n">
        <v>0</v>
      </c>
      <c r="AC55" s="24" t="n">
        <v>0</v>
      </c>
      <c r="AD55" s="24" t="n">
        <v>0.024</v>
      </c>
      <c r="AE55" s="24" t="n">
        <v>0.003</v>
      </c>
      <c r="AF55" s="24" t="n">
        <v>0.2</v>
      </c>
      <c r="AG55" s="24" t="n">
        <v>0</v>
      </c>
      <c r="AH55" s="24" t="n">
        <v>0.05</v>
      </c>
      <c r="AI55" s="24" t="n">
        <v>0.2</v>
      </c>
      <c r="AJ55" s="24" t="n">
        <v>0.1</v>
      </c>
      <c r="AK55" s="25" t="n">
        <v>0</v>
      </c>
      <c r="AL55" s="25" t="n">
        <v>0</v>
      </c>
      <c r="AM55" s="26" t="inlineStr">
        <is>
          <t>类别典型值/文件信息</t>
        </is>
      </c>
      <c r="AN55" s="25" t="n"/>
    </row>
    <row r="56" ht="15" customHeight="1" s="15">
      <c r="A56" s="22" t="inlineStr">
        <is>
          <t>FL208</t>
        </is>
      </c>
      <c r="B56" s="23" t="inlineStr">
        <is>
          <t>助剂</t>
        </is>
      </c>
      <c r="C56" s="23" t="inlineStr">
        <is>
          <t>有机</t>
        </is>
      </c>
      <c r="D56" s="23" t="inlineStr">
        <is>
          <t>助剂</t>
        </is>
      </c>
      <c r="E56" s="23" t="inlineStr">
        <is>
          <t>其他</t>
        </is>
      </c>
      <c r="F56" s="23" t="inlineStr">
        <is>
          <t>专有(无SMILES)</t>
        </is>
      </c>
      <c r="G56" s="24" t="n">
        <v>100</v>
      </c>
      <c r="H56" s="22" t="n">
        <v>1</v>
      </c>
      <c r="I56" s="22" t="n">
        <v>3000</v>
      </c>
      <c r="J56" s="24" t="n">
        <v>0</v>
      </c>
      <c r="K56" s="24" t="n">
        <v>5</v>
      </c>
      <c r="L56" s="24" t="n">
        <v>40</v>
      </c>
      <c r="M56" s="24" t="n">
        <v>0</v>
      </c>
      <c r="N56" s="24" t="n">
        <v>0</v>
      </c>
      <c r="O56" s="22" t="n">
        <v>20</v>
      </c>
      <c r="P56" s="22" t="n">
        <v>300</v>
      </c>
      <c r="Q56" s="22" t="n">
        <v>150</v>
      </c>
      <c r="R56" s="22" t="n">
        <v>17.5</v>
      </c>
      <c r="S56" s="22" t="n">
        <v>6</v>
      </c>
      <c r="T56" s="22" t="n">
        <v>8</v>
      </c>
      <c r="U56" s="22" t="n">
        <v>3</v>
      </c>
      <c r="V56" s="22" t="n">
        <v>0</v>
      </c>
      <c r="W56" s="22" t="n">
        <v>65</v>
      </c>
      <c r="X56" s="22" t="n">
        <v>9</v>
      </c>
      <c r="Y56" s="22" t="n">
        <v>25</v>
      </c>
      <c r="Z56" s="22" t="n">
        <v>0</v>
      </c>
      <c r="AA56" s="22" t="n">
        <v>0</v>
      </c>
      <c r="AB56" s="22" t="n">
        <v>0</v>
      </c>
      <c r="AC56" s="24" t="n">
        <v>0</v>
      </c>
      <c r="AD56" s="24" t="n">
        <v>0.024</v>
      </c>
      <c r="AE56" s="24" t="n">
        <v>0.003</v>
      </c>
      <c r="AF56" s="24" t="n">
        <v>0.2</v>
      </c>
      <c r="AG56" s="24" t="n">
        <v>0</v>
      </c>
      <c r="AH56" s="24" t="n">
        <v>0.05</v>
      </c>
      <c r="AI56" s="24" t="n">
        <v>0.2</v>
      </c>
      <c r="AJ56" s="24" t="n">
        <v>0.1</v>
      </c>
      <c r="AK56" s="22" t="n">
        <v>0</v>
      </c>
      <c r="AL56" s="22" t="n">
        <v>0</v>
      </c>
      <c r="AM56" s="23" t="inlineStr">
        <is>
          <t>类别典型值/文件信息</t>
        </is>
      </c>
      <c r="AN56" s="22" t="n"/>
    </row>
    <row r="57" ht="15" customHeight="1" s="15">
      <c r="A57" s="25" t="inlineStr">
        <is>
          <t>FL208S</t>
        </is>
      </c>
      <c r="B57" s="26" t="inlineStr">
        <is>
          <t>助剂</t>
        </is>
      </c>
      <c r="C57" s="26" t="inlineStr">
        <is>
          <t>有机</t>
        </is>
      </c>
      <c r="D57" s="26" t="inlineStr">
        <is>
          <t>助剂</t>
        </is>
      </c>
      <c r="E57" s="26" t="inlineStr">
        <is>
          <t>其他</t>
        </is>
      </c>
      <c r="F57" s="26" t="inlineStr">
        <is>
          <t>专有(无SMILES)</t>
        </is>
      </c>
      <c r="G57" s="24" t="n">
        <v>100</v>
      </c>
      <c r="H57" s="25" t="n">
        <v>1</v>
      </c>
      <c r="I57" s="25" t="n">
        <v>3000</v>
      </c>
      <c r="J57" s="24" t="n">
        <v>0</v>
      </c>
      <c r="K57" s="24" t="n">
        <v>5</v>
      </c>
      <c r="L57" s="24" t="n">
        <v>40</v>
      </c>
      <c r="M57" s="24" t="n">
        <v>0</v>
      </c>
      <c r="N57" s="24" t="n">
        <v>0</v>
      </c>
      <c r="O57" s="25" t="n">
        <v>20</v>
      </c>
      <c r="P57" s="25" t="n">
        <v>300</v>
      </c>
      <c r="Q57" s="25" t="n">
        <v>150</v>
      </c>
      <c r="R57" s="25" t="n">
        <v>17.5</v>
      </c>
      <c r="S57" s="25" t="n">
        <v>6</v>
      </c>
      <c r="T57" s="25" t="n">
        <v>8</v>
      </c>
      <c r="U57" s="25" t="n">
        <v>3</v>
      </c>
      <c r="V57" s="25" t="n">
        <v>0</v>
      </c>
      <c r="W57" s="25" t="n">
        <v>65</v>
      </c>
      <c r="X57" s="25" t="n">
        <v>9</v>
      </c>
      <c r="Y57" s="25" t="n">
        <v>25</v>
      </c>
      <c r="Z57" s="25" t="n">
        <v>0</v>
      </c>
      <c r="AA57" s="25" t="n">
        <v>0</v>
      </c>
      <c r="AB57" s="25" t="n">
        <v>0</v>
      </c>
      <c r="AC57" s="24" t="n">
        <v>0</v>
      </c>
      <c r="AD57" s="24" t="n">
        <v>0.024</v>
      </c>
      <c r="AE57" s="24" t="n">
        <v>0.003</v>
      </c>
      <c r="AF57" s="24" t="n">
        <v>0.2</v>
      </c>
      <c r="AG57" s="24" t="n">
        <v>0</v>
      </c>
      <c r="AH57" s="24" t="n">
        <v>0.05</v>
      </c>
      <c r="AI57" s="24" t="n">
        <v>0.2</v>
      </c>
      <c r="AJ57" s="24" t="n">
        <v>0.1</v>
      </c>
      <c r="AK57" s="25" t="n">
        <v>0</v>
      </c>
      <c r="AL57" s="25" t="n">
        <v>0</v>
      </c>
      <c r="AM57" s="26" t="inlineStr">
        <is>
          <t>类别典型值/文件信息</t>
        </is>
      </c>
      <c r="AN57" s="25" t="n"/>
    </row>
    <row r="58" ht="15" customHeight="1" s="15">
      <c r="A58" s="22" t="inlineStr">
        <is>
          <t>FL815C</t>
        </is>
      </c>
      <c r="B58" s="23" t="inlineStr">
        <is>
          <t>助剂</t>
        </is>
      </c>
      <c r="C58" s="23" t="inlineStr">
        <is>
          <t>有机</t>
        </is>
      </c>
      <c r="D58" s="23" t="inlineStr">
        <is>
          <t>助剂</t>
        </is>
      </c>
      <c r="E58" s="23" t="inlineStr">
        <is>
          <t>其他</t>
        </is>
      </c>
      <c r="F58" s="23" t="inlineStr">
        <is>
          <t>专有(无SMILES)</t>
        </is>
      </c>
      <c r="G58" s="24" t="n">
        <v>100</v>
      </c>
      <c r="H58" s="22" t="n">
        <v>1</v>
      </c>
      <c r="I58" s="22" t="n">
        <v>3000</v>
      </c>
      <c r="J58" s="24" t="n">
        <v>0</v>
      </c>
      <c r="K58" s="24" t="n">
        <v>5</v>
      </c>
      <c r="L58" s="24" t="n">
        <v>40</v>
      </c>
      <c r="M58" s="24" t="n">
        <v>0</v>
      </c>
      <c r="N58" s="24" t="n">
        <v>0</v>
      </c>
      <c r="O58" s="22" t="n">
        <v>20</v>
      </c>
      <c r="P58" s="22" t="n">
        <v>300</v>
      </c>
      <c r="Q58" s="22" t="n">
        <v>150</v>
      </c>
      <c r="R58" s="22" t="n">
        <v>17.5</v>
      </c>
      <c r="S58" s="22" t="n">
        <v>6</v>
      </c>
      <c r="T58" s="22" t="n">
        <v>8</v>
      </c>
      <c r="U58" s="22" t="n">
        <v>3</v>
      </c>
      <c r="V58" s="22" t="n">
        <v>0</v>
      </c>
      <c r="W58" s="22" t="n">
        <v>65</v>
      </c>
      <c r="X58" s="22" t="n">
        <v>9</v>
      </c>
      <c r="Y58" s="22" t="n">
        <v>25</v>
      </c>
      <c r="Z58" s="22" t="n">
        <v>0</v>
      </c>
      <c r="AA58" s="22" t="n">
        <v>0</v>
      </c>
      <c r="AB58" s="22" t="n">
        <v>0</v>
      </c>
      <c r="AC58" s="24" t="n">
        <v>0</v>
      </c>
      <c r="AD58" s="24" t="n">
        <v>0.024</v>
      </c>
      <c r="AE58" s="24" t="n">
        <v>0.003</v>
      </c>
      <c r="AF58" s="24" t="n">
        <v>0.2</v>
      </c>
      <c r="AG58" s="24" t="n">
        <v>0</v>
      </c>
      <c r="AH58" s="24" t="n">
        <v>0.05</v>
      </c>
      <c r="AI58" s="24" t="n">
        <v>0.2</v>
      </c>
      <c r="AJ58" s="24" t="n">
        <v>0.1</v>
      </c>
      <c r="AK58" s="22" t="n">
        <v>0</v>
      </c>
      <c r="AL58" s="22" t="n">
        <v>0</v>
      </c>
      <c r="AM58" s="23" t="inlineStr">
        <is>
          <t>类别典型值/文件信息</t>
        </is>
      </c>
      <c r="AN58" s="22" t="n"/>
    </row>
    <row r="59" ht="15" customHeight="1" s="15">
      <c r="A59" s="25" t="inlineStr">
        <is>
          <t>RA009</t>
        </is>
      </c>
      <c r="B59" s="26" t="inlineStr">
        <is>
          <t>助剂</t>
        </is>
      </c>
      <c r="C59" s="26" t="inlineStr">
        <is>
          <t>有机</t>
        </is>
      </c>
      <c r="D59" s="26" t="inlineStr">
        <is>
          <t>助剂</t>
        </is>
      </c>
      <c r="E59" s="26" t="inlineStr">
        <is>
          <t>其他</t>
        </is>
      </c>
      <c r="F59" s="26" t="inlineStr">
        <is>
          <t>专有(无SMILES)</t>
        </is>
      </c>
      <c r="G59" s="24" t="n">
        <v>100</v>
      </c>
      <c r="H59" s="25" t="n">
        <v>1</v>
      </c>
      <c r="I59" s="25" t="n">
        <v>3000</v>
      </c>
      <c r="J59" s="24" t="n">
        <v>0</v>
      </c>
      <c r="K59" s="24" t="n">
        <v>5</v>
      </c>
      <c r="L59" s="24" t="n">
        <v>40</v>
      </c>
      <c r="M59" s="24" t="n">
        <v>0</v>
      </c>
      <c r="N59" s="24" t="n">
        <v>0</v>
      </c>
      <c r="O59" s="25" t="n">
        <v>20</v>
      </c>
      <c r="P59" s="25" t="n">
        <v>300</v>
      </c>
      <c r="Q59" s="25" t="n">
        <v>150</v>
      </c>
      <c r="R59" s="25" t="n">
        <v>17.5</v>
      </c>
      <c r="S59" s="25" t="n">
        <v>6</v>
      </c>
      <c r="T59" s="25" t="n">
        <v>8</v>
      </c>
      <c r="U59" s="25" t="n">
        <v>3</v>
      </c>
      <c r="V59" s="25" t="n">
        <v>0</v>
      </c>
      <c r="W59" s="25" t="n">
        <v>65</v>
      </c>
      <c r="X59" s="25" t="n">
        <v>9</v>
      </c>
      <c r="Y59" s="25" t="n">
        <v>25</v>
      </c>
      <c r="Z59" s="25" t="n">
        <v>0</v>
      </c>
      <c r="AA59" s="25" t="n">
        <v>0</v>
      </c>
      <c r="AB59" s="25" t="n">
        <v>0</v>
      </c>
      <c r="AC59" s="24" t="n">
        <v>0</v>
      </c>
      <c r="AD59" s="24" t="n">
        <v>0.024</v>
      </c>
      <c r="AE59" s="24" t="n">
        <v>0.003</v>
      </c>
      <c r="AF59" s="24" t="n">
        <v>0.2</v>
      </c>
      <c r="AG59" s="24" t="n">
        <v>0</v>
      </c>
      <c r="AH59" s="24" t="n">
        <v>0.05</v>
      </c>
      <c r="AI59" s="24" t="n">
        <v>0.2</v>
      </c>
      <c r="AJ59" s="24" t="n">
        <v>0.1</v>
      </c>
      <c r="AK59" s="25" t="n">
        <v>0</v>
      </c>
      <c r="AL59" s="25" t="n">
        <v>0</v>
      </c>
      <c r="AM59" s="26" t="inlineStr">
        <is>
          <t>类别典型值/文件信息</t>
        </is>
      </c>
      <c r="AN59" s="25" t="n"/>
    </row>
    <row r="60" ht="15" customHeight="1" s="15">
      <c r="A60" s="22" t="inlineStr">
        <is>
          <t>RA083</t>
        </is>
      </c>
      <c r="B60" s="23" t="inlineStr">
        <is>
          <t>助剂</t>
        </is>
      </c>
      <c r="C60" s="23" t="inlineStr">
        <is>
          <t>有机</t>
        </is>
      </c>
      <c r="D60" s="23" t="inlineStr">
        <is>
          <t>助剂</t>
        </is>
      </c>
      <c r="E60" s="23" t="inlineStr">
        <is>
          <t>其他</t>
        </is>
      </c>
      <c r="F60" s="23" t="inlineStr">
        <is>
          <t>专有(无SMILES)</t>
        </is>
      </c>
      <c r="G60" s="24" t="n">
        <v>100</v>
      </c>
      <c r="H60" s="22" t="n">
        <v>1</v>
      </c>
      <c r="I60" s="22" t="n">
        <v>3000</v>
      </c>
      <c r="J60" s="24" t="n">
        <v>0</v>
      </c>
      <c r="K60" s="24" t="n">
        <v>5</v>
      </c>
      <c r="L60" s="24" t="n">
        <v>40</v>
      </c>
      <c r="M60" s="24" t="n">
        <v>0</v>
      </c>
      <c r="N60" s="24" t="n">
        <v>0</v>
      </c>
      <c r="O60" s="22" t="n">
        <v>20</v>
      </c>
      <c r="P60" s="22" t="n">
        <v>300</v>
      </c>
      <c r="Q60" s="22" t="n">
        <v>150</v>
      </c>
      <c r="R60" s="22" t="n">
        <v>17.5</v>
      </c>
      <c r="S60" s="22" t="n">
        <v>6</v>
      </c>
      <c r="T60" s="22" t="n">
        <v>8</v>
      </c>
      <c r="U60" s="22" t="n">
        <v>3</v>
      </c>
      <c r="V60" s="22" t="n">
        <v>0</v>
      </c>
      <c r="W60" s="22" t="n">
        <v>65</v>
      </c>
      <c r="X60" s="22" t="n">
        <v>9</v>
      </c>
      <c r="Y60" s="22" t="n">
        <v>25</v>
      </c>
      <c r="Z60" s="22" t="n">
        <v>0</v>
      </c>
      <c r="AA60" s="22" t="n">
        <v>0</v>
      </c>
      <c r="AB60" s="22" t="n">
        <v>0</v>
      </c>
      <c r="AC60" s="24" t="n">
        <v>0</v>
      </c>
      <c r="AD60" s="24" t="n">
        <v>0.024</v>
      </c>
      <c r="AE60" s="24" t="n">
        <v>0.003</v>
      </c>
      <c r="AF60" s="24" t="n">
        <v>0.2</v>
      </c>
      <c r="AG60" s="24" t="n">
        <v>0</v>
      </c>
      <c r="AH60" s="24" t="n">
        <v>0.05</v>
      </c>
      <c r="AI60" s="24" t="n">
        <v>0.2</v>
      </c>
      <c r="AJ60" s="24" t="n">
        <v>0.1</v>
      </c>
      <c r="AK60" s="22" t="n">
        <v>0</v>
      </c>
      <c r="AL60" s="22" t="n">
        <v>0</v>
      </c>
      <c r="AM60" s="23" t="inlineStr">
        <is>
          <t>类别典型值/文件信息</t>
        </is>
      </c>
      <c r="AN60" s="22" t="n"/>
    </row>
    <row r="61" ht="15" customHeight="1" s="15">
      <c r="A61" s="25" t="inlineStr">
        <is>
          <t>RA824</t>
        </is>
      </c>
      <c r="B61" s="26" t="inlineStr">
        <is>
          <t>助剂</t>
        </is>
      </c>
      <c r="C61" s="26" t="inlineStr">
        <is>
          <t>有机</t>
        </is>
      </c>
      <c r="D61" s="26" t="inlineStr">
        <is>
          <t>助剂</t>
        </is>
      </c>
      <c r="E61" s="26" t="inlineStr">
        <is>
          <t>其他</t>
        </is>
      </c>
      <c r="F61" s="26" t="inlineStr">
        <is>
          <t>专有(无SMILES)</t>
        </is>
      </c>
      <c r="G61" s="24" t="n">
        <v>100</v>
      </c>
      <c r="H61" s="25" t="n">
        <v>1</v>
      </c>
      <c r="I61" s="25" t="n">
        <v>3000</v>
      </c>
      <c r="J61" s="24" t="n">
        <v>0</v>
      </c>
      <c r="K61" s="24" t="n">
        <v>5</v>
      </c>
      <c r="L61" s="24" t="n">
        <v>40</v>
      </c>
      <c r="M61" s="24" t="n">
        <v>0</v>
      </c>
      <c r="N61" s="24" t="n">
        <v>0</v>
      </c>
      <c r="O61" s="25" t="n">
        <v>20</v>
      </c>
      <c r="P61" s="25" t="n">
        <v>300</v>
      </c>
      <c r="Q61" s="25" t="n">
        <v>150</v>
      </c>
      <c r="R61" s="25" t="n">
        <v>17.5</v>
      </c>
      <c r="S61" s="25" t="n">
        <v>6</v>
      </c>
      <c r="T61" s="25" t="n">
        <v>8</v>
      </c>
      <c r="U61" s="25" t="n">
        <v>3</v>
      </c>
      <c r="V61" s="25" t="n">
        <v>0</v>
      </c>
      <c r="W61" s="25" t="n">
        <v>65</v>
      </c>
      <c r="X61" s="25" t="n">
        <v>9</v>
      </c>
      <c r="Y61" s="25" t="n">
        <v>25</v>
      </c>
      <c r="Z61" s="25" t="n">
        <v>0</v>
      </c>
      <c r="AA61" s="25" t="n">
        <v>0</v>
      </c>
      <c r="AB61" s="25" t="n">
        <v>0</v>
      </c>
      <c r="AC61" s="24" t="n">
        <v>0</v>
      </c>
      <c r="AD61" s="24" t="n">
        <v>0.024</v>
      </c>
      <c r="AE61" s="24" t="n">
        <v>0.003</v>
      </c>
      <c r="AF61" s="24" t="n">
        <v>0.2</v>
      </c>
      <c r="AG61" s="24" t="n">
        <v>0</v>
      </c>
      <c r="AH61" s="24" t="n">
        <v>0.05</v>
      </c>
      <c r="AI61" s="24" t="n">
        <v>0.2</v>
      </c>
      <c r="AJ61" s="24" t="n">
        <v>0.1</v>
      </c>
      <c r="AK61" s="25" t="n">
        <v>0</v>
      </c>
      <c r="AL61" s="25" t="n">
        <v>0</v>
      </c>
      <c r="AM61" s="26" t="inlineStr">
        <is>
          <t>类别典型值/文件信息</t>
        </is>
      </c>
      <c r="AN61" s="25" t="n"/>
    </row>
    <row r="62" ht="15" customHeight="1" s="15">
      <c r="A62" s="22" t="inlineStr">
        <is>
          <t>1510蜡</t>
        </is>
      </c>
      <c r="B62" s="22" t="inlineStr">
        <is>
          <t>1510蜡25%工作液</t>
        </is>
      </c>
      <c r="C62" s="23" t="inlineStr">
        <is>
          <t>环氧酚醛</t>
        </is>
      </c>
      <c r="D62" s="23" t="inlineStr">
        <is>
          <t>助剂</t>
        </is>
      </c>
      <c r="E62" s="23" t="inlineStr">
        <is>
          <t>其他</t>
        </is>
      </c>
      <c r="F62" s="23" t="inlineStr">
        <is>
          <t>专有(无SMILES)</t>
        </is>
      </c>
      <c r="G62" s="24" t="n">
        <v>25</v>
      </c>
      <c r="H62" s="22" t="n">
        <v>0.9</v>
      </c>
      <c r="I62" s="22" t="n">
        <v>400</v>
      </c>
      <c r="J62" s="24" t="n">
        <v>0</v>
      </c>
      <c r="K62" s="24" t="n">
        <v>0</v>
      </c>
      <c r="L62" s="24" t="n">
        <v>0</v>
      </c>
      <c r="M62" s="24" t="n">
        <v>0</v>
      </c>
      <c r="N62" s="24" t="n">
        <v>0</v>
      </c>
      <c r="O62" s="22" t="n">
        <v>-10</v>
      </c>
      <c r="P62" s="22" t="n">
        <v>350</v>
      </c>
      <c r="Q62" s="22" t="n">
        <v>200</v>
      </c>
      <c r="R62" s="22" t="n">
        <v>16</v>
      </c>
      <c r="S62" s="22" t="n">
        <v>0.5</v>
      </c>
      <c r="T62" s="22" t="n">
        <v>0.5</v>
      </c>
      <c r="U62" s="22" t="n">
        <v>0.5</v>
      </c>
      <c r="V62" s="22" t="n">
        <v>0</v>
      </c>
      <c r="W62" s="22" t="n">
        <v>85</v>
      </c>
      <c r="X62" s="22" t="n">
        <v>15</v>
      </c>
      <c r="Y62" s="22" t="n">
        <v>0</v>
      </c>
      <c r="Z62" s="22" t="n">
        <v>0</v>
      </c>
      <c r="AA62" s="22" t="n">
        <v>0</v>
      </c>
      <c r="AB62" s="22" t="n">
        <v>0</v>
      </c>
      <c r="AC62" s="24" t="n">
        <v>0</v>
      </c>
      <c r="AD62" s="24" t="n">
        <v>0</v>
      </c>
      <c r="AE62" s="24" t="n">
        <v>0</v>
      </c>
      <c r="AF62" s="24" t="n">
        <v>0</v>
      </c>
      <c r="AG62" s="24" t="n">
        <v>0</v>
      </c>
      <c r="AH62" s="24" t="n">
        <v>0</v>
      </c>
      <c r="AI62" s="24" t="n">
        <v>0</v>
      </c>
      <c r="AJ62" s="24" t="n">
        <v>0</v>
      </c>
      <c r="AK62" s="22" t="n">
        <v>25</v>
      </c>
      <c r="AL62" s="22" t="n">
        <v>0</v>
      </c>
      <c r="AM62" s="23" t="inlineStr">
        <is>
          <t>类别典型值/文件信息</t>
        </is>
      </c>
      <c r="AN62" s="22" t="n"/>
    </row>
    <row r="63" ht="15" customHeight="1" s="15">
      <c r="A63" s="25" t="inlineStr">
        <is>
          <t>10%磷酸</t>
        </is>
      </c>
      <c r="B63" s="26" t="inlineStr">
        <is>
          <t>磷酸10%水溶液</t>
        </is>
      </c>
      <c r="C63" s="26" t="inlineStr">
        <is>
          <t>环氧酚醛</t>
        </is>
      </c>
      <c r="D63" s="26" t="inlineStr">
        <is>
          <t>助剂</t>
        </is>
      </c>
      <c r="E63" s="26" t="inlineStr">
        <is>
          <t>其他</t>
        </is>
      </c>
      <c r="F63" s="25" t="inlineStr">
        <is>
          <t>OP(=O)(O)O</t>
        </is>
      </c>
      <c r="G63" s="24" t="n">
        <v>10</v>
      </c>
      <c r="H63" s="25" t="n">
        <v>1.05</v>
      </c>
      <c r="I63" s="25" t="n">
        <v>98</v>
      </c>
      <c r="J63" s="24" t="n">
        <v>0</v>
      </c>
      <c r="K63" s="24" t="n">
        <v>570</v>
      </c>
      <c r="L63" s="24" t="n">
        <v>0</v>
      </c>
      <c r="M63" s="24" t="n">
        <v>0</v>
      </c>
      <c r="N63" s="24" t="n">
        <v>3</v>
      </c>
      <c r="O63" s="25" t="n">
        <v>-50</v>
      </c>
      <c r="P63" s="25" t="n">
        <v>100</v>
      </c>
      <c r="Q63" s="25" t="n">
        <v>0</v>
      </c>
      <c r="R63" s="25" t="n">
        <v>20</v>
      </c>
      <c r="S63" s="25" t="n">
        <v>15</v>
      </c>
      <c r="T63" s="25" t="n">
        <v>20</v>
      </c>
      <c r="U63" s="25" t="n">
        <v>5</v>
      </c>
      <c r="V63" s="25" t="n">
        <v>0.3</v>
      </c>
      <c r="W63" s="25" t="n">
        <v>0</v>
      </c>
      <c r="X63" s="25" t="n">
        <v>3</v>
      </c>
      <c r="Y63" s="25" t="n">
        <v>65</v>
      </c>
      <c r="Z63" s="25" t="n">
        <v>0</v>
      </c>
      <c r="AA63" s="25" t="n">
        <v>0</v>
      </c>
      <c r="AB63" s="25" t="n">
        <v>0</v>
      </c>
      <c r="AC63" s="24" t="n">
        <v>0</v>
      </c>
      <c r="AD63" s="24" t="n">
        <v>0</v>
      </c>
      <c r="AE63" s="24" t="n">
        <v>0.57</v>
      </c>
      <c r="AF63" s="24" t="n">
        <v>0</v>
      </c>
      <c r="AG63" s="24" t="n">
        <v>0</v>
      </c>
      <c r="AH63" s="24" t="n">
        <v>0</v>
      </c>
      <c r="AI63" s="24" t="n">
        <v>0</v>
      </c>
      <c r="AJ63" s="24" t="n">
        <v>0</v>
      </c>
      <c r="AK63" s="25" t="n">
        <v>0</v>
      </c>
      <c r="AL63" s="25" t="n">
        <v>0</v>
      </c>
      <c r="AM63" s="26" t="inlineStr">
        <is>
          <t>类别典型值/文件信息</t>
        </is>
      </c>
      <c r="AN63" s="25" t="n"/>
    </row>
    <row r="64" ht="15" customHeight="1" s="15">
      <c r="A64" s="22" t="inlineStr">
        <is>
          <t>3%气硅</t>
        </is>
      </c>
      <c r="B64" s="23" t="inlineStr">
        <is>
          <t>气相二氧化硅3%</t>
        </is>
      </c>
      <c r="C64" s="23" t="inlineStr">
        <is>
          <t>有机</t>
        </is>
      </c>
      <c r="D64" s="23" t="inlineStr">
        <is>
          <t>助剂</t>
        </is>
      </c>
      <c r="E64" s="23" t="inlineStr">
        <is>
          <t>其他</t>
        </is>
      </c>
      <c r="F64" s="23" t="inlineStr">
        <is>
          <t>专有(无SMILES)</t>
        </is>
      </c>
      <c r="G64" s="24" t="n">
        <v>3</v>
      </c>
      <c r="H64" s="22" t="n">
        <v>1</v>
      </c>
      <c r="I64" s="22" t="n">
        <v>60</v>
      </c>
      <c r="J64" s="24" t="n">
        <v>0</v>
      </c>
      <c r="K64" s="24" t="n">
        <v>0</v>
      </c>
      <c r="L64" s="24" t="n">
        <v>0</v>
      </c>
      <c r="M64" s="24" t="n">
        <v>0</v>
      </c>
      <c r="N64" s="24" t="n">
        <v>0</v>
      </c>
      <c r="O64" s="22" t="n">
        <v>-50</v>
      </c>
      <c r="P64" s="22" t="n">
        <v>100</v>
      </c>
      <c r="Q64" s="22" t="n">
        <v>0</v>
      </c>
      <c r="R64" s="22" t="n">
        <v>18</v>
      </c>
      <c r="S64" s="22" t="n">
        <v>8</v>
      </c>
      <c r="T64" s="22" t="n">
        <v>10</v>
      </c>
      <c r="U64" s="22" t="n">
        <v>3</v>
      </c>
      <c r="V64" s="22" t="n">
        <v>0.5</v>
      </c>
      <c r="W64" s="22" t="n">
        <v>0</v>
      </c>
      <c r="X64" s="22" t="n">
        <v>0</v>
      </c>
      <c r="Y64" s="22" t="n">
        <v>50</v>
      </c>
      <c r="Z64" s="22" t="n">
        <v>0</v>
      </c>
      <c r="AA64" s="22" t="n">
        <v>0</v>
      </c>
      <c r="AB64" s="22" t="n">
        <v>0</v>
      </c>
      <c r="AC64" s="24" t="n">
        <v>0</v>
      </c>
      <c r="AD64" s="24" t="n">
        <v>0</v>
      </c>
      <c r="AE64" s="24" t="n">
        <v>0</v>
      </c>
      <c r="AF64" s="24" t="n">
        <v>0</v>
      </c>
      <c r="AG64" s="24" t="n">
        <v>0</v>
      </c>
      <c r="AH64" s="24" t="n">
        <v>0</v>
      </c>
      <c r="AI64" s="24" t="n">
        <v>0</v>
      </c>
      <c r="AJ64" s="24" t="n">
        <v>0</v>
      </c>
      <c r="AK64" s="22" t="n">
        <v>0</v>
      </c>
      <c r="AL64" s="22" t="n">
        <v>0</v>
      </c>
      <c r="AM64" s="23" t="inlineStr">
        <is>
          <t>类别典型值/文件信息</t>
        </is>
      </c>
      <c r="AN64" s="22" t="n"/>
    </row>
    <row r="65" ht="15" customHeight="1" s="15">
      <c r="A65" s="25" t="inlineStr">
        <is>
          <t>20%CAB</t>
        </is>
      </c>
      <c r="B65" s="25" t="inlineStr">
        <is>
          <t>CAB溶液20%</t>
        </is>
      </c>
      <c r="C65" s="26" t="inlineStr">
        <is>
          <t>有机</t>
        </is>
      </c>
      <c r="D65" s="26" t="inlineStr">
        <is>
          <t>助剂</t>
        </is>
      </c>
      <c r="E65" s="26" t="inlineStr">
        <is>
          <t>其他</t>
        </is>
      </c>
      <c r="F65" s="26" t="inlineStr">
        <is>
          <t>专有(无SMILES)</t>
        </is>
      </c>
      <c r="G65" s="24" t="n">
        <v>20</v>
      </c>
      <c r="H65" s="25" t="n">
        <v>0.95</v>
      </c>
      <c r="I65" s="25" t="n">
        <v>30000</v>
      </c>
      <c r="J65" s="24" t="n">
        <v>0</v>
      </c>
      <c r="K65" s="24" t="n">
        <v>2</v>
      </c>
      <c r="L65" s="24" t="n">
        <v>10</v>
      </c>
      <c r="M65" s="24" t="n">
        <v>0</v>
      </c>
      <c r="N65" s="24" t="n">
        <v>0</v>
      </c>
      <c r="O65" s="25" t="n">
        <v>100</v>
      </c>
      <c r="P65" s="25" t="n">
        <v>250</v>
      </c>
      <c r="Q65" s="25" t="n">
        <v>100</v>
      </c>
      <c r="R65" s="25" t="n">
        <v>18</v>
      </c>
      <c r="S65" s="25" t="n">
        <v>6</v>
      </c>
      <c r="T65" s="25" t="n">
        <v>8</v>
      </c>
      <c r="U65" s="25" t="n">
        <v>3</v>
      </c>
      <c r="V65" s="25" t="n">
        <v>0</v>
      </c>
      <c r="W65" s="25" t="n">
        <v>55</v>
      </c>
      <c r="X65" s="25" t="n">
        <v>7</v>
      </c>
      <c r="Y65" s="25" t="n">
        <v>38</v>
      </c>
      <c r="Z65" s="25" t="n">
        <v>0</v>
      </c>
      <c r="AA65" s="25" t="n">
        <v>0</v>
      </c>
      <c r="AB65" s="25" t="n">
        <v>0</v>
      </c>
      <c r="AC65" s="24" t="n">
        <v>0</v>
      </c>
      <c r="AD65" s="24" t="n">
        <v>0.006</v>
      </c>
      <c r="AE65" s="24" t="n">
        <v>0.001</v>
      </c>
      <c r="AF65" s="24" t="n">
        <v>0.3</v>
      </c>
      <c r="AG65" s="24" t="n">
        <v>0</v>
      </c>
      <c r="AH65" s="24" t="n">
        <v>0</v>
      </c>
      <c r="AI65" s="24" t="n">
        <v>0</v>
      </c>
      <c r="AJ65" s="24" t="n">
        <v>0.3</v>
      </c>
      <c r="AK65" s="25" t="n">
        <v>0</v>
      </c>
      <c r="AL65" s="25" t="n">
        <v>0</v>
      </c>
      <c r="AM65" s="26" t="inlineStr">
        <is>
          <t>类别典型值/文件信息</t>
        </is>
      </c>
      <c r="AN65" s="25" t="n"/>
    </row>
    <row r="66" ht="15" customHeight="1" s="15">
      <c r="A66" s="22" t="inlineStr">
        <is>
          <t>RY460</t>
        </is>
      </c>
      <c r="B66" s="23" t="inlineStr">
        <is>
          <t>黄色颜料</t>
        </is>
      </c>
      <c r="C66" s="23" t="inlineStr">
        <is>
          <t>聚酯</t>
        </is>
      </c>
      <c r="D66" s="23" t="inlineStr">
        <is>
          <t>颜料</t>
        </is>
      </c>
      <c r="E66" s="23" t="inlineStr">
        <is>
          <t>其他</t>
        </is>
      </c>
      <c r="F66" s="23" t="inlineStr">
        <is>
          <t>专有(无SMILES)</t>
        </is>
      </c>
      <c r="G66" s="24" t="n">
        <v>100</v>
      </c>
      <c r="H66" s="22" t="n">
        <v>4</v>
      </c>
      <c r="I66" s="22" t="n">
        <v>200</v>
      </c>
      <c r="J66" s="24" t="n">
        <v>0</v>
      </c>
      <c r="K66" s="24" t="n">
        <v>0</v>
      </c>
      <c r="L66" s="24" t="n">
        <v>0</v>
      </c>
      <c r="M66" s="24" t="n">
        <v>0</v>
      </c>
      <c r="N66" s="24" t="n">
        <v>0</v>
      </c>
      <c r="O66" s="22" t="n">
        <v>0</v>
      </c>
      <c r="P66" s="22" t="n">
        <v>500</v>
      </c>
      <c r="Q66" s="22" t="n">
        <v>300</v>
      </c>
      <c r="R66" s="22" t="n">
        <v>20</v>
      </c>
      <c r="S66" s="22" t="n">
        <v>10</v>
      </c>
      <c r="T66" s="22" t="n">
        <v>8</v>
      </c>
      <c r="U66" s="22" t="n">
        <v>3</v>
      </c>
      <c r="V66" s="22" t="n">
        <v>0</v>
      </c>
      <c r="W66" s="22" t="n">
        <v>10</v>
      </c>
      <c r="X66" s="22" t="n">
        <v>0</v>
      </c>
      <c r="Y66" s="22" t="n">
        <v>20</v>
      </c>
      <c r="Z66" s="22" t="n">
        <v>0</v>
      </c>
      <c r="AA66" s="22" t="n">
        <v>0</v>
      </c>
      <c r="AB66" s="22" t="n">
        <v>0</v>
      </c>
      <c r="AC66" s="24" t="n">
        <v>0</v>
      </c>
      <c r="AD66" s="24" t="n">
        <v>0</v>
      </c>
      <c r="AE66" s="24" t="n">
        <v>0</v>
      </c>
      <c r="AF66" s="24" t="n">
        <v>0</v>
      </c>
      <c r="AG66" s="24" t="n">
        <v>0</v>
      </c>
      <c r="AH66" s="24" t="n">
        <v>0</v>
      </c>
      <c r="AI66" s="24" t="n">
        <v>0.5</v>
      </c>
      <c r="AJ66" s="24" t="n">
        <v>0</v>
      </c>
      <c r="AK66" s="22" t="n">
        <v>0</v>
      </c>
      <c r="AL66" s="22" t="n">
        <v>100</v>
      </c>
      <c r="AM66" s="23" t="inlineStr">
        <is>
          <t>类别典型值/文件信息</t>
        </is>
      </c>
      <c r="AN66" s="22" t="n"/>
    </row>
    <row r="67" ht="15" customHeight="1" s="15">
      <c r="A67" s="25" t="inlineStr">
        <is>
          <t>RY075N</t>
        </is>
      </c>
      <c r="B67" s="26" t="inlineStr">
        <is>
          <t>黄色颜料</t>
        </is>
      </c>
      <c r="C67" s="26" t="inlineStr">
        <is>
          <t>聚酯</t>
        </is>
      </c>
      <c r="D67" s="26" t="inlineStr">
        <is>
          <t>颜料</t>
        </is>
      </c>
      <c r="E67" s="26" t="inlineStr">
        <is>
          <t>其他</t>
        </is>
      </c>
      <c r="F67" s="26" t="inlineStr">
        <is>
          <t>专有(无SMILES)</t>
        </is>
      </c>
      <c r="G67" s="24" t="n">
        <v>100</v>
      </c>
      <c r="H67" s="25" t="n">
        <v>4</v>
      </c>
      <c r="I67" s="25" t="n">
        <v>200</v>
      </c>
      <c r="J67" s="24" t="n">
        <v>0</v>
      </c>
      <c r="K67" s="24" t="n">
        <v>0</v>
      </c>
      <c r="L67" s="24" t="n">
        <v>0</v>
      </c>
      <c r="M67" s="24" t="n">
        <v>0</v>
      </c>
      <c r="N67" s="24" t="n">
        <v>0</v>
      </c>
      <c r="O67" s="25" t="n">
        <v>0</v>
      </c>
      <c r="P67" s="25" t="n">
        <v>500</v>
      </c>
      <c r="Q67" s="25" t="n">
        <v>300</v>
      </c>
      <c r="R67" s="25" t="n">
        <v>20</v>
      </c>
      <c r="S67" s="25" t="n">
        <v>10</v>
      </c>
      <c r="T67" s="25" t="n">
        <v>8</v>
      </c>
      <c r="U67" s="25" t="n">
        <v>3</v>
      </c>
      <c r="V67" s="25" t="n">
        <v>0</v>
      </c>
      <c r="W67" s="25" t="n">
        <v>10</v>
      </c>
      <c r="X67" s="25" t="n">
        <v>0</v>
      </c>
      <c r="Y67" s="25" t="n">
        <v>20</v>
      </c>
      <c r="Z67" s="25" t="n">
        <v>0</v>
      </c>
      <c r="AA67" s="25" t="n">
        <v>0</v>
      </c>
      <c r="AB67" s="25" t="n">
        <v>0</v>
      </c>
      <c r="AC67" s="24" t="n">
        <v>0</v>
      </c>
      <c r="AD67" s="24" t="n">
        <v>0</v>
      </c>
      <c r="AE67" s="24" t="n">
        <v>0</v>
      </c>
      <c r="AF67" s="24" t="n">
        <v>0</v>
      </c>
      <c r="AG67" s="24" t="n">
        <v>0</v>
      </c>
      <c r="AH67" s="24" t="n">
        <v>0</v>
      </c>
      <c r="AI67" s="24" t="n">
        <v>0.5</v>
      </c>
      <c r="AJ67" s="24" t="n">
        <v>0</v>
      </c>
      <c r="AK67" s="25" t="n">
        <v>0</v>
      </c>
      <c r="AL67" s="25" t="n">
        <v>100</v>
      </c>
      <c r="AM67" s="26" t="inlineStr">
        <is>
          <t>类别典型值/文件信息</t>
        </is>
      </c>
      <c r="AN67" s="25" t="n"/>
    </row>
    <row r="68" ht="15" customHeight="1" s="15">
      <c r="A68" s="22" t="inlineStr">
        <is>
          <t>RY078</t>
        </is>
      </c>
      <c r="B68" s="23" t="inlineStr">
        <is>
          <t>黄色颜料</t>
        </is>
      </c>
      <c r="C68" s="23" t="inlineStr">
        <is>
          <t>有机</t>
        </is>
      </c>
      <c r="D68" s="23" t="inlineStr">
        <is>
          <t>颜料</t>
        </is>
      </c>
      <c r="E68" s="23" t="inlineStr">
        <is>
          <t>其他</t>
        </is>
      </c>
      <c r="F68" s="23" t="inlineStr">
        <is>
          <t>专有(无SMILES)</t>
        </is>
      </c>
      <c r="G68" s="24" t="n">
        <v>100</v>
      </c>
      <c r="H68" s="22" t="n">
        <v>4</v>
      </c>
      <c r="I68" s="22" t="n">
        <v>200</v>
      </c>
      <c r="J68" s="24" t="n">
        <v>0</v>
      </c>
      <c r="K68" s="24" t="n">
        <v>0</v>
      </c>
      <c r="L68" s="24" t="n">
        <v>0</v>
      </c>
      <c r="M68" s="24" t="n">
        <v>0</v>
      </c>
      <c r="N68" s="24" t="n">
        <v>0</v>
      </c>
      <c r="O68" s="22" t="n">
        <v>0</v>
      </c>
      <c r="P68" s="22" t="n">
        <v>500</v>
      </c>
      <c r="Q68" s="22" t="n">
        <v>300</v>
      </c>
      <c r="R68" s="22" t="n">
        <v>20</v>
      </c>
      <c r="S68" s="22" t="n">
        <v>10</v>
      </c>
      <c r="T68" s="22" t="n">
        <v>8</v>
      </c>
      <c r="U68" s="22" t="n">
        <v>3</v>
      </c>
      <c r="V68" s="22" t="n">
        <v>0</v>
      </c>
      <c r="W68" s="22" t="n">
        <v>10</v>
      </c>
      <c r="X68" s="22" t="n">
        <v>0</v>
      </c>
      <c r="Y68" s="22" t="n">
        <v>20</v>
      </c>
      <c r="Z68" s="22" t="n">
        <v>0</v>
      </c>
      <c r="AA68" s="22" t="n">
        <v>0</v>
      </c>
      <c r="AB68" s="22" t="n">
        <v>0</v>
      </c>
      <c r="AC68" s="24" t="n">
        <v>0</v>
      </c>
      <c r="AD68" s="24" t="n">
        <v>0</v>
      </c>
      <c r="AE68" s="24" t="n">
        <v>0</v>
      </c>
      <c r="AF68" s="24" t="n">
        <v>0</v>
      </c>
      <c r="AG68" s="24" t="n">
        <v>0</v>
      </c>
      <c r="AH68" s="24" t="n">
        <v>0</v>
      </c>
      <c r="AI68" s="24" t="n">
        <v>0.5</v>
      </c>
      <c r="AJ68" s="24" t="n">
        <v>0</v>
      </c>
      <c r="AK68" s="22" t="n">
        <v>0</v>
      </c>
      <c r="AL68" s="22" t="n">
        <v>100</v>
      </c>
      <c r="AM68" s="23" t="inlineStr">
        <is>
          <t>类别典型值/文件信息</t>
        </is>
      </c>
      <c r="AN68" s="22" t="n"/>
    </row>
    <row r="69" ht="15" customHeight="1" s="15">
      <c r="A69" s="25" t="inlineStr">
        <is>
          <t>35.7%白浆</t>
        </is>
      </c>
      <c r="B69" s="26" t="inlineStr">
        <is>
          <t>白色颜料浆35.7%</t>
        </is>
      </c>
      <c r="C69" s="26" t="inlineStr">
        <is>
          <t>有机</t>
        </is>
      </c>
      <c r="D69" s="26" t="inlineStr">
        <is>
          <t>颜料</t>
        </is>
      </c>
      <c r="E69" s="26" t="inlineStr">
        <is>
          <t>其他</t>
        </is>
      </c>
      <c r="F69" s="26" t="inlineStr">
        <is>
          <t>专有(无SMILES)</t>
        </is>
      </c>
      <c r="G69" s="24" t="n">
        <v>35.7</v>
      </c>
      <c r="H69" s="25" t="n">
        <v>1.8</v>
      </c>
      <c r="I69" s="25" t="n">
        <v>200</v>
      </c>
      <c r="J69" s="24" t="n">
        <v>0</v>
      </c>
      <c r="K69" s="24" t="n">
        <v>0</v>
      </c>
      <c r="L69" s="24" t="n">
        <v>0</v>
      </c>
      <c r="M69" s="24" t="n">
        <v>0</v>
      </c>
      <c r="N69" s="24" t="n">
        <v>0</v>
      </c>
      <c r="O69" s="25" t="n">
        <v>0</v>
      </c>
      <c r="P69" s="25" t="n">
        <v>300</v>
      </c>
      <c r="Q69" s="25" t="n">
        <v>150</v>
      </c>
      <c r="R69" s="25" t="n">
        <v>19</v>
      </c>
      <c r="S69" s="25" t="n">
        <v>8</v>
      </c>
      <c r="T69" s="25" t="n">
        <v>7</v>
      </c>
      <c r="U69" s="25" t="n">
        <v>3</v>
      </c>
      <c r="V69" s="25" t="n">
        <v>0</v>
      </c>
      <c r="W69" s="25" t="n">
        <v>20</v>
      </c>
      <c r="X69" s="25" t="n">
        <v>2</v>
      </c>
      <c r="Y69" s="25" t="n">
        <v>40</v>
      </c>
      <c r="Z69" s="25" t="n">
        <v>0</v>
      </c>
      <c r="AA69" s="25" t="n">
        <v>0</v>
      </c>
      <c r="AB69" s="25" t="n">
        <v>0</v>
      </c>
      <c r="AC69" s="24" t="n">
        <v>0</v>
      </c>
      <c r="AD69" s="24" t="n">
        <v>0</v>
      </c>
      <c r="AE69" s="24" t="n">
        <v>0</v>
      </c>
      <c r="AF69" s="24" t="n">
        <v>0.1</v>
      </c>
      <c r="AG69" s="24" t="n">
        <v>0</v>
      </c>
      <c r="AH69" s="24" t="n">
        <v>0</v>
      </c>
      <c r="AI69" s="24" t="n">
        <v>0.2</v>
      </c>
      <c r="AJ69" s="24" t="n">
        <v>0.1</v>
      </c>
      <c r="AK69" s="25" t="n">
        <v>0</v>
      </c>
      <c r="AL69" s="25" t="n">
        <v>35.7</v>
      </c>
      <c r="AM69" s="26" t="inlineStr">
        <is>
          <t>类别典型值/文件信息</t>
        </is>
      </c>
      <c r="AN69" s="25" t="n"/>
    </row>
    <row r="70" ht="15" customHeight="1" s="15">
      <c r="A70" s="22" t="inlineStr">
        <is>
          <t>14.28%炭黑浆料</t>
        </is>
      </c>
      <c r="B70" s="23" t="inlineStr">
        <is>
          <t>炭黑浆料14.28%</t>
        </is>
      </c>
      <c r="C70" s="23" t="inlineStr">
        <is>
          <t>有机</t>
        </is>
      </c>
      <c r="D70" s="23" t="inlineStr">
        <is>
          <t>颜料</t>
        </is>
      </c>
      <c r="E70" s="23" t="inlineStr">
        <is>
          <t>其他</t>
        </is>
      </c>
      <c r="F70" s="23" t="inlineStr">
        <is>
          <t>专有(无SMILES)</t>
        </is>
      </c>
      <c r="G70" s="24" t="n">
        <v>14.28</v>
      </c>
      <c r="H70" s="22" t="n">
        <v>1.2</v>
      </c>
      <c r="I70" s="22" t="n">
        <v>200</v>
      </c>
      <c r="J70" s="24" t="n">
        <v>0</v>
      </c>
      <c r="K70" s="24" t="n">
        <v>0</v>
      </c>
      <c r="L70" s="24" t="n">
        <v>0</v>
      </c>
      <c r="M70" s="24" t="n">
        <v>0</v>
      </c>
      <c r="N70" s="24" t="n">
        <v>0</v>
      </c>
      <c r="O70" s="22" t="n">
        <v>0</v>
      </c>
      <c r="P70" s="22" t="n">
        <v>300</v>
      </c>
      <c r="Q70" s="22" t="n">
        <v>150</v>
      </c>
      <c r="R70" s="22" t="n">
        <v>19</v>
      </c>
      <c r="S70" s="22" t="n">
        <v>8</v>
      </c>
      <c r="T70" s="22" t="n">
        <v>7</v>
      </c>
      <c r="U70" s="22" t="n">
        <v>3</v>
      </c>
      <c r="V70" s="22" t="n">
        <v>0</v>
      </c>
      <c r="W70" s="22" t="n">
        <v>80</v>
      </c>
      <c r="X70" s="22" t="n">
        <v>2</v>
      </c>
      <c r="Y70" s="22" t="n">
        <v>10</v>
      </c>
      <c r="Z70" s="22" t="n">
        <v>0</v>
      </c>
      <c r="AA70" s="22" t="n">
        <v>0</v>
      </c>
      <c r="AB70" s="22" t="n">
        <v>0</v>
      </c>
      <c r="AC70" s="24" t="n">
        <v>0</v>
      </c>
      <c r="AD70" s="24" t="n">
        <v>0</v>
      </c>
      <c r="AE70" s="24" t="n">
        <v>0</v>
      </c>
      <c r="AF70" s="24" t="n">
        <v>0.1</v>
      </c>
      <c r="AG70" s="24" t="n">
        <v>0</v>
      </c>
      <c r="AH70" s="24" t="n">
        <v>0</v>
      </c>
      <c r="AI70" s="24" t="n">
        <v>0.5</v>
      </c>
      <c r="AJ70" s="24" t="n">
        <v>0</v>
      </c>
      <c r="AK70" s="22" t="n">
        <v>0</v>
      </c>
      <c r="AL70" s="22" t="n">
        <v>14.28</v>
      </c>
      <c r="AM70" s="23" t="inlineStr">
        <is>
          <t>类别典型值/文件信息</t>
        </is>
      </c>
      <c r="AN70" s="22" t="n"/>
    </row>
    <row r="71" ht="15" customHeight="1" s="15">
      <c r="A71" s="26" t="inlineStr">
        <is>
          <t>日本151-PVC</t>
        </is>
      </c>
      <c r="B71" s="26" t="inlineStr">
        <is>
          <t>颜料浆</t>
        </is>
      </c>
      <c r="C71" s="26" t="inlineStr">
        <is>
          <t>有机</t>
        </is>
      </c>
      <c r="D71" s="26" t="inlineStr">
        <is>
          <t>颜料</t>
        </is>
      </c>
      <c r="E71" s="26" t="inlineStr">
        <is>
          <t>其他</t>
        </is>
      </c>
      <c r="F71" s="26" t="inlineStr">
        <is>
          <t>专有(无SMILES)</t>
        </is>
      </c>
      <c r="G71" s="24" t="n">
        <v>100</v>
      </c>
      <c r="H71" s="25" t="n">
        <v>1.5</v>
      </c>
      <c r="I71" s="25" t="n">
        <v>200</v>
      </c>
      <c r="J71" s="24" t="n">
        <v>0</v>
      </c>
      <c r="K71" s="24" t="n">
        <v>0</v>
      </c>
      <c r="L71" s="24" t="n">
        <v>0</v>
      </c>
      <c r="M71" s="24" t="n">
        <v>0</v>
      </c>
      <c r="N71" s="24" t="n">
        <v>0</v>
      </c>
      <c r="O71" s="25" t="n">
        <v>0</v>
      </c>
      <c r="P71" s="25" t="n">
        <v>300</v>
      </c>
      <c r="Q71" s="25" t="n">
        <v>150</v>
      </c>
      <c r="R71" s="25" t="n">
        <v>19</v>
      </c>
      <c r="S71" s="25" t="n">
        <v>8</v>
      </c>
      <c r="T71" s="25" t="n">
        <v>7</v>
      </c>
      <c r="U71" s="25" t="n">
        <v>3</v>
      </c>
      <c r="V71" s="25" t="n">
        <v>0</v>
      </c>
      <c r="W71" s="25" t="n">
        <v>50</v>
      </c>
      <c r="X71" s="25" t="n">
        <v>5</v>
      </c>
      <c r="Y71" s="25" t="n">
        <v>20</v>
      </c>
      <c r="Z71" s="25" t="n">
        <v>0</v>
      </c>
      <c r="AA71" s="25" t="n">
        <v>0</v>
      </c>
      <c r="AB71" s="25" t="n">
        <v>0</v>
      </c>
      <c r="AC71" s="24" t="n">
        <v>0</v>
      </c>
      <c r="AD71" s="24" t="n">
        <v>0</v>
      </c>
      <c r="AE71" s="24" t="n">
        <v>0</v>
      </c>
      <c r="AF71" s="24" t="n">
        <v>0.1</v>
      </c>
      <c r="AG71" s="24" t="n">
        <v>0</v>
      </c>
      <c r="AH71" s="24" t="n">
        <v>0</v>
      </c>
      <c r="AI71" s="24" t="n">
        <v>0.3</v>
      </c>
      <c r="AJ71" s="24" t="n">
        <v>0.1</v>
      </c>
      <c r="AK71" s="25" t="n">
        <v>0</v>
      </c>
      <c r="AL71" s="25" t="n">
        <v>100</v>
      </c>
      <c r="AM71" s="26" t="inlineStr">
        <is>
          <t>类别典型值/文件信息</t>
        </is>
      </c>
      <c r="AN71" s="2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L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2" customWidth="1" style="14" min="1" max="1"/>
    <col width="10" customWidth="1" style="14" min="2" max="2"/>
    <col width="14" customWidth="1" style="14" min="3" max="3"/>
    <col width="10" customWidth="1" style="14" min="4" max="4"/>
    <col width="9" customWidth="1" style="14" min="5" max="6"/>
    <col width="10" customWidth="1" style="14" min="7" max="38"/>
  </cols>
  <sheetData>
    <row r="1" ht="15" customHeight="1" s="15">
      <c r="A1" s="20" t="inlineStr">
        <is>
          <t>样本ID</t>
        </is>
      </c>
      <c r="B1" s="20" t="inlineStr">
        <is>
          <t>体系</t>
        </is>
      </c>
      <c r="C1" s="20" t="inlineStr">
        <is>
          <t>原料代码</t>
        </is>
      </c>
      <c r="D1" s="20" t="inlineStr">
        <is>
          <t>用量(g)</t>
        </is>
      </c>
      <c r="E1" s="20" t="inlineStr">
        <is>
          <t>角色</t>
        </is>
      </c>
      <c r="F1" s="20" t="inlineStr">
        <is>
          <t>树脂类型</t>
        </is>
      </c>
      <c r="G1" s="20" t="inlineStr">
        <is>
          <t>固含贡献</t>
        </is>
      </c>
      <c r="H1" s="20" t="inlineStr">
        <is>
          <t>密度贡献</t>
        </is>
      </c>
      <c r="I1" s="20" t="inlineStr">
        <is>
          <t>分子量贡献</t>
        </is>
      </c>
      <c r="J1" s="21" t="inlineStr">
        <is>
          <t>EEW贡献</t>
        </is>
      </c>
      <c r="K1" s="20" t="inlineStr">
        <is>
          <t>酸值贡献</t>
        </is>
      </c>
      <c r="L1" s="20" t="inlineStr">
        <is>
          <t>羟值贡献</t>
        </is>
      </c>
      <c r="M1" s="20" t="inlineStr">
        <is>
          <t>胺值贡献</t>
        </is>
      </c>
      <c r="N1" s="20" t="inlineStr">
        <is>
          <t>官能度贡献</t>
        </is>
      </c>
      <c r="O1" s="21" t="inlineStr">
        <is>
          <t>Tg贡献</t>
        </is>
      </c>
      <c r="P1" s="20" t="inlineStr">
        <is>
          <t>沸点贡献</t>
        </is>
      </c>
      <c r="Q1" s="20" t="inlineStr">
        <is>
          <t>闪点贡献</t>
        </is>
      </c>
      <c r="R1" s="21" t="inlineStr">
        <is>
          <t>δD贡献</t>
        </is>
      </c>
      <c r="S1" s="21" t="inlineStr">
        <is>
          <t>δP贡献</t>
        </is>
      </c>
      <c r="T1" s="21" t="inlineStr">
        <is>
          <t>δH贡献</t>
        </is>
      </c>
      <c r="U1" s="20" t="inlineStr">
        <is>
          <t>极性贡献</t>
        </is>
      </c>
      <c r="V1" s="20" t="inlineStr">
        <is>
          <t>挥发速率贡献</t>
        </is>
      </c>
      <c r="W1" s="21" t="inlineStr">
        <is>
          <t>C贡献</t>
        </is>
      </c>
      <c r="X1" s="21" t="inlineStr">
        <is>
          <t>H贡献</t>
        </is>
      </c>
      <c r="Y1" s="21" t="inlineStr">
        <is>
          <t>O贡献</t>
        </is>
      </c>
      <c r="Z1" s="21" t="inlineStr">
        <is>
          <t>N贡献</t>
        </is>
      </c>
      <c r="AA1" s="21" t="inlineStr">
        <is>
          <t>S贡献</t>
        </is>
      </c>
      <c r="AB1" s="21" t="inlineStr">
        <is>
          <t>Cl贡献</t>
        </is>
      </c>
      <c r="AC1" s="20" t="inlineStr">
        <is>
          <t>环氧基贡献</t>
        </is>
      </c>
      <c r="AD1" s="20" t="inlineStr">
        <is>
          <t>羟基贡献</t>
        </is>
      </c>
      <c r="AE1" s="20" t="inlineStr">
        <is>
          <t>羧基贡献</t>
        </is>
      </c>
      <c r="AF1" s="20" t="inlineStr">
        <is>
          <t>酯基贡献</t>
        </is>
      </c>
      <c r="AG1" s="20" t="inlineStr">
        <is>
          <t>胺基贡献</t>
        </is>
      </c>
      <c r="AH1" s="20" t="inlineStr">
        <is>
          <t>酰胺贡献</t>
        </is>
      </c>
      <c r="AI1" s="20" t="inlineStr">
        <is>
          <t>芳香环贡献</t>
        </is>
      </c>
      <c r="AJ1" s="20" t="inlineStr">
        <is>
          <t>醚键贡献</t>
        </is>
      </c>
      <c r="AK1" s="20" t="inlineStr">
        <is>
          <t>蜡贡献</t>
        </is>
      </c>
      <c r="AL1" s="20" t="inlineStr">
        <is>
          <t>颜料贡献</t>
        </is>
      </c>
    </row>
    <row r="2" ht="15" customHeight="1" s="15">
      <c r="A2" s="22" t="inlineStr">
        <is>
          <t>EP-0001</t>
        </is>
      </c>
      <c r="B2" s="23" t="inlineStr">
        <is>
          <t>环氧酚醛</t>
        </is>
      </c>
      <c r="C2" s="22" t="inlineStr">
        <is>
          <t>IR190</t>
        </is>
      </c>
      <c r="D2" s="22" t="n">
        <v>66</v>
      </c>
      <c r="E2" s="22">
        <f>VLOOKUP($C2,原料主数据!$A:$E,4,FALSE())</f>
        <v/>
      </c>
      <c r="F2" s="22">
        <f>VLOOKUP($C2,原料主数据!$A:$E,5,FALSE())</f>
        <v/>
      </c>
      <c r="G2" s="22">
        <f>$D2*VLOOKUP($C2,原料主数据!$A:$AL, 7, FALSE())</f>
        <v/>
      </c>
      <c r="H2" s="22">
        <f>$D2*VLOOKUP($C2,原料主数据!$A:$AL, 8, FALSE())</f>
        <v/>
      </c>
      <c r="I2" s="22">
        <f>$D2*VLOOKUP($C2,原料主数据!$A:$AL, 9, FALSE())</f>
        <v/>
      </c>
      <c r="J2" s="22">
        <f>$D2*VLOOKUP($C2,原料主数据!$A:$AL, 10, FALSE())</f>
        <v/>
      </c>
      <c r="K2" s="22">
        <f>$D2*VLOOKUP($C2,原料主数据!$A:$AL, 11, FALSE())</f>
        <v/>
      </c>
      <c r="L2" s="22">
        <f>$D2*VLOOKUP($C2,原料主数据!$A:$AL, 12, FALSE())</f>
        <v/>
      </c>
      <c r="M2" s="22">
        <f>$D2*VLOOKUP($C2,原料主数据!$A:$AL, 13, FALSE())</f>
        <v/>
      </c>
      <c r="N2" s="22">
        <f>$D2*VLOOKUP($C2,原料主数据!$A:$AL, 14, FALSE())</f>
        <v/>
      </c>
      <c r="O2" s="22">
        <f>$D2*VLOOKUP($C2,原料主数据!$A:$AL, 15, FALSE())</f>
        <v/>
      </c>
      <c r="P2" s="22">
        <f>$D2*VLOOKUP($C2,原料主数据!$A:$AL, 16, FALSE())</f>
        <v/>
      </c>
      <c r="Q2" s="22">
        <f>$D2*VLOOKUP($C2,原料主数据!$A:$AL, 17, FALSE())</f>
        <v/>
      </c>
      <c r="R2" s="22">
        <f>$D2*VLOOKUP($C2,原料主数据!$A:$AL, 18, FALSE())</f>
        <v/>
      </c>
      <c r="S2" s="22">
        <f>$D2*VLOOKUP($C2,原料主数据!$A:$AL, 19, FALSE())</f>
        <v/>
      </c>
      <c r="T2" s="22">
        <f>$D2*VLOOKUP($C2,原料主数据!$A:$AL, 20, FALSE())</f>
        <v/>
      </c>
      <c r="U2" s="22">
        <f>$D2*VLOOKUP($C2,原料主数据!$A:$AL, 21, FALSE())</f>
        <v/>
      </c>
      <c r="V2" s="22">
        <f>$D2*VLOOKUP($C2,原料主数据!$A:$AL, 22, FALSE())</f>
        <v/>
      </c>
      <c r="W2" s="22">
        <f>$D2*VLOOKUP($C2,原料主数据!$A:$AL, 23, FALSE())</f>
        <v/>
      </c>
      <c r="X2" s="22">
        <f>$D2*VLOOKUP($C2,原料主数据!$A:$AL, 24, FALSE())</f>
        <v/>
      </c>
      <c r="Y2" s="22">
        <f>$D2*VLOOKUP($C2,原料主数据!$A:$AL, 25, FALSE())</f>
        <v/>
      </c>
      <c r="Z2" s="22">
        <f>$D2*VLOOKUP($C2,原料主数据!$A:$AL, 26, FALSE())</f>
        <v/>
      </c>
      <c r="AA2" s="22">
        <f>$D2*VLOOKUP($C2,原料主数据!$A:$AL, 27, FALSE())</f>
        <v/>
      </c>
      <c r="AB2" s="22">
        <f>$D2*VLOOKUP($C2,原料主数据!$A:$AL, 28, FALSE())</f>
        <v/>
      </c>
      <c r="AC2" s="22">
        <f>$D2*VLOOKUP($C2,原料主数据!$A:$AL, 29, FALSE())</f>
        <v/>
      </c>
      <c r="AD2" s="22">
        <f>$D2*VLOOKUP($C2,原料主数据!$A:$AL, 30, FALSE())</f>
        <v/>
      </c>
      <c r="AE2" s="22">
        <f>$D2*VLOOKUP($C2,原料主数据!$A:$AL, 31, FALSE())</f>
        <v/>
      </c>
      <c r="AF2" s="22">
        <f>$D2*VLOOKUP($C2,原料主数据!$A:$AL, 32, FALSE())</f>
        <v/>
      </c>
      <c r="AG2" s="22">
        <f>$D2*VLOOKUP($C2,原料主数据!$A:$AL, 33, FALSE())</f>
        <v/>
      </c>
      <c r="AH2" s="22">
        <f>$D2*VLOOKUP($C2,原料主数据!$A:$AL, 34, FALSE())</f>
        <v/>
      </c>
      <c r="AI2" s="22">
        <f>$D2*VLOOKUP($C2,原料主数据!$A:$AL, 35, FALSE())</f>
        <v/>
      </c>
      <c r="AJ2" s="22">
        <f>$D2*VLOOKUP($C2,原料主数据!$A:$AL, 36, FALSE())</f>
        <v/>
      </c>
      <c r="AK2" s="22">
        <f>$D2*VLOOKUP($C2,原料主数据!$A:$AL, 37, FALSE())</f>
        <v/>
      </c>
      <c r="AL2" s="22">
        <f>$D2*VLOOKUP($C2,原料主数据!$A:$AL, 38, FALSE())</f>
        <v/>
      </c>
    </row>
    <row r="3" ht="15" customHeight="1" s="15">
      <c r="A3" s="25" t="inlineStr">
        <is>
          <t>EP-0001</t>
        </is>
      </c>
      <c r="B3" s="26" t="inlineStr">
        <is>
          <t>环氧酚醛</t>
        </is>
      </c>
      <c r="C3" s="25" t="inlineStr">
        <is>
          <t>IR809</t>
        </is>
      </c>
      <c r="D3" s="25" t="n">
        <v>0.12</v>
      </c>
      <c r="E3" s="25">
        <f>VLOOKUP($C3,原料主数据!$A:$E,4,FALSE())</f>
        <v/>
      </c>
      <c r="F3" s="25">
        <f>VLOOKUP($C3,原料主数据!$A:$E,5,FALSE())</f>
        <v/>
      </c>
      <c r="G3" s="25">
        <f>$D3*VLOOKUP($C3,原料主数据!$A:$AL, 7, FALSE())</f>
        <v/>
      </c>
      <c r="H3" s="25">
        <f>$D3*VLOOKUP($C3,原料主数据!$A:$AL, 8, FALSE())</f>
        <v/>
      </c>
      <c r="I3" s="25">
        <f>$D3*VLOOKUP($C3,原料主数据!$A:$AL, 9, FALSE())</f>
        <v/>
      </c>
      <c r="J3" s="25">
        <f>$D3*VLOOKUP($C3,原料主数据!$A:$AL, 10, FALSE())</f>
        <v/>
      </c>
      <c r="K3" s="25">
        <f>$D3*VLOOKUP($C3,原料主数据!$A:$AL, 11, FALSE())</f>
        <v/>
      </c>
      <c r="L3" s="25">
        <f>$D3*VLOOKUP($C3,原料主数据!$A:$AL, 12, FALSE())</f>
        <v/>
      </c>
      <c r="M3" s="25">
        <f>$D3*VLOOKUP($C3,原料主数据!$A:$AL, 13, FALSE())</f>
        <v/>
      </c>
      <c r="N3" s="25">
        <f>$D3*VLOOKUP($C3,原料主数据!$A:$AL, 14, FALSE())</f>
        <v/>
      </c>
      <c r="O3" s="25">
        <f>$D3*VLOOKUP($C3,原料主数据!$A:$AL, 15, FALSE())</f>
        <v/>
      </c>
      <c r="P3" s="25">
        <f>$D3*VLOOKUP($C3,原料主数据!$A:$AL, 16, FALSE())</f>
        <v/>
      </c>
      <c r="Q3" s="25">
        <f>$D3*VLOOKUP($C3,原料主数据!$A:$AL, 17, FALSE())</f>
        <v/>
      </c>
      <c r="R3" s="25">
        <f>$D3*VLOOKUP($C3,原料主数据!$A:$AL, 18, FALSE())</f>
        <v/>
      </c>
      <c r="S3" s="25">
        <f>$D3*VLOOKUP($C3,原料主数据!$A:$AL, 19, FALSE())</f>
        <v/>
      </c>
      <c r="T3" s="25">
        <f>$D3*VLOOKUP($C3,原料主数据!$A:$AL, 20, FALSE())</f>
        <v/>
      </c>
      <c r="U3" s="25">
        <f>$D3*VLOOKUP($C3,原料主数据!$A:$AL, 21, FALSE())</f>
        <v/>
      </c>
      <c r="V3" s="25">
        <f>$D3*VLOOKUP($C3,原料主数据!$A:$AL, 22, FALSE())</f>
        <v/>
      </c>
      <c r="W3" s="25">
        <f>$D3*VLOOKUP($C3,原料主数据!$A:$AL, 23, FALSE())</f>
        <v/>
      </c>
      <c r="X3" s="25">
        <f>$D3*VLOOKUP($C3,原料主数据!$A:$AL, 24, FALSE())</f>
        <v/>
      </c>
      <c r="Y3" s="25">
        <f>$D3*VLOOKUP($C3,原料主数据!$A:$AL, 25, FALSE())</f>
        <v/>
      </c>
      <c r="Z3" s="25">
        <f>$D3*VLOOKUP($C3,原料主数据!$A:$AL, 26, FALSE())</f>
        <v/>
      </c>
      <c r="AA3" s="25">
        <f>$D3*VLOOKUP($C3,原料主数据!$A:$AL, 27, FALSE())</f>
        <v/>
      </c>
      <c r="AB3" s="25">
        <f>$D3*VLOOKUP($C3,原料主数据!$A:$AL, 28, FALSE())</f>
        <v/>
      </c>
      <c r="AC3" s="25">
        <f>$D3*VLOOKUP($C3,原料主数据!$A:$AL, 29, FALSE())</f>
        <v/>
      </c>
      <c r="AD3" s="25">
        <f>$D3*VLOOKUP($C3,原料主数据!$A:$AL, 30, FALSE())</f>
        <v/>
      </c>
      <c r="AE3" s="25">
        <f>$D3*VLOOKUP($C3,原料主数据!$A:$AL, 31, FALSE())</f>
        <v/>
      </c>
      <c r="AF3" s="25">
        <f>$D3*VLOOKUP($C3,原料主数据!$A:$AL, 32, FALSE())</f>
        <v/>
      </c>
      <c r="AG3" s="25">
        <f>$D3*VLOOKUP($C3,原料主数据!$A:$AL, 33, FALSE())</f>
        <v/>
      </c>
      <c r="AH3" s="25">
        <f>$D3*VLOOKUP($C3,原料主数据!$A:$AL, 34, FALSE())</f>
        <v/>
      </c>
      <c r="AI3" s="25">
        <f>$D3*VLOOKUP($C3,原料主数据!$A:$AL, 35, FALSE())</f>
        <v/>
      </c>
      <c r="AJ3" s="25">
        <f>$D3*VLOOKUP($C3,原料主数据!$A:$AL, 36, FALSE())</f>
        <v/>
      </c>
      <c r="AK3" s="25">
        <f>$D3*VLOOKUP($C3,原料主数据!$A:$AL, 37, FALSE())</f>
        <v/>
      </c>
      <c r="AL3" s="25">
        <f>$D3*VLOOKUP($C3,原料主数据!$A:$AL, 38, FALSE())</f>
        <v/>
      </c>
    </row>
    <row r="4" ht="15" customHeight="1" s="15">
      <c r="A4" s="22" t="inlineStr">
        <is>
          <t>EP-0001</t>
        </is>
      </c>
      <c r="B4" s="23" t="inlineStr">
        <is>
          <t>环氧酚醛</t>
        </is>
      </c>
      <c r="C4" s="22" t="inlineStr">
        <is>
          <t>RF516</t>
        </is>
      </c>
      <c r="D4" s="22" t="n">
        <v>2.64</v>
      </c>
      <c r="E4" s="22">
        <f>VLOOKUP($C4,原料主数据!$A:$E,4,FALSE())</f>
        <v/>
      </c>
      <c r="F4" s="22">
        <f>VLOOKUP($C4,原料主数据!$A:$E,5,FALSE())</f>
        <v/>
      </c>
      <c r="G4" s="22">
        <f>$D4*VLOOKUP($C4,原料主数据!$A:$AL, 7, FALSE())</f>
        <v/>
      </c>
      <c r="H4" s="22">
        <f>$D4*VLOOKUP($C4,原料主数据!$A:$AL, 8, FALSE())</f>
        <v/>
      </c>
      <c r="I4" s="22">
        <f>$D4*VLOOKUP($C4,原料主数据!$A:$AL, 9, FALSE())</f>
        <v/>
      </c>
      <c r="J4" s="22">
        <f>$D4*VLOOKUP($C4,原料主数据!$A:$AL, 10, FALSE())</f>
        <v/>
      </c>
      <c r="K4" s="22">
        <f>$D4*VLOOKUP($C4,原料主数据!$A:$AL, 11, FALSE())</f>
        <v/>
      </c>
      <c r="L4" s="22">
        <f>$D4*VLOOKUP($C4,原料主数据!$A:$AL, 12, FALSE())</f>
        <v/>
      </c>
      <c r="M4" s="22">
        <f>$D4*VLOOKUP($C4,原料主数据!$A:$AL, 13, FALSE())</f>
        <v/>
      </c>
      <c r="N4" s="22">
        <f>$D4*VLOOKUP($C4,原料主数据!$A:$AL, 14, FALSE())</f>
        <v/>
      </c>
      <c r="O4" s="22">
        <f>$D4*VLOOKUP($C4,原料主数据!$A:$AL, 15, FALSE())</f>
        <v/>
      </c>
      <c r="P4" s="22">
        <f>$D4*VLOOKUP($C4,原料主数据!$A:$AL, 16, FALSE())</f>
        <v/>
      </c>
      <c r="Q4" s="22">
        <f>$D4*VLOOKUP($C4,原料主数据!$A:$AL, 17, FALSE())</f>
        <v/>
      </c>
      <c r="R4" s="22">
        <f>$D4*VLOOKUP($C4,原料主数据!$A:$AL, 18, FALSE())</f>
        <v/>
      </c>
      <c r="S4" s="22">
        <f>$D4*VLOOKUP($C4,原料主数据!$A:$AL, 19, FALSE())</f>
        <v/>
      </c>
      <c r="T4" s="22">
        <f>$D4*VLOOKUP($C4,原料主数据!$A:$AL, 20, FALSE())</f>
        <v/>
      </c>
      <c r="U4" s="22">
        <f>$D4*VLOOKUP($C4,原料主数据!$A:$AL, 21, FALSE())</f>
        <v/>
      </c>
      <c r="V4" s="22">
        <f>$D4*VLOOKUP($C4,原料主数据!$A:$AL, 22, FALSE())</f>
        <v/>
      </c>
      <c r="W4" s="22">
        <f>$D4*VLOOKUP($C4,原料主数据!$A:$AL, 23, FALSE())</f>
        <v/>
      </c>
      <c r="X4" s="22">
        <f>$D4*VLOOKUP($C4,原料主数据!$A:$AL, 24, FALSE())</f>
        <v/>
      </c>
      <c r="Y4" s="22">
        <f>$D4*VLOOKUP($C4,原料主数据!$A:$AL, 25, FALSE())</f>
        <v/>
      </c>
      <c r="Z4" s="22">
        <f>$D4*VLOOKUP($C4,原料主数据!$A:$AL, 26, FALSE())</f>
        <v/>
      </c>
      <c r="AA4" s="22">
        <f>$D4*VLOOKUP($C4,原料主数据!$A:$AL, 27, FALSE())</f>
        <v/>
      </c>
      <c r="AB4" s="22">
        <f>$D4*VLOOKUP($C4,原料主数据!$A:$AL, 28, FALSE())</f>
        <v/>
      </c>
      <c r="AC4" s="22">
        <f>$D4*VLOOKUP($C4,原料主数据!$A:$AL, 29, FALSE())</f>
        <v/>
      </c>
      <c r="AD4" s="22">
        <f>$D4*VLOOKUP($C4,原料主数据!$A:$AL, 30, FALSE())</f>
        <v/>
      </c>
      <c r="AE4" s="22">
        <f>$D4*VLOOKUP($C4,原料主数据!$A:$AL, 31, FALSE())</f>
        <v/>
      </c>
      <c r="AF4" s="22">
        <f>$D4*VLOOKUP($C4,原料主数据!$A:$AL, 32, FALSE())</f>
        <v/>
      </c>
      <c r="AG4" s="22">
        <f>$D4*VLOOKUP($C4,原料主数据!$A:$AL, 33, FALSE())</f>
        <v/>
      </c>
      <c r="AH4" s="22">
        <f>$D4*VLOOKUP($C4,原料主数据!$A:$AL, 34, FALSE())</f>
        <v/>
      </c>
      <c r="AI4" s="22">
        <f>$D4*VLOOKUP($C4,原料主数据!$A:$AL, 35, FALSE())</f>
        <v/>
      </c>
      <c r="AJ4" s="22">
        <f>$D4*VLOOKUP($C4,原料主数据!$A:$AL, 36, FALSE())</f>
        <v/>
      </c>
      <c r="AK4" s="22">
        <f>$D4*VLOOKUP($C4,原料主数据!$A:$AL, 37, FALSE())</f>
        <v/>
      </c>
      <c r="AL4" s="22">
        <f>$D4*VLOOKUP($C4,原料主数据!$A:$AL, 38, FALSE())</f>
        <v/>
      </c>
    </row>
    <row r="5" ht="15" customHeight="1" s="15">
      <c r="A5" s="25" t="inlineStr">
        <is>
          <t>EP-0001</t>
        </is>
      </c>
      <c r="B5" s="26" t="inlineStr">
        <is>
          <t>环氧酚醛</t>
        </is>
      </c>
      <c r="C5" s="25" t="inlineStr">
        <is>
          <t>RF956</t>
        </is>
      </c>
      <c r="D5" s="25" t="n">
        <v>1.53</v>
      </c>
      <c r="E5" s="25">
        <f>VLOOKUP($C5,原料主数据!$A:$E,4,FALSE())</f>
        <v/>
      </c>
      <c r="F5" s="25">
        <f>VLOOKUP($C5,原料主数据!$A:$E,5,FALSE())</f>
        <v/>
      </c>
      <c r="G5" s="25">
        <f>$D5*VLOOKUP($C5,原料主数据!$A:$AL, 7, FALSE())</f>
        <v/>
      </c>
      <c r="H5" s="25">
        <f>$D5*VLOOKUP($C5,原料主数据!$A:$AL, 8, FALSE())</f>
        <v/>
      </c>
      <c r="I5" s="25">
        <f>$D5*VLOOKUP($C5,原料主数据!$A:$AL, 9, FALSE())</f>
        <v/>
      </c>
      <c r="J5" s="25">
        <f>$D5*VLOOKUP($C5,原料主数据!$A:$AL, 10, FALSE())</f>
        <v/>
      </c>
      <c r="K5" s="25">
        <f>$D5*VLOOKUP($C5,原料主数据!$A:$AL, 11, FALSE())</f>
        <v/>
      </c>
      <c r="L5" s="25">
        <f>$D5*VLOOKUP($C5,原料主数据!$A:$AL, 12, FALSE())</f>
        <v/>
      </c>
      <c r="M5" s="25">
        <f>$D5*VLOOKUP($C5,原料主数据!$A:$AL, 13, FALSE())</f>
        <v/>
      </c>
      <c r="N5" s="25">
        <f>$D5*VLOOKUP($C5,原料主数据!$A:$AL, 14, FALSE())</f>
        <v/>
      </c>
      <c r="O5" s="25">
        <f>$D5*VLOOKUP($C5,原料主数据!$A:$AL, 15, FALSE())</f>
        <v/>
      </c>
      <c r="P5" s="25">
        <f>$D5*VLOOKUP($C5,原料主数据!$A:$AL, 16, FALSE())</f>
        <v/>
      </c>
      <c r="Q5" s="25">
        <f>$D5*VLOOKUP($C5,原料主数据!$A:$AL, 17, FALSE())</f>
        <v/>
      </c>
      <c r="R5" s="25">
        <f>$D5*VLOOKUP($C5,原料主数据!$A:$AL, 18, FALSE())</f>
        <v/>
      </c>
      <c r="S5" s="25">
        <f>$D5*VLOOKUP($C5,原料主数据!$A:$AL, 19, FALSE())</f>
        <v/>
      </c>
      <c r="T5" s="25">
        <f>$D5*VLOOKUP($C5,原料主数据!$A:$AL, 20, FALSE())</f>
        <v/>
      </c>
      <c r="U5" s="25">
        <f>$D5*VLOOKUP($C5,原料主数据!$A:$AL, 21, FALSE())</f>
        <v/>
      </c>
      <c r="V5" s="25">
        <f>$D5*VLOOKUP($C5,原料主数据!$A:$AL, 22, FALSE())</f>
        <v/>
      </c>
      <c r="W5" s="25">
        <f>$D5*VLOOKUP($C5,原料主数据!$A:$AL, 23, FALSE())</f>
        <v/>
      </c>
      <c r="X5" s="25">
        <f>$D5*VLOOKUP($C5,原料主数据!$A:$AL, 24, FALSE())</f>
        <v/>
      </c>
      <c r="Y5" s="25">
        <f>$D5*VLOOKUP($C5,原料主数据!$A:$AL, 25, FALSE())</f>
        <v/>
      </c>
      <c r="Z5" s="25">
        <f>$D5*VLOOKUP($C5,原料主数据!$A:$AL, 26, FALSE())</f>
        <v/>
      </c>
      <c r="AA5" s="25">
        <f>$D5*VLOOKUP($C5,原料主数据!$A:$AL, 27, FALSE())</f>
        <v/>
      </c>
      <c r="AB5" s="25">
        <f>$D5*VLOOKUP($C5,原料主数据!$A:$AL, 28, FALSE())</f>
        <v/>
      </c>
      <c r="AC5" s="25">
        <f>$D5*VLOOKUP($C5,原料主数据!$A:$AL, 29, FALSE())</f>
        <v/>
      </c>
      <c r="AD5" s="25">
        <f>$D5*VLOOKUP($C5,原料主数据!$A:$AL, 30, FALSE())</f>
        <v/>
      </c>
      <c r="AE5" s="25">
        <f>$D5*VLOOKUP($C5,原料主数据!$A:$AL, 31, FALSE())</f>
        <v/>
      </c>
      <c r="AF5" s="25">
        <f>$D5*VLOOKUP($C5,原料主数据!$A:$AL, 32, FALSE())</f>
        <v/>
      </c>
      <c r="AG5" s="25">
        <f>$D5*VLOOKUP($C5,原料主数据!$A:$AL, 33, FALSE())</f>
        <v/>
      </c>
      <c r="AH5" s="25">
        <f>$D5*VLOOKUP($C5,原料主数据!$A:$AL, 34, FALSE())</f>
        <v/>
      </c>
      <c r="AI5" s="25">
        <f>$D5*VLOOKUP($C5,原料主数据!$A:$AL, 35, FALSE())</f>
        <v/>
      </c>
      <c r="AJ5" s="25">
        <f>$D5*VLOOKUP($C5,原料主数据!$A:$AL, 36, FALSE())</f>
        <v/>
      </c>
      <c r="AK5" s="25">
        <f>$D5*VLOOKUP($C5,原料主数据!$A:$AL, 37, FALSE())</f>
        <v/>
      </c>
      <c r="AL5" s="25">
        <f>$D5*VLOOKUP($C5,原料主数据!$A:$AL, 38, FALSE())</f>
        <v/>
      </c>
    </row>
    <row r="6" ht="15" customHeight="1" s="15">
      <c r="A6" s="22" t="inlineStr">
        <is>
          <t>EP-0001</t>
        </is>
      </c>
      <c r="B6" s="23" t="inlineStr">
        <is>
          <t>环氧酚醛</t>
        </is>
      </c>
      <c r="C6" s="22" t="inlineStr">
        <is>
          <t>1510蜡</t>
        </is>
      </c>
      <c r="D6" s="22" t="n">
        <v>0.79</v>
      </c>
      <c r="E6" s="22">
        <f>VLOOKUP($C6,原料主数据!$A:$E,4,FALSE())</f>
        <v/>
      </c>
      <c r="F6" s="22">
        <f>VLOOKUP($C6,原料主数据!$A:$E,5,FALSE())</f>
        <v/>
      </c>
      <c r="G6" s="22">
        <f>$D6*VLOOKUP($C6,原料主数据!$A:$AL, 7, FALSE())</f>
        <v/>
      </c>
      <c r="H6" s="22">
        <f>$D6*VLOOKUP($C6,原料主数据!$A:$AL, 8, FALSE())</f>
        <v/>
      </c>
      <c r="I6" s="22">
        <f>$D6*VLOOKUP($C6,原料主数据!$A:$AL, 9, FALSE())</f>
        <v/>
      </c>
      <c r="J6" s="22">
        <f>$D6*VLOOKUP($C6,原料主数据!$A:$AL, 10, FALSE())</f>
        <v/>
      </c>
      <c r="K6" s="22">
        <f>$D6*VLOOKUP($C6,原料主数据!$A:$AL, 11, FALSE())</f>
        <v/>
      </c>
      <c r="L6" s="22">
        <f>$D6*VLOOKUP($C6,原料主数据!$A:$AL, 12, FALSE())</f>
        <v/>
      </c>
      <c r="M6" s="22">
        <f>$D6*VLOOKUP($C6,原料主数据!$A:$AL, 13, FALSE())</f>
        <v/>
      </c>
      <c r="N6" s="22">
        <f>$D6*VLOOKUP($C6,原料主数据!$A:$AL, 14, FALSE())</f>
        <v/>
      </c>
      <c r="O6" s="22">
        <f>$D6*VLOOKUP($C6,原料主数据!$A:$AL, 15, FALSE())</f>
        <v/>
      </c>
      <c r="P6" s="22">
        <f>$D6*VLOOKUP($C6,原料主数据!$A:$AL, 16, FALSE())</f>
        <v/>
      </c>
      <c r="Q6" s="22">
        <f>$D6*VLOOKUP($C6,原料主数据!$A:$AL, 17, FALSE())</f>
        <v/>
      </c>
      <c r="R6" s="22">
        <f>$D6*VLOOKUP($C6,原料主数据!$A:$AL, 18, FALSE())</f>
        <v/>
      </c>
      <c r="S6" s="22">
        <f>$D6*VLOOKUP($C6,原料主数据!$A:$AL, 19, FALSE())</f>
        <v/>
      </c>
      <c r="T6" s="22">
        <f>$D6*VLOOKUP($C6,原料主数据!$A:$AL, 20, FALSE())</f>
        <v/>
      </c>
      <c r="U6" s="22">
        <f>$D6*VLOOKUP($C6,原料主数据!$A:$AL, 21, FALSE())</f>
        <v/>
      </c>
      <c r="V6" s="22">
        <f>$D6*VLOOKUP($C6,原料主数据!$A:$AL, 22, FALSE())</f>
        <v/>
      </c>
      <c r="W6" s="22">
        <f>$D6*VLOOKUP($C6,原料主数据!$A:$AL, 23, FALSE())</f>
        <v/>
      </c>
      <c r="X6" s="22">
        <f>$D6*VLOOKUP($C6,原料主数据!$A:$AL, 24, FALSE())</f>
        <v/>
      </c>
      <c r="Y6" s="22">
        <f>$D6*VLOOKUP($C6,原料主数据!$A:$AL, 25, FALSE())</f>
        <v/>
      </c>
      <c r="Z6" s="22">
        <f>$D6*VLOOKUP($C6,原料主数据!$A:$AL, 26, FALSE())</f>
        <v/>
      </c>
      <c r="AA6" s="22">
        <f>$D6*VLOOKUP($C6,原料主数据!$A:$AL, 27, FALSE())</f>
        <v/>
      </c>
      <c r="AB6" s="22">
        <f>$D6*VLOOKUP($C6,原料主数据!$A:$AL, 28, FALSE())</f>
        <v/>
      </c>
      <c r="AC6" s="22">
        <f>$D6*VLOOKUP($C6,原料主数据!$A:$AL, 29, FALSE())</f>
        <v/>
      </c>
      <c r="AD6" s="22">
        <f>$D6*VLOOKUP($C6,原料主数据!$A:$AL, 30, FALSE())</f>
        <v/>
      </c>
      <c r="AE6" s="22">
        <f>$D6*VLOOKUP($C6,原料主数据!$A:$AL, 31, FALSE())</f>
        <v/>
      </c>
      <c r="AF6" s="22">
        <f>$D6*VLOOKUP($C6,原料主数据!$A:$AL, 32, FALSE())</f>
        <v/>
      </c>
      <c r="AG6" s="22">
        <f>$D6*VLOOKUP($C6,原料主数据!$A:$AL, 33, FALSE())</f>
        <v/>
      </c>
      <c r="AH6" s="22">
        <f>$D6*VLOOKUP($C6,原料主数据!$A:$AL, 34, FALSE())</f>
        <v/>
      </c>
      <c r="AI6" s="22">
        <f>$D6*VLOOKUP($C6,原料主数据!$A:$AL, 35, FALSE())</f>
        <v/>
      </c>
      <c r="AJ6" s="22">
        <f>$D6*VLOOKUP($C6,原料主数据!$A:$AL, 36, FALSE())</f>
        <v/>
      </c>
      <c r="AK6" s="22">
        <f>$D6*VLOOKUP($C6,原料主数据!$A:$AL, 37, FALSE())</f>
        <v/>
      </c>
      <c r="AL6" s="22">
        <f>$D6*VLOOKUP($C6,原料主数据!$A:$AL, 38, FALSE())</f>
        <v/>
      </c>
    </row>
    <row r="7" ht="15" customHeight="1" s="15">
      <c r="A7" s="25" t="inlineStr">
        <is>
          <t>EP-0001</t>
        </is>
      </c>
      <c r="B7" s="26" t="inlineStr">
        <is>
          <t>环氧酚醛</t>
        </is>
      </c>
      <c r="C7" s="25" t="inlineStr">
        <is>
          <t>AZ088</t>
        </is>
      </c>
      <c r="D7" s="25" t="n">
        <v>0.06</v>
      </c>
      <c r="E7" s="25">
        <f>VLOOKUP($C7,原料主数据!$A:$E,4,FALSE())</f>
        <v/>
      </c>
      <c r="F7" s="25">
        <f>VLOOKUP($C7,原料主数据!$A:$E,5,FALSE())</f>
        <v/>
      </c>
      <c r="G7" s="25">
        <f>$D7*VLOOKUP($C7,原料主数据!$A:$AL, 7, FALSE())</f>
        <v/>
      </c>
      <c r="H7" s="25">
        <f>$D7*VLOOKUP($C7,原料主数据!$A:$AL, 8, FALSE())</f>
        <v/>
      </c>
      <c r="I7" s="25">
        <f>$D7*VLOOKUP($C7,原料主数据!$A:$AL, 9, FALSE())</f>
        <v/>
      </c>
      <c r="J7" s="25">
        <f>$D7*VLOOKUP($C7,原料主数据!$A:$AL, 10, FALSE())</f>
        <v/>
      </c>
      <c r="K7" s="25">
        <f>$D7*VLOOKUP($C7,原料主数据!$A:$AL, 11, FALSE())</f>
        <v/>
      </c>
      <c r="L7" s="25">
        <f>$D7*VLOOKUP($C7,原料主数据!$A:$AL, 12, FALSE())</f>
        <v/>
      </c>
      <c r="M7" s="25">
        <f>$D7*VLOOKUP($C7,原料主数据!$A:$AL, 13, FALSE())</f>
        <v/>
      </c>
      <c r="N7" s="25">
        <f>$D7*VLOOKUP($C7,原料主数据!$A:$AL, 14, FALSE())</f>
        <v/>
      </c>
      <c r="O7" s="25">
        <f>$D7*VLOOKUP($C7,原料主数据!$A:$AL, 15, FALSE())</f>
        <v/>
      </c>
      <c r="P7" s="25">
        <f>$D7*VLOOKUP($C7,原料主数据!$A:$AL, 16, FALSE())</f>
        <v/>
      </c>
      <c r="Q7" s="25">
        <f>$D7*VLOOKUP($C7,原料主数据!$A:$AL, 17, FALSE())</f>
        <v/>
      </c>
      <c r="R7" s="25">
        <f>$D7*VLOOKUP($C7,原料主数据!$A:$AL, 18, FALSE())</f>
        <v/>
      </c>
      <c r="S7" s="25">
        <f>$D7*VLOOKUP($C7,原料主数据!$A:$AL, 19, FALSE())</f>
        <v/>
      </c>
      <c r="T7" s="25">
        <f>$D7*VLOOKUP($C7,原料主数据!$A:$AL, 20, FALSE())</f>
        <v/>
      </c>
      <c r="U7" s="25">
        <f>$D7*VLOOKUP($C7,原料主数据!$A:$AL, 21, FALSE())</f>
        <v/>
      </c>
      <c r="V7" s="25">
        <f>$D7*VLOOKUP($C7,原料主数据!$A:$AL, 22, FALSE())</f>
        <v/>
      </c>
      <c r="W7" s="25">
        <f>$D7*VLOOKUP($C7,原料主数据!$A:$AL, 23, FALSE())</f>
        <v/>
      </c>
      <c r="X7" s="25">
        <f>$D7*VLOOKUP($C7,原料主数据!$A:$AL, 24, FALSE())</f>
        <v/>
      </c>
      <c r="Y7" s="25">
        <f>$D7*VLOOKUP($C7,原料主数据!$A:$AL, 25, FALSE())</f>
        <v/>
      </c>
      <c r="Z7" s="25">
        <f>$D7*VLOOKUP($C7,原料主数据!$A:$AL, 26, FALSE())</f>
        <v/>
      </c>
      <c r="AA7" s="25">
        <f>$D7*VLOOKUP($C7,原料主数据!$A:$AL, 27, FALSE())</f>
        <v/>
      </c>
      <c r="AB7" s="25">
        <f>$D7*VLOOKUP($C7,原料主数据!$A:$AL, 28, FALSE())</f>
        <v/>
      </c>
      <c r="AC7" s="25">
        <f>$D7*VLOOKUP($C7,原料主数据!$A:$AL, 29, FALSE())</f>
        <v/>
      </c>
      <c r="AD7" s="25">
        <f>$D7*VLOOKUP($C7,原料主数据!$A:$AL, 30, FALSE())</f>
        <v/>
      </c>
      <c r="AE7" s="25">
        <f>$D7*VLOOKUP($C7,原料主数据!$A:$AL, 31, FALSE())</f>
        <v/>
      </c>
      <c r="AF7" s="25">
        <f>$D7*VLOOKUP($C7,原料主数据!$A:$AL, 32, FALSE())</f>
        <v/>
      </c>
      <c r="AG7" s="25">
        <f>$D7*VLOOKUP($C7,原料主数据!$A:$AL, 33, FALSE())</f>
        <v/>
      </c>
      <c r="AH7" s="25">
        <f>$D7*VLOOKUP($C7,原料主数据!$A:$AL, 34, FALSE())</f>
        <v/>
      </c>
      <c r="AI7" s="25">
        <f>$D7*VLOOKUP($C7,原料主数据!$A:$AL, 35, FALSE())</f>
        <v/>
      </c>
      <c r="AJ7" s="25">
        <f>$D7*VLOOKUP($C7,原料主数据!$A:$AL, 36, FALSE())</f>
        <v/>
      </c>
      <c r="AK7" s="25">
        <f>$D7*VLOOKUP($C7,原料主数据!$A:$AL, 37, FALSE())</f>
        <v/>
      </c>
      <c r="AL7" s="25">
        <f>$D7*VLOOKUP($C7,原料主数据!$A:$AL, 38, FALSE())</f>
        <v/>
      </c>
    </row>
    <row r="8" ht="15" customHeight="1" s="15">
      <c r="A8" s="22" t="inlineStr">
        <is>
          <t>EP-0001</t>
        </is>
      </c>
      <c r="B8" s="23" t="inlineStr">
        <is>
          <t>环氧酚醛</t>
        </is>
      </c>
      <c r="C8" s="23" t="inlineStr">
        <is>
          <t>正丁醇</t>
        </is>
      </c>
      <c r="D8" s="22" t="n">
        <v>1.48</v>
      </c>
      <c r="E8" s="22">
        <f>VLOOKUP($C8,原料主数据!$A:$E,4,FALSE())</f>
        <v/>
      </c>
      <c r="F8" s="22">
        <f>VLOOKUP($C8,原料主数据!$A:$E,5,FALSE())</f>
        <v/>
      </c>
      <c r="G8" s="22">
        <f>$D8*VLOOKUP($C8,原料主数据!$A:$AL, 7, FALSE())</f>
        <v/>
      </c>
      <c r="H8" s="22">
        <f>$D8*VLOOKUP($C8,原料主数据!$A:$AL, 8, FALSE())</f>
        <v/>
      </c>
      <c r="I8" s="22">
        <f>$D8*VLOOKUP($C8,原料主数据!$A:$AL, 9, FALSE())</f>
        <v/>
      </c>
      <c r="J8" s="22">
        <f>$D8*VLOOKUP($C8,原料主数据!$A:$AL, 10, FALSE())</f>
        <v/>
      </c>
      <c r="K8" s="22">
        <f>$D8*VLOOKUP($C8,原料主数据!$A:$AL, 11, FALSE())</f>
        <v/>
      </c>
      <c r="L8" s="22">
        <f>$D8*VLOOKUP($C8,原料主数据!$A:$AL, 12, FALSE())</f>
        <v/>
      </c>
      <c r="M8" s="22">
        <f>$D8*VLOOKUP($C8,原料主数据!$A:$AL, 13, FALSE())</f>
        <v/>
      </c>
      <c r="N8" s="22">
        <f>$D8*VLOOKUP($C8,原料主数据!$A:$AL, 14, FALSE())</f>
        <v/>
      </c>
      <c r="O8" s="22">
        <f>$D8*VLOOKUP($C8,原料主数据!$A:$AL, 15, FALSE())</f>
        <v/>
      </c>
      <c r="P8" s="22">
        <f>$D8*VLOOKUP($C8,原料主数据!$A:$AL, 16, FALSE())</f>
        <v/>
      </c>
      <c r="Q8" s="22">
        <f>$D8*VLOOKUP($C8,原料主数据!$A:$AL, 17, FALSE())</f>
        <v/>
      </c>
      <c r="R8" s="22">
        <f>$D8*VLOOKUP($C8,原料主数据!$A:$AL, 18, FALSE())</f>
        <v/>
      </c>
      <c r="S8" s="22">
        <f>$D8*VLOOKUP($C8,原料主数据!$A:$AL, 19, FALSE())</f>
        <v/>
      </c>
      <c r="T8" s="22">
        <f>$D8*VLOOKUP($C8,原料主数据!$A:$AL, 20, FALSE())</f>
        <v/>
      </c>
      <c r="U8" s="22">
        <f>$D8*VLOOKUP($C8,原料主数据!$A:$AL, 21, FALSE())</f>
        <v/>
      </c>
      <c r="V8" s="22">
        <f>$D8*VLOOKUP($C8,原料主数据!$A:$AL, 22, FALSE())</f>
        <v/>
      </c>
      <c r="W8" s="22">
        <f>$D8*VLOOKUP($C8,原料主数据!$A:$AL, 23, FALSE())</f>
        <v/>
      </c>
      <c r="X8" s="22">
        <f>$D8*VLOOKUP($C8,原料主数据!$A:$AL, 24, FALSE())</f>
        <v/>
      </c>
      <c r="Y8" s="22">
        <f>$D8*VLOOKUP($C8,原料主数据!$A:$AL, 25, FALSE())</f>
        <v/>
      </c>
      <c r="Z8" s="22">
        <f>$D8*VLOOKUP($C8,原料主数据!$A:$AL, 26, FALSE())</f>
        <v/>
      </c>
      <c r="AA8" s="22">
        <f>$D8*VLOOKUP($C8,原料主数据!$A:$AL, 27, FALSE())</f>
        <v/>
      </c>
      <c r="AB8" s="22">
        <f>$D8*VLOOKUP($C8,原料主数据!$A:$AL, 28, FALSE())</f>
        <v/>
      </c>
      <c r="AC8" s="22">
        <f>$D8*VLOOKUP($C8,原料主数据!$A:$AL, 29, FALSE())</f>
        <v/>
      </c>
      <c r="AD8" s="22">
        <f>$D8*VLOOKUP($C8,原料主数据!$A:$AL, 30, FALSE())</f>
        <v/>
      </c>
      <c r="AE8" s="22">
        <f>$D8*VLOOKUP($C8,原料主数据!$A:$AL, 31, FALSE())</f>
        <v/>
      </c>
      <c r="AF8" s="22">
        <f>$D8*VLOOKUP($C8,原料主数据!$A:$AL, 32, FALSE())</f>
        <v/>
      </c>
      <c r="AG8" s="22">
        <f>$D8*VLOOKUP($C8,原料主数据!$A:$AL, 33, FALSE())</f>
        <v/>
      </c>
      <c r="AH8" s="22">
        <f>$D8*VLOOKUP($C8,原料主数据!$A:$AL, 34, FALSE())</f>
        <v/>
      </c>
      <c r="AI8" s="22">
        <f>$D8*VLOOKUP($C8,原料主数据!$A:$AL, 35, FALSE())</f>
        <v/>
      </c>
      <c r="AJ8" s="22">
        <f>$D8*VLOOKUP($C8,原料主数据!$A:$AL, 36, FALSE())</f>
        <v/>
      </c>
      <c r="AK8" s="22">
        <f>$D8*VLOOKUP($C8,原料主数据!$A:$AL, 37, FALSE())</f>
        <v/>
      </c>
      <c r="AL8" s="22">
        <f>$D8*VLOOKUP($C8,原料主数据!$A:$AL, 38, FALSE())</f>
        <v/>
      </c>
    </row>
    <row r="9" ht="15" customHeight="1" s="15">
      <c r="A9" s="25" t="inlineStr">
        <is>
          <t>EP-0001</t>
        </is>
      </c>
      <c r="B9" s="26" t="inlineStr">
        <is>
          <t>环氧酚醛</t>
        </is>
      </c>
      <c r="C9" s="26" t="inlineStr">
        <is>
          <t>补加混合液</t>
        </is>
      </c>
      <c r="D9" s="25" t="n">
        <v>1.27</v>
      </c>
      <c r="E9" s="25">
        <f>VLOOKUP($C9,原料主数据!$A:$E,4,FALSE())</f>
        <v/>
      </c>
      <c r="F9" s="25">
        <f>VLOOKUP($C9,原料主数据!$A:$E,5,FALSE())</f>
        <v/>
      </c>
      <c r="G9" s="25">
        <f>$D9*VLOOKUP($C9,原料主数据!$A:$AL, 7, FALSE())</f>
        <v/>
      </c>
      <c r="H9" s="25">
        <f>$D9*VLOOKUP($C9,原料主数据!$A:$AL, 8, FALSE())</f>
        <v/>
      </c>
      <c r="I9" s="25">
        <f>$D9*VLOOKUP($C9,原料主数据!$A:$AL, 9, FALSE())</f>
        <v/>
      </c>
      <c r="J9" s="25">
        <f>$D9*VLOOKUP($C9,原料主数据!$A:$AL, 10, FALSE())</f>
        <v/>
      </c>
      <c r="K9" s="25">
        <f>$D9*VLOOKUP($C9,原料主数据!$A:$AL, 11, FALSE())</f>
        <v/>
      </c>
      <c r="L9" s="25">
        <f>$D9*VLOOKUP($C9,原料主数据!$A:$AL, 12, FALSE())</f>
        <v/>
      </c>
      <c r="M9" s="25">
        <f>$D9*VLOOKUP($C9,原料主数据!$A:$AL, 13, FALSE())</f>
        <v/>
      </c>
      <c r="N9" s="25">
        <f>$D9*VLOOKUP($C9,原料主数据!$A:$AL, 14, FALSE())</f>
        <v/>
      </c>
      <c r="O9" s="25">
        <f>$D9*VLOOKUP($C9,原料主数据!$A:$AL, 15, FALSE())</f>
        <v/>
      </c>
      <c r="P9" s="25">
        <f>$D9*VLOOKUP($C9,原料主数据!$A:$AL, 16, FALSE())</f>
        <v/>
      </c>
      <c r="Q9" s="25">
        <f>$D9*VLOOKUP($C9,原料主数据!$A:$AL, 17, FALSE())</f>
        <v/>
      </c>
      <c r="R9" s="25">
        <f>$D9*VLOOKUP($C9,原料主数据!$A:$AL, 18, FALSE())</f>
        <v/>
      </c>
      <c r="S9" s="25">
        <f>$D9*VLOOKUP($C9,原料主数据!$A:$AL, 19, FALSE())</f>
        <v/>
      </c>
      <c r="T9" s="25">
        <f>$D9*VLOOKUP($C9,原料主数据!$A:$AL, 20, FALSE())</f>
        <v/>
      </c>
      <c r="U9" s="25">
        <f>$D9*VLOOKUP($C9,原料主数据!$A:$AL, 21, FALSE())</f>
        <v/>
      </c>
      <c r="V9" s="25">
        <f>$D9*VLOOKUP($C9,原料主数据!$A:$AL, 22, FALSE())</f>
        <v/>
      </c>
      <c r="W9" s="25">
        <f>$D9*VLOOKUP($C9,原料主数据!$A:$AL, 23, FALSE())</f>
        <v/>
      </c>
      <c r="X9" s="25">
        <f>$D9*VLOOKUP($C9,原料主数据!$A:$AL, 24, FALSE())</f>
        <v/>
      </c>
      <c r="Y9" s="25">
        <f>$D9*VLOOKUP($C9,原料主数据!$A:$AL, 25, FALSE())</f>
        <v/>
      </c>
      <c r="Z9" s="25">
        <f>$D9*VLOOKUP($C9,原料主数据!$A:$AL, 26, FALSE())</f>
        <v/>
      </c>
      <c r="AA9" s="25">
        <f>$D9*VLOOKUP($C9,原料主数据!$A:$AL, 27, FALSE())</f>
        <v/>
      </c>
      <c r="AB9" s="25">
        <f>$D9*VLOOKUP($C9,原料主数据!$A:$AL, 28, FALSE())</f>
        <v/>
      </c>
      <c r="AC9" s="25">
        <f>$D9*VLOOKUP($C9,原料主数据!$A:$AL, 29, FALSE())</f>
        <v/>
      </c>
      <c r="AD9" s="25">
        <f>$D9*VLOOKUP($C9,原料主数据!$A:$AL, 30, FALSE())</f>
        <v/>
      </c>
      <c r="AE9" s="25">
        <f>$D9*VLOOKUP($C9,原料主数据!$A:$AL, 31, FALSE())</f>
        <v/>
      </c>
      <c r="AF9" s="25">
        <f>$D9*VLOOKUP($C9,原料主数据!$A:$AL, 32, FALSE())</f>
        <v/>
      </c>
      <c r="AG9" s="25">
        <f>$D9*VLOOKUP($C9,原料主数据!$A:$AL, 33, FALSE())</f>
        <v/>
      </c>
      <c r="AH9" s="25">
        <f>$D9*VLOOKUP($C9,原料主数据!$A:$AL, 34, FALSE())</f>
        <v/>
      </c>
      <c r="AI9" s="25">
        <f>$D9*VLOOKUP($C9,原料主数据!$A:$AL, 35, FALSE())</f>
        <v/>
      </c>
      <c r="AJ9" s="25">
        <f>$D9*VLOOKUP($C9,原料主数据!$A:$AL, 36, FALSE())</f>
        <v/>
      </c>
      <c r="AK9" s="25">
        <f>$D9*VLOOKUP($C9,原料主数据!$A:$AL, 37, FALSE())</f>
        <v/>
      </c>
      <c r="AL9" s="25">
        <f>$D9*VLOOKUP($C9,原料主数据!$A:$AL, 38, FALSE())</f>
        <v/>
      </c>
    </row>
    <row r="10" ht="15" customHeight="1" s="15">
      <c r="A10" s="22" t="inlineStr">
        <is>
          <t>EP-0002</t>
        </is>
      </c>
      <c r="B10" s="23" t="inlineStr">
        <is>
          <t>环氧酚醛</t>
        </is>
      </c>
      <c r="C10" s="22" t="inlineStr">
        <is>
          <t>IR190</t>
        </is>
      </c>
      <c r="D10" s="22" t="n">
        <v>66.09</v>
      </c>
      <c r="E10" s="22">
        <f>VLOOKUP($C10,原料主数据!$A:$E,4,FALSE())</f>
        <v/>
      </c>
      <c r="F10" s="22">
        <f>VLOOKUP($C10,原料主数据!$A:$E,5,FALSE())</f>
        <v/>
      </c>
      <c r="G10" s="22">
        <f>$D10*VLOOKUP($C10,原料主数据!$A:$AL, 7, FALSE())</f>
        <v/>
      </c>
      <c r="H10" s="22">
        <f>$D10*VLOOKUP($C10,原料主数据!$A:$AL, 8, FALSE())</f>
        <v/>
      </c>
      <c r="I10" s="22">
        <f>$D10*VLOOKUP($C10,原料主数据!$A:$AL, 9, FALSE())</f>
        <v/>
      </c>
      <c r="J10" s="22">
        <f>$D10*VLOOKUP($C10,原料主数据!$A:$AL, 10, FALSE())</f>
        <v/>
      </c>
      <c r="K10" s="22">
        <f>$D10*VLOOKUP($C10,原料主数据!$A:$AL, 11, FALSE())</f>
        <v/>
      </c>
      <c r="L10" s="22">
        <f>$D10*VLOOKUP($C10,原料主数据!$A:$AL, 12, FALSE())</f>
        <v/>
      </c>
      <c r="M10" s="22">
        <f>$D10*VLOOKUP($C10,原料主数据!$A:$AL, 13, FALSE())</f>
        <v/>
      </c>
      <c r="N10" s="22">
        <f>$D10*VLOOKUP($C10,原料主数据!$A:$AL, 14, FALSE())</f>
        <v/>
      </c>
      <c r="O10" s="22">
        <f>$D10*VLOOKUP($C10,原料主数据!$A:$AL, 15, FALSE())</f>
        <v/>
      </c>
      <c r="P10" s="22">
        <f>$D10*VLOOKUP($C10,原料主数据!$A:$AL, 16, FALSE())</f>
        <v/>
      </c>
      <c r="Q10" s="22">
        <f>$D10*VLOOKUP($C10,原料主数据!$A:$AL, 17, FALSE())</f>
        <v/>
      </c>
      <c r="R10" s="22">
        <f>$D10*VLOOKUP($C10,原料主数据!$A:$AL, 18, FALSE())</f>
        <v/>
      </c>
      <c r="S10" s="22">
        <f>$D10*VLOOKUP($C10,原料主数据!$A:$AL, 19, FALSE())</f>
        <v/>
      </c>
      <c r="T10" s="22">
        <f>$D10*VLOOKUP($C10,原料主数据!$A:$AL, 20, FALSE())</f>
        <v/>
      </c>
      <c r="U10" s="22">
        <f>$D10*VLOOKUP($C10,原料主数据!$A:$AL, 21, FALSE())</f>
        <v/>
      </c>
      <c r="V10" s="22">
        <f>$D10*VLOOKUP($C10,原料主数据!$A:$AL, 22, FALSE())</f>
        <v/>
      </c>
      <c r="W10" s="22">
        <f>$D10*VLOOKUP($C10,原料主数据!$A:$AL, 23, FALSE())</f>
        <v/>
      </c>
      <c r="X10" s="22">
        <f>$D10*VLOOKUP($C10,原料主数据!$A:$AL, 24, FALSE())</f>
        <v/>
      </c>
      <c r="Y10" s="22">
        <f>$D10*VLOOKUP($C10,原料主数据!$A:$AL, 25, FALSE())</f>
        <v/>
      </c>
      <c r="Z10" s="22">
        <f>$D10*VLOOKUP($C10,原料主数据!$A:$AL, 26, FALSE())</f>
        <v/>
      </c>
      <c r="AA10" s="22">
        <f>$D10*VLOOKUP($C10,原料主数据!$A:$AL, 27, FALSE())</f>
        <v/>
      </c>
      <c r="AB10" s="22">
        <f>$D10*VLOOKUP($C10,原料主数据!$A:$AL, 28, FALSE())</f>
        <v/>
      </c>
      <c r="AC10" s="22">
        <f>$D10*VLOOKUP($C10,原料主数据!$A:$AL, 29, FALSE())</f>
        <v/>
      </c>
      <c r="AD10" s="22">
        <f>$D10*VLOOKUP($C10,原料主数据!$A:$AL, 30, FALSE())</f>
        <v/>
      </c>
      <c r="AE10" s="22">
        <f>$D10*VLOOKUP($C10,原料主数据!$A:$AL, 31, FALSE())</f>
        <v/>
      </c>
      <c r="AF10" s="22">
        <f>$D10*VLOOKUP($C10,原料主数据!$A:$AL, 32, FALSE())</f>
        <v/>
      </c>
      <c r="AG10" s="22">
        <f>$D10*VLOOKUP($C10,原料主数据!$A:$AL, 33, FALSE())</f>
        <v/>
      </c>
      <c r="AH10" s="22">
        <f>$D10*VLOOKUP($C10,原料主数据!$A:$AL, 34, FALSE())</f>
        <v/>
      </c>
      <c r="AI10" s="22">
        <f>$D10*VLOOKUP($C10,原料主数据!$A:$AL, 35, FALSE())</f>
        <v/>
      </c>
      <c r="AJ10" s="22">
        <f>$D10*VLOOKUP($C10,原料主数据!$A:$AL, 36, FALSE())</f>
        <v/>
      </c>
      <c r="AK10" s="22">
        <f>$D10*VLOOKUP($C10,原料主数据!$A:$AL, 37, FALSE())</f>
        <v/>
      </c>
      <c r="AL10" s="22">
        <f>$D10*VLOOKUP($C10,原料主数据!$A:$AL, 38, FALSE())</f>
        <v/>
      </c>
    </row>
    <row r="11" ht="15" customHeight="1" s="15">
      <c r="A11" s="25" t="inlineStr">
        <is>
          <t>EP-0002</t>
        </is>
      </c>
      <c r="B11" s="26" t="inlineStr">
        <is>
          <t>环氧酚醛</t>
        </is>
      </c>
      <c r="C11" s="25" t="inlineStr">
        <is>
          <t>RF401</t>
        </is>
      </c>
      <c r="D11" s="25" t="n">
        <v>0.96</v>
      </c>
      <c r="E11" s="25">
        <f>VLOOKUP($C11,原料主数据!$A:$E,4,FALSE())</f>
        <v/>
      </c>
      <c r="F11" s="25">
        <f>VLOOKUP($C11,原料主数据!$A:$E,5,FALSE())</f>
        <v/>
      </c>
      <c r="G11" s="25">
        <f>$D11*VLOOKUP($C11,原料主数据!$A:$AL, 7, FALSE())</f>
        <v/>
      </c>
      <c r="H11" s="25">
        <f>$D11*VLOOKUP($C11,原料主数据!$A:$AL, 8, FALSE())</f>
        <v/>
      </c>
      <c r="I11" s="25">
        <f>$D11*VLOOKUP($C11,原料主数据!$A:$AL, 9, FALSE())</f>
        <v/>
      </c>
      <c r="J11" s="25">
        <f>$D11*VLOOKUP($C11,原料主数据!$A:$AL, 10, FALSE())</f>
        <v/>
      </c>
      <c r="K11" s="25">
        <f>$D11*VLOOKUP($C11,原料主数据!$A:$AL, 11, FALSE())</f>
        <v/>
      </c>
      <c r="L11" s="25">
        <f>$D11*VLOOKUP($C11,原料主数据!$A:$AL, 12, FALSE())</f>
        <v/>
      </c>
      <c r="M11" s="25">
        <f>$D11*VLOOKUP($C11,原料主数据!$A:$AL, 13, FALSE())</f>
        <v/>
      </c>
      <c r="N11" s="25">
        <f>$D11*VLOOKUP($C11,原料主数据!$A:$AL, 14, FALSE())</f>
        <v/>
      </c>
      <c r="O11" s="25">
        <f>$D11*VLOOKUP($C11,原料主数据!$A:$AL, 15, FALSE())</f>
        <v/>
      </c>
      <c r="P11" s="25">
        <f>$D11*VLOOKUP($C11,原料主数据!$A:$AL, 16, FALSE())</f>
        <v/>
      </c>
      <c r="Q11" s="25">
        <f>$D11*VLOOKUP($C11,原料主数据!$A:$AL, 17, FALSE())</f>
        <v/>
      </c>
      <c r="R11" s="25">
        <f>$D11*VLOOKUP($C11,原料主数据!$A:$AL, 18, FALSE())</f>
        <v/>
      </c>
      <c r="S11" s="25">
        <f>$D11*VLOOKUP($C11,原料主数据!$A:$AL, 19, FALSE())</f>
        <v/>
      </c>
      <c r="T11" s="25">
        <f>$D11*VLOOKUP($C11,原料主数据!$A:$AL, 20, FALSE())</f>
        <v/>
      </c>
      <c r="U11" s="25">
        <f>$D11*VLOOKUP($C11,原料主数据!$A:$AL, 21, FALSE())</f>
        <v/>
      </c>
      <c r="V11" s="25">
        <f>$D11*VLOOKUP($C11,原料主数据!$A:$AL, 22, FALSE())</f>
        <v/>
      </c>
      <c r="W11" s="25">
        <f>$D11*VLOOKUP($C11,原料主数据!$A:$AL, 23, FALSE())</f>
        <v/>
      </c>
      <c r="X11" s="25">
        <f>$D11*VLOOKUP($C11,原料主数据!$A:$AL, 24, FALSE())</f>
        <v/>
      </c>
      <c r="Y11" s="25">
        <f>$D11*VLOOKUP($C11,原料主数据!$A:$AL, 25, FALSE())</f>
        <v/>
      </c>
      <c r="Z11" s="25">
        <f>$D11*VLOOKUP($C11,原料主数据!$A:$AL, 26, FALSE())</f>
        <v/>
      </c>
      <c r="AA11" s="25">
        <f>$D11*VLOOKUP($C11,原料主数据!$A:$AL, 27, FALSE())</f>
        <v/>
      </c>
      <c r="AB11" s="25">
        <f>$D11*VLOOKUP($C11,原料主数据!$A:$AL, 28, FALSE())</f>
        <v/>
      </c>
      <c r="AC11" s="25">
        <f>$D11*VLOOKUP($C11,原料主数据!$A:$AL, 29, FALSE())</f>
        <v/>
      </c>
      <c r="AD11" s="25">
        <f>$D11*VLOOKUP($C11,原料主数据!$A:$AL, 30, FALSE())</f>
        <v/>
      </c>
      <c r="AE11" s="25">
        <f>$D11*VLOOKUP($C11,原料主数据!$A:$AL, 31, FALSE())</f>
        <v/>
      </c>
      <c r="AF11" s="25">
        <f>$D11*VLOOKUP($C11,原料主数据!$A:$AL, 32, FALSE())</f>
        <v/>
      </c>
      <c r="AG11" s="25">
        <f>$D11*VLOOKUP($C11,原料主数据!$A:$AL, 33, FALSE())</f>
        <v/>
      </c>
      <c r="AH11" s="25">
        <f>$D11*VLOOKUP($C11,原料主数据!$A:$AL, 34, FALSE())</f>
        <v/>
      </c>
      <c r="AI11" s="25">
        <f>$D11*VLOOKUP($C11,原料主数据!$A:$AL, 35, FALSE())</f>
        <v/>
      </c>
      <c r="AJ11" s="25">
        <f>$D11*VLOOKUP($C11,原料主数据!$A:$AL, 36, FALSE())</f>
        <v/>
      </c>
      <c r="AK11" s="25">
        <f>$D11*VLOOKUP($C11,原料主数据!$A:$AL, 37, FALSE())</f>
        <v/>
      </c>
      <c r="AL11" s="25">
        <f>$D11*VLOOKUP($C11,原料主数据!$A:$AL, 38, FALSE())</f>
        <v/>
      </c>
    </row>
    <row r="12" ht="15" customHeight="1" s="15">
      <c r="A12" s="22" t="inlineStr">
        <is>
          <t>EP-0002</t>
        </is>
      </c>
      <c r="B12" s="23" t="inlineStr">
        <is>
          <t>环氧酚醛</t>
        </is>
      </c>
      <c r="C12" s="22" t="inlineStr">
        <is>
          <t>RF516</t>
        </is>
      </c>
      <c r="D12" s="22" t="n">
        <v>0.48</v>
      </c>
      <c r="E12" s="22">
        <f>VLOOKUP($C12,原料主数据!$A:$E,4,FALSE())</f>
        <v/>
      </c>
      <c r="F12" s="22">
        <f>VLOOKUP($C12,原料主数据!$A:$E,5,FALSE())</f>
        <v/>
      </c>
      <c r="G12" s="22">
        <f>$D12*VLOOKUP($C12,原料主数据!$A:$AL, 7, FALSE())</f>
        <v/>
      </c>
      <c r="H12" s="22">
        <f>$D12*VLOOKUP($C12,原料主数据!$A:$AL, 8, FALSE())</f>
        <v/>
      </c>
      <c r="I12" s="22">
        <f>$D12*VLOOKUP($C12,原料主数据!$A:$AL, 9, FALSE())</f>
        <v/>
      </c>
      <c r="J12" s="22">
        <f>$D12*VLOOKUP($C12,原料主数据!$A:$AL, 10, FALSE())</f>
        <v/>
      </c>
      <c r="K12" s="22">
        <f>$D12*VLOOKUP($C12,原料主数据!$A:$AL, 11, FALSE())</f>
        <v/>
      </c>
      <c r="L12" s="22">
        <f>$D12*VLOOKUP($C12,原料主数据!$A:$AL, 12, FALSE())</f>
        <v/>
      </c>
      <c r="M12" s="22">
        <f>$D12*VLOOKUP($C12,原料主数据!$A:$AL, 13, FALSE())</f>
        <v/>
      </c>
      <c r="N12" s="22">
        <f>$D12*VLOOKUP($C12,原料主数据!$A:$AL, 14, FALSE())</f>
        <v/>
      </c>
      <c r="O12" s="22">
        <f>$D12*VLOOKUP($C12,原料主数据!$A:$AL, 15, FALSE())</f>
        <v/>
      </c>
      <c r="P12" s="22">
        <f>$D12*VLOOKUP($C12,原料主数据!$A:$AL, 16, FALSE())</f>
        <v/>
      </c>
      <c r="Q12" s="22">
        <f>$D12*VLOOKUP($C12,原料主数据!$A:$AL, 17, FALSE())</f>
        <v/>
      </c>
      <c r="R12" s="22">
        <f>$D12*VLOOKUP($C12,原料主数据!$A:$AL, 18, FALSE())</f>
        <v/>
      </c>
      <c r="S12" s="22">
        <f>$D12*VLOOKUP($C12,原料主数据!$A:$AL, 19, FALSE())</f>
        <v/>
      </c>
      <c r="T12" s="22">
        <f>$D12*VLOOKUP($C12,原料主数据!$A:$AL, 20, FALSE())</f>
        <v/>
      </c>
      <c r="U12" s="22">
        <f>$D12*VLOOKUP($C12,原料主数据!$A:$AL, 21, FALSE())</f>
        <v/>
      </c>
      <c r="V12" s="22">
        <f>$D12*VLOOKUP($C12,原料主数据!$A:$AL, 22, FALSE())</f>
        <v/>
      </c>
      <c r="W12" s="22">
        <f>$D12*VLOOKUP($C12,原料主数据!$A:$AL, 23, FALSE())</f>
        <v/>
      </c>
      <c r="X12" s="22">
        <f>$D12*VLOOKUP($C12,原料主数据!$A:$AL, 24, FALSE())</f>
        <v/>
      </c>
      <c r="Y12" s="22">
        <f>$D12*VLOOKUP($C12,原料主数据!$A:$AL, 25, FALSE())</f>
        <v/>
      </c>
      <c r="Z12" s="22">
        <f>$D12*VLOOKUP($C12,原料主数据!$A:$AL, 26, FALSE())</f>
        <v/>
      </c>
      <c r="AA12" s="22">
        <f>$D12*VLOOKUP($C12,原料主数据!$A:$AL, 27, FALSE())</f>
        <v/>
      </c>
      <c r="AB12" s="22">
        <f>$D12*VLOOKUP($C12,原料主数据!$A:$AL, 28, FALSE())</f>
        <v/>
      </c>
      <c r="AC12" s="22">
        <f>$D12*VLOOKUP($C12,原料主数据!$A:$AL, 29, FALSE())</f>
        <v/>
      </c>
      <c r="AD12" s="22">
        <f>$D12*VLOOKUP($C12,原料主数据!$A:$AL, 30, FALSE())</f>
        <v/>
      </c>
      <c r="AE12" s="22">
        <f>$D12*VLOOKUP($C12,原料主数据!$A:$AL, 31, FALSE())</f>
        <v/>
      </c>
      <c r="AF12" s="22">
        <f>$D12*VLOOKUP($C12,原料主数据!$A:$AL, 32, FALSE())</f>
        <v/>
      </c>
      <c r="AG12" s="22">
        <f>$D12*VLOOKUP($C12,原料主数据!$A:$AL, 33, FALSE())</f>
        <v/>
      </c>
      <c r="AH12" s="22">
        <f>$D12*VLOOKUP($C12,原料主数据!$A:$AL, 34, FALSE())</f>
        <v/>
      </c>
      <c r="AI12" s="22">
        <f>$D12*VLOOKUP($C12,原料主数据!$A:$AL, 35, FALSE())</f>
        <v/>
      </c>
      <c r="AJ12" s="22">
        <f>$D12*VLOOKUP($C12,原料主数据!$A:$AL, 36, FALSE())</f>
        <v/>
      </c>
      <c r="AK12" s="22">
        <f>$D12*VLOOKUP($C12,原料主数据!$A:$AL, 37, FALSE())</f>
        <v/>
      </c>
      <c r="AL12" s="22">
        <f>$D12*VLOOKUP($C12,原料主数据!$A:$AL, 38, FALSE())</f>
        <v/>
      </c>
    </row>
    <row r="13" ht="15" customHeight="1" s="15">
      <c r="A13" s="25" t="inlineStr">
        <is>
          <t>EP-0002</t>
        </is>
      </c>
      <c r="B13" s="26" t="inlineStr">
        <is>
          <t>环氧酚醛</t>
        </is>
      </c>
      <c r="C13" s="25" t="inlineStr">
        <is>
          <t>RF950</t>
        </is>
      </c>
      <c r="D13" s="25" t="n">
        <v>6.29</v>
      </c>
      <c r="E13" s="25">
        <f>VLOOKUP($C13,原料主数据!$A:$E,4,FALSE())</f>
        <v/>
      </c>
      <c r="F13" s="25">
        <f>VLOOKUP($C13,原料主数据!$A:$E,5,FALSE())</f>
        <v/>
      </c>
      <c r="G13" s="25">
        <f>$D13*VLOOKUP($C13,原料主数据!$A:$AL, 7, FALSE())</f>
        <v/>
      </c>
      <c r="H13" s="25">
        <f>$D13*VLOOKUP($C13,原料主数据!$A:$AL, 8, FALSE())</f>
        <v/>
      </c>
      <c r="I13" s="25">
        <f>$D13*VLOOKUP($C13,原料主数据!$A:$AL, 9, FALSE())</f>
        <v/>
      </c>
      <c r="J13" s="25">
        <f>$D13*VLOOKUP($C13,原料主数据!$A:$AL, 10, FALSE())</f>
        <v/>
      </c>
      <c r="K13" s="25">
        <f>$D13*VLOOKUP($C13,原料主数据!$A:$AL, 11, FALSE())</f>
        <v/>
      </c>
      <c r="L13" s="25">
        <f>$D13*VLOOKUP($C13,原料主数据!$A:$AL, 12, FALSE())</f>
        <v/>
      </c>
      <c r="M13" s="25">
        <f>$D13*VLOOKUP($C13,原料主数据!$A:$AL, 13, FALSE())</f>
        <v/>
      </c>
      <c r="N13" s="25">
        <f>$D13*VLOOKUP($C13,原料主数据!$A:$AL, 14, FALSE())</f>
        <v/>
      </c>
      <c r="O13" s="25">
        <f>$D13*VLOOKUP($C13,原料主数据!$A:$AL, 15, FALSE())</f>
        <v/>
      </c>
      <c r="P13" s="25">
        <f>$D13*VLOOKUP($C13,原料主数据!$A:$AL, 16, FALSE())</f>
        <v/>
      </c>
      <c r="Q13" s="25">
        <f>$D13*VLOOKUP($C13,原料主数据!$A:$AL, 17, FALSE())</f>
        <v/>
      </c>
      <c r="R13" s="25">
        <f>$D13*VLOOKUP($C13,原料主数据!$A:$AL, 18, FALSE())</f>
        <v/>
      </c>
      <c r="S13" s="25">
        <f>$D13*VLOOKUP($C13,原料主数据!$A:$AL, 19, FALSE())</f>
        <v/>
      </c>
      <c r="T13" s="25">
        <f>$D13*VLOOKUP($C13,原料主数据!$A:$AL, 20, FALSE())</f>
        <v/>
      </c>
      <c r="U13" s="25">
        <f>$D13*VLOOKUP($C13,原料主数据!$A:$AL, 21, FALSE())</f>
        <v/>
      </c>
      <c r="V13" s="25">
        <f>$D13*VLOOKUP($C13,原料主数据!$A:$AL, 22, FALSE())</f>
        <v/>
      </c>
      <c r="W13" s="25">
        <f>$D13*VLOOKUP($C13,原料主数据!$A:$AL, 23, FALSE())</f>
        <v/>
      </c>
      <c r="X13" s="25">
        <f>$D13*VLOOKUP($C13,原料主数据!$A:$AL, 24, FALSE())</f>
        <v/>
      </c>
      <c r="Y13" s="25">
        <f>$D13*VLOOKUP($C13,原料主数据!$A:$AL, 25, FALSE())</f>
        <v/>
      </c>
      <c r="Z13" s="25">
        <f>$D13*VLOOKUP($C13,原料主数据!$A:$AL, 26, FALSE())</f>
        <v/>
      </c>
      <c r="AA13" s="25">
        <f>$D13*VLOOKUP($C13,原料主数据!$A:$AL, 27, FALSE())</f>
        <v/>
      </c>
      <c r="AB13" s="25">
        <f>$D13*VLOOKUP($C13,原料主数据!$A:$AL, 28, FALSE())</f>
        <v/>
      </c>
      <c r="AC13" s="25">
        <f>$D13*VLOOKUP($C13,原料主数据!$A:$AL, 29, FALSE())</f>
        <v/>
      </c>
      <c r="AD13" s="25">
        <f>$D13*VLOOKUP($C13,原料主数据!$A:$AL, 30, FALSE())</f>
        <v/>
      </c>
      <c r="AE13" s="25">
        <f>$D13*VLOOKUP($C13,原料主数据!$A:$AL, 31, FALSE())</f>
        <v/>
      </c>
      <c r="AF13" s="25">
        <f>$D13*VLOOKUP($C13,原料主数据!$A:$AL, 32, FALSE())</f>
        <v/>
      </c>
      <c r="AG13" s="25">
        <f>$D13*VLOOKUP($C13,原料主数据!$A:$AL, 33, FALSE())</f>
        <v/>
      </c>
      <c r="AH13" s="25">
        <f>$D13*VLOOKUP($C13,原料主数据!$A:$AL, 34, FALSE())</f>
        <v/>
      </c>
      <c r="AI13" s="25">
        <f>$D13*VLOOKUP($C13,原料主数据!$A:$AL, 35, FALSE())</f>
        <v/>
      </c>
      <c r="AJ13" s="25">
        <f>$D13*VLOOKUP($C13,原料主数据!$A:$AL, 36, FALSE())</f>
        <v/>
      </c>
      <c r="AK13" s="25">
        <f>$D13*VLOOKUP($C13,原料主数据!$A:$AL, 37, FALSE())</f>
        <v/>
      </c>
      <c r="AL13" s="25">
        <f>$D13*VLOOKUP($C13,原料主数据!$A:$AL, 38, FALSE())</f>
        <v/>
      </c>
    </row>
    <row r="14" ht="15" customHeight="1" s="15">
      <c r="A14" s="22" t="inlineStr">
        <is>
          <t>EP-0002</t>
        </is>
      </c>
      <c r="B14" s="23" t="inlineStr">
        <is>
          <t>环氧酚醛</t>
        </is>
      </c>
      <c r="C14" s="22" t="inlineStr">
        <is>
          <t>RF956</t>
        </is>
      </c>
      <c r="D14" s="22" t="n">
        <v>6.65</v>
      </c>
      <c r="E14" s="22">
        <f>VLOOKUP($C14,原料主数据!$A:$E,4,FALSE())</f>
        <v/>
      </c>
      <c r="F14" s="22">
        <f>VLOOKUP($C14,原料主数据!$A:$E,5,FALSE())</f>
        <v/>
      </c>
      <c r="G14" s="22">
        <f>$D14*VLOOKUP($C14,原料主数据!$A:$AL, 7, FALSE())</f>
        <v/>
      </c>
      <c r="H14" s="22">
        <f>$D14*VLOOKUP($C14,原料主数据!$A:$AL, 8, FALSE())</f>
        <v/>
      </c>
      <c r="I14" s="22">
        <f>$D14*VLOOKUP($C14,原料主数据!$A:$AL, 9, FALSE())</f>
        <v/>
      </c>
      <c r="J14" s="22">
        <f>$D14*VLOOKUP($C14,原料主数据!$A:$AL, 10, FALSE())</f>
        <v/>
      </c>
      <c r="K14" s="22">
        <f>$D14*VLOOKUP($C14,原料主数据!$A:$AL, 11, FALSE())</f>
        <v/>
      </c>
      <c r="L14" s="22">
        <f>$D14*VLOOKUP($C14,原料主数据!$A:$AL, 12, FALSE())</f>
        <v/>
      </c>
      <c r="M14" s="22">
        <f>$D14*VLOOKUP($C14,原料主数据!$A:$AL, 13, FALSE())</f>
        <v/>
      </c>
      <c r="N14" s="22">
        <f>$D14*VLOOKUP($C14,原料主数据!$A:$AL, 14, FALSE())</f>
        <v/>
      </c>
      <c r="O14" s="22">
        <f>$D14*VLOOKUP($C14,原料主数据!$A:$AL, 15, FALSE())</f>
        <v/>
      </c>
      <c r="P14" s="22">
        <f>$D14*VLOOKUP($C14,原料主数据!$A:$AL, 16, FALSE())</f>
        <v/>
      </c>
      <c r="Q14" s="22">
        <f>$D14*VLOOKUP($C14,原料主数据!$A:$AL, 17, FALSE())</f>
        <v/>
      </c>
      <c r="R14" s="22">
        <f>$D14*VLOOKUP($C14,原料主数据!$A:$AL, 18, FALSE())</f>
        <v/>
      </c>
      <c r="S14" s="22">
        <f>$D14*VLOOKUP($C14,原料主数据!$A:$AL, 19, FALSE())</f>
        <v/>
      </c>
      <c r="T14" s="22">
        <f>$D14*VLOOKUP($C14,原料主数据!$A:$AL, 20, FALSE())</f>
        <v/>
      </c>
      <c r="U14" s="22">
        <f>$D14*VLOOKUP($C14,原料主数据!$A:$AL, 21, FALSE())</f>
        <v/>
      </c>
      <c r="V14" s="22">
        <f>$D14*VLOOKUP($C14,原料主数据!$A:$AL, 22, FALSE())</f>
        <v/>
      </c>
      <c r="W14" s="22">
        <f>$D14*VLOOKUP($C14,原料主数据!$A:$AL, 23, FALSE())</f>
        <v/>
      </c>
      <c r="X14" s="22">
        <f>$D14*VLOOKUP($C14,原料主数据!$A:$AL, 24, FALSE())</f>
        <v/>
      </c>
      <c r="Y14" s="22">
        <f>$D14*VLOOKUP($C14,原料主数据!$A:$AL, 25, FALSE())</f>
        <v/>
      </c>
      <c r="Z14" s="22">
        <f>$D14*VLOOKUP($C14,原料主数据!$A:$AL, 26, FALSE())</f>
        <v/>
      </c>
      <c r="AA14" s="22">
        <f>$D14*VLOOKUP($C14,原料主数据!$A:$AL, 27, FALSE())</f>
        <v/>
      </c>
      <c r="AB14" s="22">
        <f>$D14*VLOOKUP($C14,原料主数据!$A:$AL, 28, FALSE())</f>
        <v/>
      </c>
      <c r="AC14" s="22">
        <f>$D14*VLOOKUP($C14,原料主数据!$A:$AL, 29, FALSE())</f>
        <v/>
      </c>
      <c r="AD14" s="22">
        <f>$D14*VLOOKUP($C14,原料主数据!$A:$AL, 30, FALSE())</f>
        <v/>
      </c>
      <c r="AE14" s="22">
        <f>$D14*VLOOKUP($C14,原料主数据!$A:$AL, 31, FALSE())</f>
        <v/>
      </c>
      <c r="AF14" s="22">
        <f>$D14*VLOOKUP($C14,原料主数据!$A:$AL, 32, FALSE())</f>
        <v/>
      </c>
      <c r="AG14" s="22">
        <f>$D14*VLOOKUP($C14,原料主数据!$A:$AL, 33, FALSE())</f>
        <v/>
      </c>
      <c r="AH14" s="22">
        <f>$D14*VLOOKUP($C14,原料主数据!$A:$AL, 34, FALSE())</f>
        <v/>
      </c>
      <c r="AI14" s="22">
        <f>$D14*VLOOKUP($C14,原料主数据!$A:$AL, 35, FALSE())</f>
        <v/>
      </c>
      <c r="AJ14" s="22">
        <f>$D14*VLOOKUP($C14,原料主数据!$A:$AL, 36, FALSE())</f>
        <v/>
      </c>
      <c r="AK14" s="22">
        <f>$D14*VLOOKUP($C14,原料主数据!$A:$AL, 37, FALSE())</f>
        <v/>
      </c>
      <c r="AL14" s="22">
        <f>$D14*VLOOKUP($C14,原料主数据!$A:$AL, 38, FALSE())</f>
        <v/>
      </c>
    </row>
    <row r="15" ht="15" customHeight="1" s="15">
      <c r="A15" s="25" t="inlineStr">
        <is>
          <t>EP-0002</t>
        </is>
      </c>
      <c r="B15" s="26" t="inlineStr">
        <is>
          <t>环氧酚醛</t>
        </is>
      </c>
      <c r="C15" s="26" t="inlineStr">
        <is>
          <t>住友55754G</t>
        </is>
      </c>
      <c r="D15" s="25" t="n">
        <v>0.42</v>
      </c>
      <c r="E15" s="25">
        <f>VLOOKUP($C15,原料主数据!$A:$E,4,FALSE())</f>
        <v/>
      </c>
      <c r="F15" s="25">
        <f>VLOOKUP($C15,原料主数据!$A:$E,5,FALSE())</f>
        <v/>
      </c>
      <c r="G15" s="25">
        <f>$D15*VLOOKUP($C15,原料主数据!$A:$AL, 7, FALSE())</f>
        <v/>
      </c>
      <c r="H15" s="25">
        <f>$D15*VLOOKUP($C15,原料主数据!$A:$AL, 8, FALSE())</f>
        <v/>
      </c>
      <c r="I15" s="25">
        <f>$D15*VLOOKUP($C15,原料主数据!$A:$AL, 9, FALSE())</f>
        <v/>
      </c>
      <c r="J15" s="25">
        <f>$D15*VLOOKUP($C15,原料主数据!$A:$AL, 10, FALSE())</f>
        <v/>
      </c>
      <c r="K15" s="25">
        <f>$D15*VLOOKUP($C15,原料主数据!$A:$AL, 11, FALSE())</f>
        <v/>
      </c>
      <c r="L15" s="25">
        <f>$D15*VLOOKUP($C15,原料主数据!$A:$AL, 12, FALSE())</f>
        <v/>
      </c>
      <c r="M15" s="25">
        <f>$D15*VLOOKUP($C15,原料主数据!$A:$AL, 13, FALSE())</f>
        <v/>
      </c>
      <c r="N15" s="25">
        <f>$D15*VLOOKUP($C15,原料主数据!$A:$AL, 14, FALSE())</f>
        <v/>
      </c>
      <c r="O15" s="25">
        <f>$D15*VLOOKUP($C15,原料主数据!$A:$AL, 15, FALSE())</f>
        <v/>
      </c>
      <c r="P15" s="25">
        <f>$D15*VLOOKUP($C15,原料主数据!$A:$AL, 16, FALSE())</f>
        <v/>
      </c>
      <c r="Q15" s="25">
        <f>$D15*VLOOKUP($C15,原料主数据!$A:$AL, 17, FALSE())</f>
        <v/>
      </c>
      <c r="R15" s="25">
        <f>$D15*VLOOKUP($C15,原料主数据!$A:$AL, 18, FALSE())</f>
        <v/>
      </c>
      <c r="S15" s="25">
        <f>$D15*VLOOKUP($C15,原料主数据!$A:$AL, 19, FALSE())</f>
        <v/>
      </c>
      <c r="T15" s="25">
        <f>$D15*VLOOKUP($C15,原料主数据!$A:$AL, 20, FALSE())</f>
        <v/>
      </c>
      <c r="U15" s="25">
        <f>$D15*VLOOKUP($C15,原料主数据!$A:$AL, 21, FALSE())</f>
        <v/>
      </c>
      <c r="V15" s="25">
        <f>$D15*VLOOKUP($C15,原料主数据!$A:$AL, 22, FALSE())</f>
        <v/>
      </c>
      <c r="W15" s="25">
        <f>$D15*VLOOKUP($C15,原料主数据!$A:$AL, 23, FALSE())</f>
        <v/>
      </c>
      <c r="X15" s="25">
        <f>$D15*VLOOKUP($C15,原料主数据!$A:$AL, 24, FALSE())</f>
        <v/>
      </c>
      <c r="Y15" s="25">
        <f>$D15*VLOOKUP($C15,原料主数据!$A:$AL, 25, FALSE())</f>
        <v/>
      </c>
      <c r="Z15" s="25">
        <f>$D15*VLOOKUP($C15,原料主数据!$A:$AL, 26, FALSE())</f>
        <v/>
      </c>
      <c r="AA15" s="25">
        <f>$D15*VLOOKUP($C15,原料主数据!$A:$AL, 27, FALSE())</f>
        <v/>
      </c>
      <c r="AB15" s="25">
        <f>$D15*VLOOKUP($C15,原料主数据!$A:$AL, 28, FALSE())</f>
        <v/>
      </c>
      <c r="AC15" s="25">
        <f>$D15*VLOOKUP($C15,原料主数据!$A:$AL, 29, FALSE())</f>
        <v/>
      </c>
      <c r="AD15" s="25">
        <f>$D15*VLOOKUP($C15,原料主数据!$A:$AL, 30, FALSE())</f>
        <v/>
      </c>
      <c r="AE15" s="25">
        <f>$D15*VLOOKUP($C15,原料主数据!$A:$AL, 31, FALSE())</f>
        <v/>
      </c>
      <c r="AF15" s="25">
        <f>$D15*VLOOKUP($C15,原料主数据!$A:$AL, 32, FALSE())</f>
        <v/>
      </c>
      <c r="AG15" s="25">
        <f>$D15*VLOOKUP($C15,原料主数据!$A:$AL, 33, FALSE())</f>
        <v/>
      </c>
      <c r="AH15" s="25">
        <f>$D15*VLOOKUP($C15,原料主数据!$A:$AL, 34, FALSE())</f>
        <v/>
      </c>
      <c r="AI15" s="25">
        <f>$D15*VLOOKUP($C15,原料主数据!$A:$AL, 35, FALSE())</f>
        <v/>
      </c>
      <c r="AJ15" s="25">
        <f>$D15*VLOOKUP($C15,原料主数据!$A:$AL, 36, FALSE())</f>
        <v/>
      </c>
      <c r="AK15" s="25">
        <f>$D15*VLOOKUP($C15,原料主数据!$A:$AL, 37, FALSE())</f>
        <v/>
      </c>
      <c r="AL15" s="25">
        <f>$D15*VLOOKUP($C15,原料主数据!$A:$AL, 38, FALSE())</f>
        <v/>
      </c>
    </row>
    <row r="16" ht="15" customHeight="1" s="15">
      <c r="A16" s="22" t="inlineStr">
        <is>
          <t>EP-0002</t>
        </is>
      </c>
      <c r="B16" s="23" t="inlineStr">
        <is>
          <t>环氧酚醛</t>
        </is>
      </c>
      <c r="C16" s="22" t="inlineStr">
        <is>
          <t>1510蜡</t>
        </is>
      </c>
      <c r="D16" s="22" t="n">
        <v>2.98</v>
      </c>
      <c r="E16" s="22">
        <f>VLOOKUP($C16,原料主数据!$A:$E,4,FALSE())</f>
        <v/>
      </c>
      <c r="F16" s="22">
        <f>VLOOKUP($C16,原料主数据!$A:$E,5,FALSE())</f>
        <v/>
      </c>
      <c r="G16" s="22">
        <f>$D16*VLOOKUP($C16,原料主数据!$A:$AL, 7, FALSE())</f>
        <v/>
      </c>
      <c r="H16" s="22">
        <f>$D16*VLOOKUP($C16,原料主数据!$A:$AL, 8, FALSE())</f>
        <v/>
      </c>
      <c r="I16" s="22">
        <f>$D16*VLOOKUP($C16,原料主数据!$A:$AL, 9, FALSE())</f>
        <v/>
      </c>
      <c r="J16" s="22">
        <f>$D16*VLOOKUP($C16,原料主数据!$A:$AL, 10, FALSE())</f>
        <v/>
      </c>
      <c r="K16" s="22">
        <f>$D16*VLOOKUP($C16,原料主数据!$A:$AL, 11, FALSE())</f>
        <v/>
      </c>
      <c r="L16" s="22">
        <f>$D16*VLOOKUP($C16,原料主数据!$A:$AL, 12, FALSE())</f>
        <v/>
      </c>
      <c r="M16" s="22">
        <f>$D16*VLOOKUP($C16,原料主数据!$A:$AL, 13, FALSE())</f>
        <v/>
      </c>
      <c r="N16" s="22">
        <f>$D16*VLOOKUP($C16,原料主数据!$A:$AL, 14, FALSE())</f>
        <v/>
      </c>
      <c r="O16" s="22">
        <f>$D16*VLOOKUP($C16,原料主数据!$A:$AL, 15, FALSE())</f>
        <v/>
      </c>
      <c r="P16" s="22">
        <f>$D16*VLOOKUP($C16,原料主数据!$A:$AL, 16, FALSE())</f>
        <v/>
      </c>
      <c r="Q16" s="22">
        <f>$D16*VLOOKUP($C16,原料主数据!$A:$AL, 17, FALSE())</f>
        <v/>
      </c>
      <c r="R16" s="22">
        <f>$D16*VLOOKUP($C16,原料主数据!$A:$AL, 18, FALSE())</f>
        <v/>
      </c>
      <c r="S16" s="22">
        <f>$D16*VLOOKUP($C16,原料主数据!$A:$AL, 19, FALSE())</f>
        <v/>
      </c>
      <c r="T16" s="22">
        <f>$D16*VLOOKUP($C16,原料主数据!$A:$AL, 20, FALSE())</f>
        <v/>
      </c>
      <c r="U16" s="22">
        <f>$D16*VLOOKUP($C16,原料主数据!$A:$AL, 21, FALSE())</f>
        <v/>
      </c>
      <c r="V16" s="22">
        <f>$D16*VLOOKUP($C16,原料主数据!$A:$AL, 22, FALSE())</f>
        <v/>
      </c>
      <c r="W16" s="22">
        <f>$D16*VLOOKUP($C16,原料主数据!$A:$AL, 23, FALSE())</f>
        <v/>
      </c>
      <c r="X16" s="22">
        <f>$D16*VLOOKUP($C16,原料主数据!$A:$AL, 24, FALSE())</f>
        <v/>
      </c>
      <c r="Y16" s="22">
        <f>$D16*VLOOKUP($C16,原料主数据!$A:$AL, 25, FALSE())</f>
        <v/>
      </c>
      <c r="Z16" s="22">
        <f>$D16*VLOOKUP($C16,原料主数据!$A:$AL, 26, FALSE())</f>
        <v/>
      </c>
      <c r="AA16" s="22">
        <f>$D16*VLOOKUP($C16,原料主数据!$A:$AL, 27, FALSE())</f>
        <v/>
      </c>
      <c r="AB16" s="22">
        <f>$D16*VLOOKUP($C16,原料主数据!$A:$AL, 28, FALSE())</f>
        <v/>
      </c>
      <c r="AC16" s="22">
        <f>$D16*VLOOKUP($C16,原料主数据!$A:$AL, 29, FALSE())</f>
        <v/>
      </c>
      <c r="AD16" s="22">
        <f>$D16*VLOOKUP($C16,原料主数据!$A:$AL, 30, FALSE())</f>
        <v/>
      </c>
      <c r="AE16" s="22">
        <f>$D16*VLOOKUP($C16,原料主数据!$A:$AL, 31, FALSE())</f>
        <v/>
      </c>
      <c r="AF16" s="22">
        <f>$D16*VLOOKUP($C16,原料主数据!$A:$AL, 32, FALSE())</f>
        <v/>
      </c>
      <c r="AG16" s="22">
        <f>$D16*VLOOKUP($C16,原料主数据!$A:$AL, 33, FALSE())</f>
        <v/>
      </c>
      <c r="AH16" s="22">
        <f>$D16*VLOOKUP($C16,原料主数据!$A:$AL, 34, FALSE())</f>
        <v/>
      </c>
      <c r="AI16" s="22">
        <f>$D16*VLOOKUP($C16,原料主数据!$A:$AL, 35, FALSE())</f>
        <v/>
      </c>
      <c r="AJ16" s="22">
        <f>$D16*VLOOKUP($C16,原料主数据!$A:$AL, 36, FALSE())</f>
        <v/>
      </c>
      <c r="AK16" s="22">
        <f>$D16*VLOOKUP($C16,原料主数据!$A:$AL, 37, FALSE())</f>
        <v/>
      </c>
      <c r="AL16" s="22">
        <f>$D16*VLOOKUP($C16,原料主数据!$A:$AL, 38, FALSE())</f>
        <v/>
      </c>
    </row>
    <row r="17" ht="15" customHeight="1" s="15">
      <c r="A17" s="25" t="inlineStr">
        <is>
          <t>EP-0002</t>
        </is>
      </c>
      <c r="B17" s="26" t="inlineStr">
        <is>
          <t>环氧酚醛</t>
        </is>
      </c>
      <c r="C17" s="25" t="inlineStr">
        <is>
          <t>AZ088</t>
        </is>
      </c>
      <c r="D17" s="25" t="n">
        <v>0.06</v>
      </c>
      <c r="E17" s="25">
        <f>VLOOKUP($C17,原料主数据!$A:$E,4,FALSE())</f>
        <v/>
      </c>
      <c r="F17" s="25">
        <f>VLOOKUP($C17,原料主数据!$A:$E,5,FALSE())</f>
        <v/>
      </c>
      <c r="G17" s="25">
        <f>$D17*VLOOKUP($C17,原料主数据!$A:$AL, 7, FALSE())</f>
        <v/>
      </c>
      <c r="H17" s="25">
        <f>$D17*VLOOKUP($C17,原料主数据!$A:$AL, 8, FALSE())</f>
        <v/>
      </c>
      <c r="I17" s="25">
        <f>$D17*VLOOKUP($C17,原料主数据!$A:$AL, 9, FALSE())</f>
        <v/>
      </c>
      <c r="J17" s="25">
        <f>$D17*VLOOKUP($C17,原料主数据!$A:$AL, 10, FALSE())</f>
        <v/>
      </c>
      <c r="K17" s="25">
        <f>$D17*VLOOKUP($C17,原料主数据!$A:$AL, 11, FALSE())</f>
        <v/>
      </c>
      <c r="L17" s="25">
        <f>$D17*VLOOKUP($C17,原料主数据!$A:$AL, 12, FALSE())</f>
        <v/>
      </c>
      <c r="M17" s="25">
        <f>$D17*VLOOKUP($C17,原料主数据!$A:$AL, 13, FALSE())</f>
        <v/>
      </c>
      <c r="N17" s="25">
        <f>$D17*VLOOKUP($C17,原料主数据!$A:$AL, 14, FALSE())</f>
        <v/>
      </c>
      <c r="O17" s="25">
        <f>$D17*VLOOKUP($C17,原料主数据!$A:$AL, 15, FALSE())</f>
        <v/>
      </c>
      <c r="P17" s="25">
        <f>$D17*VLOOKUP($C17,原料主数据!$A:$AL, 16, FALSE())</f>
        <v/>
      </c>
      <c r="Q17" s="25">
        <f>$D17*VLOOKUP($C17,原料主数据!$A:$AL, 17, FALSE())</f>
        <v/>
      </c>
      <c r="R17" s="25">
        <f>$D17*VLOOKUP($C17,原料主数据!$A:$AL, 18, FALSE())</f>
        <v/>
      </c>
      <c r="S17" s="25">
        <f>$D17*VLOOKUP($C17,原料主数据!$A:$AL, 19, FALSE())</f>
        <v/>
      </c>
      <c r="T17" s="25">
        <f>$D17*VLOOKUP($C17,原料主数据!$A:$AL, 20, FALSE())</f>
        <v/>
      </c>
      <c r="U17" s="25">
        <f>$D17*VLOOKUP($C17,原料主数据!$A:$AL, 21, FALSE())</f>
        <v/>
      </c>
      <c r="V17" s="25">
        <f>$D17*VLOOKUP($C17,原料主数据!$A:$AL, 22, FALSE())</f>
        <v/>
      </c>
      <c r="W17" s="25">
        <f>$D17*VLOOKUP($C17,原料主数据!$A:$AL, 23, FALSE())</f>
        <v/>
      </c>
      <c r="X17" s="25">
        <f>$D17*VLOOKUP($C17,原料主数据!$A:$AL, 24, FALSE())</f>
        <v/>
      </c>
      <c r="Y17" s="25">
        <f>$D17*VLOOKUP($C17,原料主数据!$A:$AL, 25, FALSE())</f>
        <v/>
      </c>
      <c r="Z17" s="25">
        <f>$D17*VLOOKUP($C17,原料主数据!$A:$AL, 26, FALSE())</f>
        <v/>
      </c>
      <c r="AA17" s="25">
        <f>$D17*VLOOKUP($C17,原料主数据!$A:$AL, 27, FALSE())</f>
        <v/>
      </c>
      <c r="AB17" s="25">
        <f>$D17*VLOOKUP($C17,原料主数据!$A:$AL, 28, FALSE())</f>
        <v/>
      </c>
      <c r="AC17" s="25">
        <f>$D17*VLOOKUP($C17,原料主数据!$A:$AL, 29, FALSE())</f>
        <v/>
      </c>
      <c r="AD17" s="25">
        <f>$D17*VLOOKUP($C17,原料主数据!$A:$AL, 30, FALSE())</f>
        <v/>
      </c>
      <c r="AE17" s="25">
        <f>$D17*VLOOKUP($C17,原料主数据!$A:$AL, 31, FALSE())</f>
        <v/>
      </c>
      <c r="AF17" s="25">
        <f>$D17*VLOOKUP($C17,原料主数据!$A:$AL, 32, FALSE())</f>
        <v/>
      </c>
      <c r="AG17" s="25">
        <f>$D17*VLOOKUP($C17,原料主数据!$A:$AL, 33, FALSE())</f>
        <v/>
      </c>
      <c r="AH17" s="25">
        <f>$D17*VLOOKUP($C17,原料主数据!$A:$AL, 34, FALSE())</f>
        <v/>
      </c>
      <c r="AI17" s="25">
        <f>$D17*VLOOKUP($C17,原料主数据!$A:$AL, 35, FALSE())</f>
        <v/>
      </c>
      <c r="AJ17" s="25">
        <f>$D17*VLOOKUP($C17,原料主数据!$A:$AL, 36, FALSE())</f>
        <v/>
      </c>
      <c r="AK17" s="25">
        <f>$D17*VLOOKUP($C17,原料主数据!$A:$AL, 37, FALSE())</f>
        <v/>
      </c>
      <c r="AL17" s="25">
        <f>$D17*VLOOKUP($C17,原料主数据!$A:$AL, 38, FALSE())</f>
        <v/>
      </c>
    </row>
    <row r="18" ht="15" customHeight="1" s="15">
      <c r="A18" s="22" t="inlineStr">
        <is>
          <t>EP-0002</t>
        </is>
      </c>
      <c r="B18" s="23" t="inlineStr">
        <is>
          <t>环氧酚醛</t>
        </is>
      </c>
      <c r="C18" s="23" t="inlineStr">
        <is>
          <t>正丁醇</t>
        </is>
      </c>
      <c r="D18" s="22" t="n">
        <v>5.49</v>
      </c>
      <c r="E18" s="22">
        <f>VLOOKUP($C18,原料主数据!$A:$E,4,FALSE())</f>
        <v/>
      </c>
      <c r="F18" s="22">
        <f>VLOOKUP($C18,原料主数据!$A:$E,5,FALSE())</f>
        <v/>
      </c>
      <c r="G18" s="22">
        <f>$D18*VLOOKUP($C18,原料主数据!$A:$AL, 7, FALSE())</f>
        <v/>
      </c>
      <c r="H18" s="22">
        <f>$D18*VLOOKUP($C18,原料主数据!$A:$AL, 8, FALSE())</f>
        <v/>
      </c>
      <c r="I18" s="22">
        <f>$D18*VLOOKUP($C18,原料主数据!$A:$AL, 9, FALSE())</f>
        <v/>
      </c>
      <c r="J18" s="22">
        <f>$D18*VLOOKUP($C18,原料主数据!$A:$AL, 10, FALSE())</f>
        <v/>
      </c>
      <c r="K18" s="22">
        <f>$D18*VLOOKUP($C18,原料主数据!$A:$AL, 11, FALSE())</f>
        <v/>
      </c>
      <c r="L18" s="22">
        <f>$D18*VLOOKUP($C18,原料主数据!$A:$AL, 12, FALSE())</f>
        <v/>
      </c>
      <c r="M18" s="22">
        <f>$D18*VLOOKUP($C18,原料主数据!$A:$AL, 13, FALSE())</f>
        <v/>
      </c>
      <c r="N18" s="22">
        <f>$D18*VLOOKUP($C18,原料主数据!$A:$AL, 14, FALSE())</f>
        <v/>
      </c>
      <c r="O18" s="22">
        <f>$D18*VLOOKUP($C18,原料主数据!$A:$AL, 15, FALSE())</f>
        <v/>
      </c>
      <c r="P18" s="22">
        <f>$D18*VLOOKUP($C18,原料主数据!$A:$AL, 16, FALSE())</f>
        <v/>
      </c>
      <c r="Q18" s="22">
        <f>$D18*VLOOKUP($C18,原料主数据!$A:$AL, 17, FALSE())</f>
        <v/>
      </c>
      <c r="R18" s="22">
        <f>$D18*VLOOKUP($C18,原料主数据!$A:$AL, 18, FALSE())</f>
        <v/>
      </c>
      <c r="S18" s="22">
        <f>$D18*VLOOKUP($C18,原料主数据!$A:$AL, 19, FALSE())</f>
        <v/>
      </c>
      <c r="T18" s="22">
        <f>$D18*VLOOKUP($C18,原料主数据!$A:$AL, 20, FALSE())</f>
        <v/>
      </c>
      <c r="U18" s="22">
        <f>$D18*VLOOKUP($C18,原料主数据!$A:$AL, 21, FALSE())</f>
        <v/>
      </c>
      <c r="V18" s="22">
        <f>$D18*VLOOKUP($C18,原料主数据!$A:$AL, 22, FALSE())</f>
        <v/>
      </c>
      <c r="W18" s="22">
        <f>$D18*VLOOKUP($C18,原料主数据!$A:$AL, 23, FALSE())</f>
        <v/>
      </c>
      <c r="X18" s="22">
        <f>$D18*VLOOKUP($C18,原料主数据!$A:$AL, 24, FALSE())</f>
        <v/>
      </c>
      <c r="Y18" s="22">
        <f>$D18*VLOOKUP($C18,原料主数据!$A:$AL, 25, FALSE())</f>
        <v/>
      </c>
      <c r="Z18" s="22">
        <f>$D18*VLOOKUP($C18,原料主数据!$A:$AL, 26, FALSE())</f>
        <v/>
      </c>
      <c r="AA18" s="22">
        <f>$D18*VLOOKUP($C18,原料主数据!$A:$AL, 27, FALSE())</f>
        <v/>
      </c>
      <c r="AB18" s="22">
        <f>$D18*VLOOKUP($C18,原料主数据!$A:$AL, 28, FALSE())</f>
        <v/>
      </c>
      <c r="AC18" s="22">
        <f>$D18*VLOOKUP($C18,原料主数据!$A:$AL, 29, FALSE())</f>
        <v/>
      </c>
      <c r="AD18" s="22">
        <f>$D18*VLOOKUP($C18,原料主数据!$A:$AL, 30, FALSE())</f>
        <v/>
      </c>
      <c r="AE18" s="22">
        <f>$D18*VLOOKUP($C18,原料主数据!$A:$AL, 31, FALSE())</f>
        <v/>
      </c>
      <c r="AF18" s="22">
        <f>$D18*VLOOKUP($C18,原料主数据!$A:$AL, 32, FALSE())</f>
        <v/>
      </c>
      <c r="AG18" s="22">
        <f>$D18*VLOOKUP($C18,原料主数据!$A:$AL, 33, FALSE())</f>
        <v/>
      </c>
      <c r="AH18" s="22">
        <f>$D18*VLOOKUP($C18,原料主数据!$A:$AL, 34, FALSE())</f>
        <v/>
      </c>
      <c r="AI18" s="22">
        <f>$D18*VLOOKUP($C18,原料主数据!$A:$AL, 35, FALSE())</f>
        <v/>
      </c>
      <c r="AJ18" s="22">
        <f>$D18*VLOOKUP($C18,原料主数据!$A:$AL, 36, FALSE())</f>
        <v/>
      </c>
      <c r="AK18" s="22">
        <f>$D18*VLOOKUP($C18,原料主数据!$A:$AL, 37, FALSE())</f>
        <v/>
      </c>
      <c r="AL18" s="22">
        <f>$D18*VLOOKUP($C18,原料主数据!$A:$AL, 38, FALSE())</f>
        <v/>
      </c>
    </row>
    <row r="19" ht="15" customHeight="1" s="15">
      <c r="A19" s="25" t="inlineStr">
        <is>
          <t>EP-0002</t>
        </is>
      </c>
      <c r="B19" s="26" t="inlineStr">
        <is>
          <t>环氧酚醛</t>
        </is>
      </c>
      <c r="C19" s="26" t="inlineStr">
        <is>
          <t>补加混合液</t>
        </is>
      </c>
      <c r="D19" s="25" t="n">
        <v>1.55</v>
      </c>
      <c r="E19" s="25">
        <f>VLOOKUP($C19,原料主数据!$A:$E,4,FALSE())</f>
        <v/>
      </c>
      <c r="F19" s="25">
        <f>VLOOKUP($C19,原料主数据!$A:$E,5,FALSE())</f>
        <v/>
      </c>
      <c r="G19" s="25">
        <f>$D19*VLOOKUP($C19,原料主数据!$A:$AL, 7, FALSE())</f>
        <v/>
      </c>
      <c r="H19" s="25">
        <f>$D19*VLOOKUP($C19,原料主数据!$A:$AL, 8, FALSE())</f>
        <v/>
      </c>
      <c r="I19" s="25">
        <f>$D19*VLOOKUP($C19,原料主数据!$A:$AL, 9, FALSE())</f>
        <v/>
      </c>
      <c r="J19" s="25">
        <f>$D19*VLOOKUP($C19,原料主数据!$A:$AL, 10, FALSE())</f>
        <v/>
      </c>
      <c r="K19" s="25">
        <f>$D19*VLOOKUP($C19,原料主数据!$A:$AL, 11, FALSE())</f>
        <v/>
      </c>
      <c r="L19" s="25">
        <f>$D19*VLOOKUP($C19,原料主数据!$A:$AL, 12, FALSE())</f>
        <v/>
      </c>
      <c r="M19" s="25">
        <f>$D19*VLOOKUP($C19,原料主数据!$A:$AL, 13, FALSE())</f>
        <v/>
      </c>
      <c r="N19" s="25">
        <f>$D19*VLOOKUP($C19,原料主数据!$A:$AL, 14, FALSE())</f>
        <v/>
      </c>
      <c r="O19" s="25">
        <f>$D19*VLOOKUP($C19,原料主数据!$A:$AL, 15, FALSE())</f>
        <v/>
      </c>
      <c r="P19" s="25">
        <f>$D19*VLOOKUP($C19,原料主数据!$A:$AL, 16, FALSE())</f>
        <v/>
      </c>
      <c r="Q19" s="25">
        <f>$D19*VLOOKUP($C19,原料主数据!$A:$AL, 17, FALSE())</f>
        <v/>
      </c>
      <c r="R19" s="25">
        <f>$D19*VLOOKUP($C19,原料主数据!$A:$AL, 18, FALSE())</f>
        <v/>
      </c>
      <c r="S19" s="25">
        <f>$D19*VLOOKUP($C19,原料主数据!$A:$AL, 19, FALSE())</f>
        <v/>
      </c>
      <c r="T19" s="25">
        <f>$D19*VLOOKUP($C19,原料主数据!$A:$AL, 20, FALSE())</f>
        <v/>
      </c>
      <c r="U19" s="25">
        <f>$D19*VLOOKUP($C19,原料主数据!$A:$AL, 21, FALSE())</f>
        <v/>
      </c>
      <c r="V19" s="25">
        <f>$D19*VLOOKUP($C19,原料主数据!$A:$AL, 22, FALSE())</f>
        <v/>
      </c>
      <c r="W19" s="25">
        <f>$D19*VLOOKUP($C19,原料主数据!$A:$AL, 23, FALSE())</f>
        <v/>
      </c>
      <c r="X19" s="25">
        <f>$D19*VLOOKUP($C19,原料主数据!$A:$AL, 24, FALSE())</f>
        <v/>
      </c>
      <c r="Y19" s="25">
        <f>$D19*VLOOKUP($C19,原料主数据!$A:$AL, 25, FALSE())</f>
        <v/>
      </c>
      <c r="Z19" s="25">
        <f>$D19*VLOOKUP($C19,原料主数据!$A:$AL, 26, FALSE())</f>
        <v/>
      </c>
      <c r="AA19" s="25">
        <f>$D19*VLOOKUP($C19,原料主数据!$A:$AL, 27, FALSE())</f>
        <v/>
      </c>
      <c r="AB19" s="25">
        <f>$D19*VLOOKUP($C19,原料主数据!$A:$AL, 28, FALSE())</f>
        <v/>
      </c>
      <c r="AC19" s="25">
        <f>$D19*VLOOKUP($C19,原料主数据!$A:$AL, 29, FALSE())</f>
        <v/>
      </c>
      <c r="AD19" s="25">
        <f>$D19*VLOOKUP($C19,原料主数据!$A:$AL, 30, FALSE())</f>
        <v/>
      </c>
      <c r="AE19" s="25">
        <f>$D19*VLOOKUP($C19,原料主数据!$A:$AL, 31, FALSE())</f>
        <v/>
      </c>
      <c r="AF19" s="25">
        <f>$D19*VLOOKUP($C19,原料主数据!$A:$AL, 32, FALSE())</f>
        <v/>
      </c>
      <c r="AG19" s="25">
        <f>$D19*VLOOKUP($C19,原料主数据!$A:$AL, 33, FALSE())</f>
        <v/>
      </c>
      <c r="AH19" s="25">
        <f>$D19*VLOOKUP($C19,原料主数据!$A:$AL, 34, FALSE())</f>
        <v/>
      </c>
      <c r="AI19" s="25">
        <f>$D19*VLOOKUP($C19,原料主数据!$A:$AL, 35, FALSE())</f>
        <v/>
      </c>
      <c r="AJ19" s="25">
        <f>$D19*VLOOKUP($C19,原料主数据!$A:$AL, 36, FALSE())</f>
        <v/>
      </c>
      <c r="AK19" s="25">
        <f>$D19*VLOOKUP($C19,原料主数据!$A:$AL, 37, FALSE())</f>
        <v/>
      </c>
      <c r="AL19" s="25">
        <f>$D19*VLOOKUP($C19,原料主数据!$A:$AL, 38, FALSE())</f>
        <v/>
      </c>
    </row>
    <row r="20" ht="15" customHeight="1" s="15">
      <c r="A20" s="22" t="inlineStr">
        <is>
          <t>EP-0002</t>
        </is>
      </c>
      <c r="B20" s="23" t="inlineStr">
        <is>
          <t>环氧酚醛</t>
        </is>
      </c>
      <c r="C20" s="22" t="inlineStr">
        <is>
          <t>10%磷酸</t>
        </is>
      </c>
      <c r="D20" s="22" t="n">
        <v>2.4</v>
      </c>
      <c r="E20" s="22">
        <f>VLOOKUP($C20,原料主数据!$A:$E,4,FALSE())</f>
        <v/>
      </c>
      <c r="F20" s="22">
        <f>VLOOKUP($C20,原料主数据!$A:$E,5,FALSE())</f>
        <v/>
      </c>
      <c r="G20" s="22">
        <f>$D20*VLOOKUP($C20,原料主数据!$A:$AL, 7, FALSE())</f>
        <v/>
      </c>
      <c r="H20" s="22">
        <f>$D20*VLOOKUP($C20,原料主数据!$A:$AL, 8, FALSE())</f>
        <v/>
      </c>
      <c r="I20" s="22">
        <f>$D20*VLOOKUP($C20,原料主数据!$A:$AL, 9, FALSE())</f>
        <v/>
      </c>
      <c r="J20" s="22">
        <f>$D20*VLOOKUP($C20,原料主数据!$A:$AL, 10, FALSE())</f>
        <v/>
      </c>
      <c r="K20" s="22">
        <f>$D20*VLOOKUP($C20,原料主数据!$A:$AL, 11, FALSE())</f>
        <v/>
      </c>
      <c r="L20" s="22">
        <f>$D20*VLOOKUP($C20,原料主数据!$A:$AL, 12, FALSE())</f>
        <v/>
      </c>
      <c r="M20" s="22">
        <f>$D20*VLOOKUP($C20,原料主数据!$A:$AL, 13, FALSE())</f>
        <v/>
      </c>
      <c r="N20" s="22">
        <f>$D20*VLOOKUP($C20,原料主数据!$A:$AL, 14, FALSE())</f>
        <v/>
      </c>
      <c r="O20" s="22">
        <f>$D20*VLOOKUP($C20,原料主数据!$A:$AL, 15, FALSE())</f>
        <v/>
      </c>
      <c r="P20" s="22">
        <f>$D20*VLOOKUP($C20,原料主数据!$A:$AL, 16, FALSE())</f>
        <v/>
      </c>
      <c r="Q20" s="22">
        <f>$D20*VLOOKUP($C20,原料主数据!$A:$AL, 17, FALSE())</f>
        <v/>
      </c>
      <c r="R20" s="22">
        <f>$D20*VLOOKUP($C20,原料主数据!$A:$AL, 18, FALSE())</f>
        <v/>
      </c>
      <c r="S20" s="22">
        <f>$D20*VLOOKUP($C20,原料主数据!$A:$AL, 19, FALSE())</f>
        <v/>
      </c>
      <c r="T20" s="22">
        <f>$D20*VLOOKUP($C20,原料主数据!$A:$AL, 20, FALSE())</f>
        <v/>
      </c>
      <c r="U20" s="22">
        <f>$D20*VLOOKUP($C20,原料主数据!$A:$AL, 21, FALSE())</f>
        <v/>
      </c>
      <c r="V20" s="22">
        <f>$D20*VLOOKUP($C20,原料主数据!$A:$AL, 22, FALSE())</f>
        <v/>
      </c>
      <c r="W20" s="22">
        <f>$D20*VLOOKUP($C20,原料主数据!$A:$AL, 23, FALSE())</f>
        <v/>
      </c>
      <c r="X20" s="22">
        <f>$D20*VLOOKUP($C20,原料主数据!$A:$AL, 24, FALSE())</f>
        <v/>
      </c>
      <c r="Y20" s="22">
        <f>$D20*VLOOKUP($C20,原料主数据!$A:$AL, 25, FALSE())</f>
        <v/>
      </c>
      <c r="Z20" s="22">
        <f>$D20*VLOOKUP($C20,原料主数据!$A:$AL, 26, FALSE())</f>
        <v/>
      </c>
      <c r="AA20" s="22">
        <f>$D20*VLOOKUP($C20,原料主数据!$A:$AL, 27, FALSE())</f>
        <v/>
      </c>
      <c r="AB20" s="22">
        <f>$D20*VLOOKUP($C20,原料主数据!$A:$AL, 28, FALSE())</f>
        <v/>
      </c>
      <c r="AC20" s="22">
        <f>$D20*VLOOKUP($C20,原料主数据!$A:$AL, 29, FALSE())</f>
        <v/>
      </c>
      <c r="AD20" s="22">
        <f>$D20*VLOOKUP($C20,原料主数据!$A:$AL, 30, FALSE())</f>
        <v/>
      </c>
      <c r="AE20" s="22">
        <f>$D20*VLOOKUP($C20,原料主数据!$A:$AL, 31, FALSE())</f>
        <v/>
      </c>
      <c r="AF20" s="22">
        <f>$D20*VLOOKUP($C20,原料主数据!$A:$AL, 32, FALSE())</f>
        <v/>
      </c>
      <c r="AG20" s="22">
        <f>$D20*VLOOKUP($C20,原料主数据!$A:$AL, 33, FALSE())</f>
        <v/>
      </c>
      <c r="AH20" s="22">
        <f>$D20*VLOOKUP($C20,原料主数据!$A:$AL, 34, FALSE())</f>
        <v/>
      </c>
      <c r="AI20" s="22">
        <f>$D20*VLOOKUP($C20,原料主数据!$A:$AL, 35, FALSE())</f>
        <v/>
      </c>
      <c r="AJ20" s="22">
        <f>$D20*VLOOKUP($C20,原料主数据!$A:$AL, 36, FALSE())</f>
        <v/>
      </c>
      <c r="AK20" s="22">
        <f>$D20*VLOOKUP($C20,原料主数据!$A:$AL, 37, FALSE())</f>
        <v/>
      </c>
      <c r="AL20" s="22">
        <f>$D20*VLOOKUP($C20,原料主数据!$A:$AL, 38, FALSE())</f>
        <v/>
      </c>
    </row>
    <row r="21" ht="15" customHeight="1" s="15">
      <c r="A21" s="25" t="inlineStr">
        <is>
          <t>EP-0003</t>
        </is>
      </c>
      <c r="B21" s="26" t="inlineStr">
        <is>
          <t>环氧酚醛</t>
        </is>
      </c>
      <c r="C21" s="25" t="inlineStr">
        <is>
          <t>IR190</t>
        </is>
      </c>
      <c r="D21" s="25" t="n">
        <v>66.08</v>
      </c>
      <c r="E21" s="25">
        <f>VLOOKUP($C21,原料主数据!$A:$E,4,FALSE())</f>
        <v/>
      </c>
      <c r="F21" s="25">
        <f>VLOOKUP($C21,原料主数据!$A:$E,5,FALSE())</f>
        <v/>
      </c>
      <c r="G21" s="25">
        <f>$D21*VLOOKUP($C21,原料主数据!$A:$AL, 7, FALSE())</f>
        <v/>
      </c>
      <c r="H21" s="25">
        <f>$D21*VLOOKUP($C21,原料主数据!$A:$AL, 8, FALSE())</f>
        <v/>
      </c>
      <c r="I21" s="25">
        <f>$D21*VLOOKUP($C21,原料主数据!$A:$AL, 9, FALSE())</f>
        <v/>
      </c>
      <c r="J21" s="25">
        <f>$D21*VLOOKUP($C21,原料主数据!$A:$AL, 10, FALSE())</f>
        <v/>
      </c>
      <c r="K21" s="25">
        <f>$D21*VLOOKUP($C21,原料主数据!$A:$AL, 11, FALSE())</f>
        <v/>
      </c>
      <c r="L21" s="25">
        <f>$D21*VLOOKUP($C21,原料主数据!$A:$AL, 12, FALSE())</f>
        <v/>
      </c>
      <c r="M21" s="25">
        <f>$D21*VLOOKUP($C21,原料主数据!$A:$AL, 13, FALSE())</f>
        <v/>
      </c>
      <c r="N21" s="25">
        <f>$D21*VLOOKUP($C21,原料主数据!$A:$AL, 14, FALSE())</f>
        <v/>
      </c>
      <c r="O21" s="25">
        <f>$D21*VLOOKUP($C21,原料主数据!$A:$AL, 15, FALSE())</f>
        <v/>
      </c>
      <c r="P21" s="25">
        <f>$D21*VLOOKUP($C21,原料主数据!$A:$AL, 16, FALSE())</f>
        <v/>
      </c>
      <c r="Q21" s="25">
        <f>$D21*VLOOKUP($C21,原料主数据!$A:$AL, 17, FALSE())</f>
        <v/>
      </c>
      <c r="R21" s="25">
        <f>$D21*VLOOKUP($C21,原料主数据!$A:$AL, 18, FALSE())</f>
        <v/>
      </c>
      <c r="S21" s="25">
        <f>$D21*VLOOKUP($C21,原料主数据!$A:$AL, 19, FALSE())</f>
        <v/>
      </c>
      <c r="T21" s="25">
        <f>$D21*VLOOKUP($C21,原料主数据!$A:$AL, 20, FALSE())</f>
        <v/>
      </c>
      <c r="U21" s="25">
        <f>$D21*VLOOKUP($C21,原料主数据!$A:$AL, 21, FALSE())</f>
        <v/>
      </c>
      <c r="V21" s="25">
        <f>$D21*VLOOKUP($C21,原料主数据!$A:$AL, 22, FALSE())</f>
        <v/>
      </c>
      <c r="W21" s="25">
        <f>$D21*VLOOKUP($C21,原料主数据!$A:$AL, 23, FALSE())</f>
        <v/>
      </c>
      <c r="X21" s="25">
        <f>$D21*VLOOKUP($C21,原料主数据!$A:$AL, 24, FALSE())</f>
        <v/>
      </c>
      <c r="Y21" s="25">
        <f>$D21*VLOOKUP($C21,原料主数据!$A:$AL, 25, FALSE())</f>
        <v/>
      </c>
      <c r="Z21" s="25">
        <f>$D21*VLOOKUP($C21,原料主数据!$A:$AL, 26, FALSE())</f>
        <v/>
      </c>
      <c r="AA21" s="25">
        <f>$D21*VLOOKUP($C21,原料主数据!$A:$AL, 27, FALSE())</f>
        <v/>
      </c>
      <c r="AB21" s="25">
        <f>$D21*VLOOKUP($C21,原料主数据!$A:$AL, 28, FALSE())</f>
        <v/>
      </c>
      <c r="AC21" s="25">
        <f>$D21*VLOOKUP($C21,原料主数据!$A:$AL, 29, FALSE())</f>
        <v/>
      </c>
      <c r="AD21" s="25">
        <f>$D21*VLOOKUP($C21,原料主数据!$A:$AL, 30, FALSE())</f>
        <v/>
      </c>
      <c r="AE21" s="25">
        <f>$D21*VLOOKUP($C21,原料主数据!$A:$AL, 31, FALSE())</f>
        <v/>
      </c>
      <c r="AF21" s="25">
        <f>$D21*VLOOKUP($C21,原料主数据!$A:$AL, 32, FALSE())</f>
        <v/>
      </c>
      <c r="AG21" s="25">
        <f>$D21*VLOOKUP($C21,原料主数据!$A:$AL, 33, FALSE())</f>
        <v/>
      </c>
      <c r="AH21" s="25">
        <f>$D21*VLOOKUP($C21,原料主数据!$A:$AL, 34, FALSE())</f>
        <v/>
      </c>
      <c r="AI21" s="25">
        <f>$D21*VLOOKUP($C21,原料主数据!$A:$AL, 35, FALSE())</f>
        <v/>
      </c>
      <c r="AJ21" s="25">
        <f>$D21*VLOOKUP($C21,原料主数据!$A:$AL, 36, FALSE())</f>
        <v/>
      </c>
      <c r="AK21" s="25">
        <f>$D21*VLOOKUP($C21,原料主数据!$A:$AL, 37, FALSE())</f>
        <v/>
      </c>
      <c r="AL21" s="25">
        <f>$D21*VLOOKUP($C21,原料主数据!$A:$AL, 38, FALSE())</f>
        <v/>
      </c>
    </row>
    <row r="22" ht="15" customHeight="1" s="15">
      <c r="A22" s="22" t="inlineStr">
        <is>
          <t>EP-0003</t>
        </is>
      </c>
      <c r="B22" s="23" t="inlineStr">
        <is>
          <t>环氧酚醛</t>
        </is>
      </c>
      <c r="C22" s="22" t="inlineStr">
        <is>
          <t>RF160</t>
        </is>
      </c>
      <c r="D22" s="22" t="n">
        <v>11.73</v>
      </c>
      <c r="E22" s="22">
        <f>VLOOKUP($C22,原料主数据!$A:$E,4,FALSE())</f>
        <v/>
      </c>
      <c r="F22" s="22">
        <f>VLOOKUP($C22,原料主数据!$A:$E,5,FALSE())</f>
        <v/>
      </c>
      <c r="G22" s="22">
        <f>$D22*VLOOKUP($C22,原料主数据!$A:$AL, 7, FALSE())</f>
        <v/>
      </c>
      <c r="H22" s="22">
        <f>$D22*VLOOKUP($C22,原料主数据!$A:$AL, 8, FALSE())</f>
        <v/>
      </c>
      <c r="I22" s="22">
        <f>$D22*VLOOKUP($C22,原料主数据!$A:$AL, 9, FALSE())</f>
        <v/>
      </c>
      <c r="J22" s="22">
        <f>$D22*VLOOKUP($C22,原料主数据!$A:$AL, 10, FALSE())</f>
        <v/>
      </c>
      <c r="K22" s="22">
        <f>$D22*VLOOKUP($C22,原料主数据!$A:$AL, 11, FALSE())</f>
        <v/>
      </c>
      <c r="L22" s="22">
        <f>$D22*VLOOKUP($C22,原料主数据!$A:$AL, 12, FALSE())</f>
        <v/>
      </c>
      <c r="M22" s="22">
        <f>$D22*VLOOKUP($C22,原料主数据!$A:$AL, 13, FALSE())</f>
        <v/>
      </c>
      <c r="N22" s="22">
        <f>$D22*VLOOKUP($C22,原料主数据!$A:$AL, 14, FALSE())</f>
        <v/>
      </c>
      <c r="O22" s="22">
        <f>$D22*VLOOKUP($C22,原料主数据!$A:$AL, 15, FALSE())</f>
        <v/>
      </c>
      <c r="P22" s="22">
        <f>$D22*VLOOKUP($C22,原料主数据!$A:$AL, 16, FALSE())</f>
        <v/>
      </c>
      <c r="Q22" s="22">
        <f>$D22*VLOOKUP($C22,原料主数据!$A:$AL, 17, FALSE())</f>
        <v/>
      </c>
      <c r="R22" s="22">
        <f>$D22*VLOOKUP($C22,原料主数据!$A:$AL, 18, FALSE())</f>
        <v/>
      </c>
      <c r="S22" s="22">
        <f>$D22*VLOOKUP($C22,原料主数据!$A:$AL, 19, FALSE())</f>
        <v/>
      </c>
      <c r="T22" s="22">
        <f>$D22*VLOOKUP($C22,原料主数据!$A:$AL, 20, FALSE())</f>
        <v/>
      </c>
      <c r="U22" s="22">
        <f>$D22*VLOOKUP($C22,原料主数据!$A:$AL, 21, FALSE())</f>
        <v/>
      </c>
      <c r="V22" s="22">
        <f>$D22*VLOOKUP($C22,原料主数据!$A:$AL, 22, FALSE())</f>
        <v/>
      </c>
      <c r="W22" s="22">
        <f>$D22*VLOOKUP($C22,原料主数据!$A:$AL, 23, FALSE())</f>
        <v/>
      </c>
      <c r="X22" s="22">
        <f>$D22*VLOOKUP($C22,原料主数据!$A:$AL, 24, FALSE())</f>
        <v/>
      </c>
      <c r="Y22" s="22">
        <f>$D22*VLOOKUP($C22,原料主数据!$A:$AL, 25, FALSE())</f>
        <v/>
      </c>
      <c r="Z22" s="22">
        <f>$D22*VLOOKUP($C22,原料主数据!$A:$AL, 26, FALSE())</f>
        <v/>
      </c>
      <c r="AA22" s="22">
        <f>$D22*VLOOKUP($C22,原料主数据!$A:$AL, 27, FALSE())</f>
        <v/>
      </c>
      <c r="AB22" s="22">
        <f>$D22*VLOOKUP($C22,原料主数据!$A:$AL, 28, FALSE())</f>
        <v/>
      </c>
      <c r="AC22" s="22">
        <f>$D22*VLOOKUP($C22,原料主数据!$A:$AL, 29, FALSE())</f>
        <v/>
      </c>
      <c r="AD22" s="22">
        <f>$D22*VLOOKUP($C22,原料主数据!$A:$AL, 30, FALSE())</f>
        <v/>
      </c>
      <c r="AE22" s="22">
        <f>$D22*VLOOKUP($C22,原料主数据!$A:$AL, 31, FALSE())</f>
        <v/>
      </c>
      <c r="AF22" s="22">
        <f>$D22*VLOOKUP($C22,原料主数据!$A:$AL, 32, FALSE())</f>
        <v/>
      </c>
      <c r="AG22" s="22">
        <f>$D22*VLOOKUP($C22,原料主数据!$A:$AL, 33, FALSE())</f>
        <v/>
      </c>
      <c r="AH22" s="22">
        <f>$D22*VLOOKUP($C22,原料主数据!$A:$AL, 34, FALSE())</f>
        <v/>
      </c>
      <c r="AI22" s="22">
        <f>$D22*VLOOKUP($C22,原料主数据!$A:$AL, 35, FALSE())</f>
        <v/>
      </c>
      <c r="AJ22" s="22">
        <f>$D22*VLOOKUP($C22,原料主数据!$A:$AL, 36, FALSE())</f>
        <v/>
      </c>
      <c r="AK22" s="22">
        <f>$D22*VLOOKUP($C22,原料主数据!$A:$AL, 37, FALSE())</f>
        <v/>
      </c>
      <c r="AL22" s="22">
        <f>$D22*VLOOKUP($C22,原料主数据!$A:$AL, 38, FALSE())</f>
        <v/>
      </c>
    </row>
    <row r="23" ht="15" customHeight="1" s="15">
      <c r="A23" s="25" t="inlineStr">
        <is>
          <t>EP-0003</t>
        </is>
      </c>
      <c r="B23" s="26" t="inlineStr">
        <is>
          <t>环氧酚醛</t>
        </is>
      </c>
      <c r="C23" s="25" t="inlineStr">
        <is>
          <t>RF950</t>
        </is>
      </c>
      <c r="D23" s="25" t="n">
        <v>0.46</v>
      </c>
      <c r="E23" s="25">
        <f>VLOOKUP($C23,原料主数据!$A:$E,4,FALSE())</f>
        <v/>
      </c>
      <c r="F23" s="25">
        <f>VLOOKUP($C23,原料主数据!$A:$E,5,FALSE())</f>
        <v/>
      </c>
      <c r="G23" s="25">
        <f>$D23*VLOOKUP($C23,原料主数据!$A:$AL, 7, FALSE())</f>
        <v/>
      </c>
      <c r="H23" s="25">
        <f>$D23*VLOOKUP($C23,原料主数据!$A:$AL, 8, FALSE())</f>
        <v/>
      </c>
      <c r="I23" s="25">
        <f>$D23*VLOOKUP($C23,原料主数据!$A:$AL, 9, FALSE())</f>
        <v/>
      </c>
      <c r="J23" s="25">
        <f>$D23*VLOOKUP($C23,原料主数据!$A:$AL, 10, FALSE())</f>
        <v/>
      </c>
      <c r="K23" s="25">
        <f>$D23*VLOOKUP($C23,原料主数据!$A:$AL, 11, FALSE())</f>
        <v/>
      </c>
      <c r="L23" s="25">
        <f>$D23*VLOOKUP($C23,原料主数据!$A:$AL, 12, FALSE())</f>
        <v/>
      </c>
      <c r="M23" s="25">
        <f>$D23*VLOOKUP($C23,原料主数据!$A:$AL, 13, FALSE())</f>
        <v/>
      </c>
      <c r="N23" s="25">
        <f>$D23*VLOOKUP($C23,原料主数据!$A:$AL, 14, FALSE())</f>
        <v/>
      </c>
      <c r="O23" s="25">
        <f>$D23*VLOOKUP($C23,原料主数据!$A:$AL, 15, FALSE())</f>
        <v/>
      </c>
      <c r="P23" s="25">
        <f>$D23*VLOOKUP($C23,原料主数据!$A:$AL, 16, FALSE())</f>
        <v/>
      </c>
      <c r="Q23" s="25">
        <f>$D23*VLOOKUP($C23,原料主数据!$A:$AL, 17, FALSE())</f>
        <v/>
      </c>
      <c r="R23" s="25">
        <f>$D23*VLOOKUP($C23,原料主数据!$A:$AL, 18, FALSE())</f>
        <v/>
      </c>
      <c r="S23" s="25">
        <f>$D23*VLOOKUP($C23,原料主数据!$A:$AL, 19, FALSE())</f>
        <v/>
      </c>
      <c r="T23" s="25">
        <f>$D23*VLOOKUP($C23,原料主数据!$A:$AL, 20, FALSE())</f>
        <v/>
      </c>
      <c r="U23" s="25">
        <f>$D23*VLOOKUP($C23,原料主数据!$A:$AL, 21, FALSE())</f>
        <v/>
      </c>
      <c r="V23" s="25">
        <f>$D23*VLOOKUP($C23,原料主数据!$A:$AL, 22, FALSE())</f>
        <v/>
      </c>
      <c r="W23" s="25">
        <f>$D23*VLOOKUP($C23,原料主数据!$A:$AL, 23, FALSE())</f>
        <v/>
      </c>
      <c r="X23" s="25">
        <f>$D23*VLOOKUP($C23,原料主数据!$A:$AL, 24, FALSE())</f>
        <v/>
      </c>
      <c r="Y23" s="25">
        <f>$D23*VLOOKUP($C23,原料主数据!$A:$AL, 25, FALSE())</f>
        <v/>
      </c>
      <c r="Z23" s="25">
        <f>$D23*VLOOKUP($C23,原料主数据!$A:$AL, 26, FALSE())</f>
        <v/>
      </c>
      <c r="AA23" s="25">
        <f>$D23*VLOOKUP($C23,原料主数据!$A:$AL, 27, FALSE())</f>
        <v/>
      </c>
      <c r="AB23" s="25">
        <f>$D23*VLOOKUP($C23,原料主数据!$A:$AL, 28, FALSE())</f>
        <v/>
      </c>
      <c r="AC23" s="25">
        <f>$D23*VLOOKUP($C23,原料主数据!$A:$AL, 29, FALSE())</f>
        <v/>
      </c>
      <c r="AD23" s="25">
        <f>$D23*VLOOKUP($C23,原料主数据!$A:$AL, 30, FALSE())</f>
        <v/>
      </c>
      <c r="AE23" s="25">
        <f>$D23*VLOOKUP($C23,原料主数据!$A:$AL, 31, FALSE())</f>
        <v/>
      </c>
      <c r="AF23" s="25">
        <f>$D23*VLOOKUP($C23,原料主数据!$A:$AL, 32, FALSE())</f>
        <v/>
      </c>
      <c r="AG23" s="25">
        <f>$D23*VLOOKUP($C23,原料主数据!$A:$AL, 33, FALSE())</f>
        <v/>
      </c>
      <c r="AH23" s="25">
        <f>$D23*VLOOKUP($C23,原料主数据!$A:$AL, 34, FALSE())</f>
        <v/>
      </c>
      <c r="AI23" s="25">
        <f>$D23*VLOOKUP($C23,原料主数据!$A:$AL, 35, FALSE())</f>
        <v/>
      </c>
      <c r="AJ23" s="25">
        <f>$D23*VLOOKUP($C23,原料主数据!$A:$AL, 36, FALSE())</f>
        <v/>
      </c>
      <c r="AK23" s="25">
        <f>$D23*VLOOKUP($C23,原料主数据!$A:$AL, 37, FALSE())</f>
        <v/>
      </c>
      <c r="AL23" s="25">
        <f>$D23*VLOOKUP($C23,原料主数据!$A:$AL, 38, FALSE())</f>
        <v/>
      </c>
    </row>
    <row r="24" ht="15" customHeight="1" s="15">
      <c r="A24" s="22" t="inlineStr">
        <is>
          <t>EP-0003</t>
        </is>
      </c>
      <c r="B24" s="23" t="inlineStr">
        <is>
          <t>环氧酚醛</t>
        </is>
      </c>
      <c r="C24" s="22" t="inlineStr">
        <is>
          <t>1510蜡</t>
        </is>
      </c>
      <c r="D24" s="22" t="n">
        <v>3</v>
      </c>
      <c r="E24" s="22">
        <f>VLOOKUP($C24,原料主数据!$A:$E,4,FALSE())</f>
        <v/>
      </c>
      <c r="F24" s="22">
        <f>VLOOKUP($C24,原料主数据!$A:$E,5,FALSE())</f>
        <v/>
      </c>
      <c r="G24" s="22">
        <f>$D24*VLOOKUP($C24,原料主数据!$A:$AL, 7, FALSE())</f>
        <v/>
      </c>
      <c r="H24" s="22">
        <f>$D24*VLOOKUP($C24,原料主数据!$A:$AL, 8, FALSE())</f>
        <v/>
      </c>
      <c r="I24" s="22">
        <f>$D24*VLOOKUP($C24,原料主数据!$A:$AL, 9, FALSE())</f>
        <v/>
      </c>
      <c r="J24" s="22">
        <f>$D24*VLOOKUP($C24,原料主数据!$A:$AL, 10, FALSE())</f>
        <v/>
      </c>
      <c r="K24" s="22">
        <f>$D24*VLOOKUP($C24,原料主数据!$A:$AL, 11, FALSE())</f>
        <v/>
      </c>
      <c r="L24" s="22">
        <f>$D24*VLOOKUP($C24,原料主数据!$A:$AL, 12, FALSE())</f>
        <v/>
      </c>
      <c r="M24" s="22">
        <f>$D24*VLOOKUP($C24,原料主数据!$A:$AL, 13, FALSE())</f>
        <v/>
      </c>
      <c r="N24" s="22">
        <f>$D24*VLOOKUP($C24,原料主数据!$A:$AL, 14, FALSE())</f>
        <v/>
      </c>
      <c r="O24" s="22">
        <f>$D24*VLOOKUP($C24,原料主数据!$A:$AL, 15, FALSE())</f>
        <v/>
      </c>
      <c r="P24" s="22">
        <f>$D24*VLOOKUP($C24,原料主数据!$A:$AL, 16, FALSE())</f>
        <v/>
      </c>
      <c r="Q24" s="22">
        <f>$D24*VLOOKUP($C24,原料主数据!$A:$AL, 17, FALSE())</f>
        <v/>
      </c>
      <c r="R24" s="22">
        <f>$D24*VLOOKUP($C24,原料主数据!$A:$AL, 18, FALSE())</f>
        <v/>
      </c>
      <c r="S24" s="22">
        <f>$D24*VLOOKUP($C24,原料主数据!$A:$AL, 19, FALSE())</f>
        <v/>
      </c>
      <c r="T24" s="22">
        <f>$D24*VLOOKUP($C24,原料主数据!$A:$AL, 20, FALSE())</f>
        <v/>
      </c>
      <c r="U24" s="22">
        <f>$D24*VLOOKUP($C24,原料主数据!$A:$AL, 21, FALSE())</f>
        <v/>
      </c>
      <c r="V24" s="22">
        <f>$D24*VLOOKUP($C24,原料主数据!$A:$AL, 22, FALSE())</f>
        <v/>
      </c>
      <c r="W24" s="22">
        <f>$D24*VLOOKUP($C24,原料主数据!$A:$AL, 23, FALSE())</f>
        <v/>
      </c>
      <c r="X24" s="22">
        <f>$D24*VLOOKUP($C24,原料主数据!$A:$AL, 24, FALSE())</f>
        <v/>
      </c>
      <c r="Y24" s="22">
        <f>$D24*VLOOKUP($C24,原料主数据!$A:$AL, 25, FALSE())</f>
        <v/>
      </c>
      <c r="Z24" s="22">
        <f>$D24*VLOOKUP($C24,原料主数据!$A:$AL, 26, FALSE())</f>
        <v/>
      </c>
      <c r="AA24" s="22">
        <f>$D24*VLOOKUP($C24,原料主数据!$A:$AL, 27, FALSE())</f>
        <v/>
      </c>
      <c r="AB24" s="22">
        <f>$D24*VLOOKUP($C24,原料主数据!$A:$AL, 28, FALSE())</f>
        <v/>
      </c>
      <c r="AC24" s="22">
        <f>$D24*VLOOKUP($C24,原料主数据!$A:$AL, 29, FALSE())</f>
        <v/>
      </c>
      <c r="AD24" s="22">
        <f>$D24*VLOOKUP($C24,原料主数据!$A:$AL, 30, FALSE())</f>
        <v/>
      </c>
      <c r="AE24" s="22">
        <f>$D24*VLOOKUP($C24,原料主数据!$A:$AL, 31, FALSE())</f>
        <v/>
      </c>
      <c r="AF24" s="22">
        <f>$D24*VLOOKUP($C24,原料主数据!$A:$AL, 32, FALSE())</f>
        <v/>
      </c>
      <c r="AG24" s="22">
        <f>$D24*VLOOKUP($C24,原料主数据!$A:$AL, 33, FALSE())</f>
        <v/>
      </c>
      <c r="AH24" s="22">
        <f>$D24*VLOOKUP($C24,原料主数据!$A:$AL, 34, FALSE())</f>
        <v/>
      </c>
      <c r="AI24" s="22">
        <f>$D24*VLOOKUP($C24,原料主数据!$A:$AL, 35, FALSE())</f>
        <v/>
      </c>
      <c r="AJ24" s="22">
        <f>$D24*VLOOKUP($C24,原料主数据!$A:$AL, 36, FALSE())</f>
        <v/>
      </c>
      <c r="AK24" s="22">
        <f>$D24*VLOOKUP($C24,原料主数据!$A:$AL, 37, FALSE())</f>
        <v/>
      </c>
      <c r="AL24" s="22">
        <f>$D24*VLOOKUP($C24,原料主数据!$A:$AL, 38, FALSE())</f>
        <v/>
      </c>
    </row>
    <row r="25" ht="15" customHeight="1" s="15">
      <c r="A25" s="25" t="inlineStr">
        <is>
          <t>EP-0003</t>
        </is>
      </c>
      <c r="B25" s="26" t="inlineStr">
        <is>
          <t>环氧酚醛</t>
        </is>
      </c>
      <c r="C25" s="25" t="inlineStr">
        <is>
          <t>AZ088</t>
        </is>
      </c>
      <c r="D25" s="25" t="n">
        <v>0.06</v>
      </c>
      <c r="E25" s="25">
        <f>VLOOKUP($C25,原料主数据!$A:$E,4,FALSE())</f>
        <v/>
      </c>
      <c r="F25" s="25">
        <f>VLOOKUP($C25,原料主数据!$A:$E,5,FALSE())</f>
        <v/>
      </c>
      <c r="G25" s="25">
        <f>$D25*VLOOKUP($C25,原料主数据!$A:$AL, 7, FALSE())</f>
        <v/>
      </c>
      <c r="H25" s="25">
        <f>$D25*VLOOKUP($C25,原料主数据!$A:$AL, 8, FALSE())</f>
        <v/>
      </c>
      <c r="I25" s="25">
        <f>$D25*VLOOKUP($C25,原料主数据!$A:$AL, 9, FALSE())</f>
        <v/>
      </c>
      <c r="J25" s="25">
        <f>$D25*VLOOKUP($C25,原料主数据!$A:$AL, 10, FALSE())</f>
        <v/>
      </c>
      <c r="K25" s="25">
        <f>$D25*VLOOKUP($C25,原料主数据!$A:$AL, 11, FALSE())</f>
        <v/>
      </c>
      <c r="L25" s="25">
        <f>$D25*VLOOKUP($C25,原料主数据!$A:$AL, 12, FALSE())</f>
        <v/>
      </c>
      <c r="M25" s="25">
        <f>$D25*VLOOKUP($C25,原料主数据!$A:$AL, 13, FALSE())</f>
        <v/>
      </c>
      <c r="N25" s="25">
        <f>$D25*VLOOKUP($C25,原料主数据!$A:$AL, 14, FALSE())</f>
        <v/>
      </c>
      <c r="O25" s="25">
        <f>$D25*VLOOKUP($C25,原料主数据!$A:$AL, 15, FALSE())</f>
        <v/>
      </c>
      <c r="P25" s="25">
        <f>$D25*VLOOKUP($C25,原料主数据!$A:$AL, 16, FALSE())</f>
        <v/>
      </c>
      <c r="Q25" s="25">
        <f>$D25*VLOOKUP($C25,原料主数据!$A:$AL, 17, FALSE())</f>
        <v/>
      </c>
      <c r="R25" s="25">
        <f>$D25*VLOOKUP($C25,原料主数据!$A:$AL, 18, FALSE())</f>
        <v/>
      </c>
      <c r="S25" s="25">
        <f>$D25*VLOOKUP($C25,原料主数据!$A:$AL, 19, FALSE())</f>
        <v/>
      </c>
      <c r="T25" s="25">
        <f>$D25*VLOOKUP($C25,原料主数据!$A:$AL, 20, FALSE())</f>
        <v/>
      </c>
      <c r="U25" s="25">
        <f>$D25*VLOOKUP($C25,原料主数据!$A:$AL, 21, FALSE())</f>
        <v/>
      </c>
      <c r="V25" s="25">
        <f>$D25*VLOOKUP($C25,原料主数据!$A:$AL, 22, FALSE())</f>
        <v/>
      </c>
      <c r="W25" s="25">
        <f>$D25*VLOOKUP($C25,原料主数据!$A:$AL, 23, FALSE())</f>
        <v/>
      </c>
      <c r="X25" s="25">
        <f>$D25*VLOOKUP($C25,原料主数据!$A:$AL, 24, FALSE())</f>
        <v/>
      </c>
      <c r="Y25" s="25">
        <f>$D25*VLOOKUP($C25,原料主数据!$A:$AL, 25, FALSE())</f>
        <v/>
      </c>
      <c r="Z25" s="25">
        <f>$D25*VLOOKUP($C25,原料主数据!$A:$AL, 26, FALSE())</f>
        <v/>
      </c>
      <c r="AA25" s="25">
        <f>$D25*VLOOKUP($C25,原料主数据!$A:$AL, 27, FALSE())</f>
        <v/>
      </c>
      <c r="AB25" s="25">
        <f>$D25*VLOOKUP($C25,原料主数据!$A:$AL, 28, FALSE())</f>
        <v/>
      </c>
      <c r="AC25" s="25">
        <f>$D25*VLOOKUP($C25,原料主数据!$A:$AL, 29, FALSE())</f>
        <v/>
      </c>
      <c r="AD25" s="25">
        <f>$D25*VLOOKUP($C25,原料主数据!$A:$AL, 30, FALSE())</f>
        <v/>
      </c>
      <c r="AE25" s="25">
        <f>$D25*VLOOKUP($C25,原料主数据!$A:$AL, 31, FALSE())</f>
        <v/>
      </c>
      <c r="AF25" s="25">
        <f>$D25*VLOOKUP($C25,原料主数据!$A:$AL, 32, FALSE())</f>
        <v/>
      </c>
      <c r="AG25" s="25">
        <f>$D25*VLOOKUP($C25,原料主数据!$A:$AL, 33, FALSE())</f>
        <v/>
      </c>
      <c r="AH25" s="25">
        <f>$D25*VLOOKUP($C25,原料主数据!$A:$AL, 34, FALSE())</f>
        <v/>
      </c>
      <c r="AI25" s="25">
        <f>$D25*VLOOKUP($C25,原料主数据!$A:$AL, 35, FALSE())</f>
        <v/>
      </c>
      <c r="AJ25" s="25">
        <f>$D25*VLOOKUP($C25,原料主数据!$A:$AL, 36, FALSE())</f>
        <v/>
      </c>
      <c r="AK25" s="25">
        <f>$D25*VLOOKUP($C25,原料主数据!$A:$AL, 37, FALSE())</f>
        <v/>
      </c>
      <c r="AL25" s="25">
        <f>$D25*VLOOKUP($C25,原料主数据!$A:$AL, 38, FALSE())</f>
        <v/>
      </c>
    </row>
    <row r="26" ht="15" customHeight="1" s="15">
      <c r="A26" s="22" t="inlineStr">
        <is>
          <t>EP-0003</t>
        </is>
      </c>
      <c r="B26" s="23" t="inlineStr">
        <is>
          <t>环氧酚醛</t>
        </is>
      </c>
      <c r="C26" s="23" t="inlineStr">
        <is>
          <t>正丁醇</t>
        </is>
      </c>
      <c r="D26" s="22" t="n">
        <v>4.11</v>
      </c>
      <c r="E26" s="22">
        <f>VLOOKUP($C26,原料主数据!$A:$E,4,FALSE())</f>
        <v/>
      </c>
      <c r="F26" s="22">
        <f>VLOOKUP($C26,原料主数据!$A:$E,5,FALSE())</f>
        <v/>
      </c>
      <c r="G26" s="22">
        <f>$D26*VLOOKUP($C26,原料主数据!$A:$AL, 7, FALSE())</f>
        <v/>
      </c>
      <c r="H26" s="22">
        <f>$D26*VLOOKUP($C26,原料主数据!$A:$AL, 8, FALSE())</f>
        <v/>
      </c>
      <c r="I26" s="22">
        <f>$D26*VLOOKUP($C26,原料主数据!$A:$AL, 9, FALSE())</f>
        <v/>
      </c>
      <c r="J26" s="22">
        <f>$D26*VLOOKUP($C26,原料主数据!$A:$AL, 10, FALSE())</f>
        <v/>
      </c>
      <c r="K26" s="22">
        <f>$D26*VLOOKUP($C26,原料主数据!$A:$AL, 11, FALSE())</f>
        <v/>
      </c>
      <c r="L26" s="22">
        <f>$D26*VLOOKUP($C26,原料主数据!$A:$AL, 12, FALSE())</f>
        <v/>
      </c>
      <c r="M26" s="22">
        <f>$D26*VLOOKUP($C26,原料主数据!$A:$AL, 13, FALSE())</f>
        <v/>
      </c>
      <c r="N26" s="22">
        <f>$D26*VLOOKUP($C26,原料主数据!$A:$AL, 14, FALSE())</f>
        <v/>
      </c>
      <c r="O26" s="22">
        <f>$D26*VLOOKUP($C26,原料主数据!$A:$AL, 15, FALSE())</f>
        <v/>
      </c>
      <c r="P26" s="22">
        <f>$D26*VLOOKUP($C26,原料主数据!$A:$AL, 16, FALSE())</f>
        <v/>
      </c>
      <c r="Q26" s="22">
        <f>$D26*VLOOKUP($C26,原料主数据!$A:$AL, 17, FALSE())</f>
        <v/>
      </c>
      <c r="R26" s="22">
        <f>$D26*VLOOKUP($C26,原料主数据!$A:$AL, 18, FALSE())</f>
        <v/>
      </c>
      <c r="S26" s="22">
        <f>$D26*VLOOKUP($C26,原料主数据!$A:$AL, 19, FALSE())</f>
        <v/>
      </c>
      <c r="T26" s="22">
        <f>$D26*VLOOKUP($C26,原料主数据!$A:$AL, 20, FALSE())</f>
        <v/>
      </c>
      <c r="U26" s="22">
        <f>$D26*VLOOKUP($C26,原料主数据!$A:$AL, 21, FALSE())</f>
        <v/>
      </c>
      <c r="V26" s="22">
        <f>$D26*VLOOKUP($C26,原料主数据!$A:$AL, 22, FALSE())</f>
        <v/>
      </c>
      <c r="W26" s="22">
        <f>$D26*VLOOKUP($C26,原料主数据!$A:$AL, 23, FALSE())</f>
        <v/>
      </c>
      <c r="X26" s="22">
        <f>$D26*VLOOKUP($C26,原料主数据!$A:$AL, 24, FALSE())</f>
        <v/>
      </c>
      <c r="Y26" s="22">
        <f>$D26*VLOOKUP($C26,原料主数据!$A:$AL, 25, FALSE())</f>
        <v/>
      </c>
      <c r="Z26" s="22">
        <f>$D26*VLOOKUP($C26,原料主数据!$A:$AL, 26, FALSE())</f>
        <v/>
      </c>
      <c r="AA26" s="22">
        <f>$D26*VLOOKUP($C26,原料主数据!$A:$AL, 27, FALSE())</f>
        <v/>
      </c>
      <c r="AB26" s="22">
        <f>$D26*VLOOKUP($C26,原料主数据!$A:$AL, 28, FALSE())</f>
        <v/>
      </c>
      <c r="AC26" s="22">
        <f>$D26*VLOOKUP($C26,原料主数据!$A:$AL, 29, FALSE())</f>
        <v/>
      </c>
      <c r="AD26" s="22">
        <f>$D26*VLOOKUP($C26,原料主数据!$A:$AL, 30, FALSE())</f>
        <v/>
      </c>
      <c r="AE26" s="22">
        <f>$D26*VLOOKUP($C26,原料主数据!$A:$AL, 31, FALSE())</f>
        <v/>
      </c>
      <c r="AF26" s="22">
        <f>$D26*VLOOKUP($C26,原料主数据!$A:$AL, 32, FALSE())</f>
        <v/>
      </c>
      <c r="AG26" s="22">
        <f>$D26*VLOOKUP($C26,原料主数据!$A:$AL, 33, FALSE())</f>
        <v/>
      </c>
      <c r="AH26" s="22">
        <f>$D26*VLOOKUP($C26,原料主数据!$A:$AL, 34, FALSE())</f>
        <v/>
      </c>
      <c r="AI26" s="22">
        <f>$D26*VLOOKUP($C26,原料主数据!$A:$AL, 35, FALSE())</f>
        <v/>
      </c>
      <c r="AJ26" s="22">
        <f>$D26*VLOOKUP($C26,原料主数据!$A:$AL, 36, FALSE())</f>
        <v/>
      </c>
      <c r="AK26" s="22">
        <f>$D26*VLOOKUP($C26,原料主数据!$A:$AL, 37, FALSE())</f>
        <v/>
      </c>
      <c r="AL26" s="22">
        <f>$D26*VLOOKUP($C26,原料主数据!$A:$AL, 38, FALSE())</f>
        <v/>
      </c>
    </row>
    <row r="27" ht="15" customHeight="1" s="15">
      <c r="A27" s="25" t="inlineStr">
        <is>
          <t>EP-0003</t>
        </is>
      </c>
      <c r="B27" s="26" t="inlineStr">
        <is>
          <t>环氧酚醛</t>
        </is>
      </c>
      <c r="C27" s="26" t="inlineStr">
        <is>
          <t>补加混合液</t>
        </is>
      </c>
      <c r="D27" s="25" t="n">
        <v>6.24</v>
      </c>
      <c r="E27" s="25">
        <f>VLOOKUP($C27,原料主数据!$A:$E,4,FALSE())</f>
        <v/>
      </c>
      <c r="F27" s="25">
        <f>VLOOKUP($C27,原料主数据!$A:$E,5,FALSE())</f>
        <v/>
      </c>
      <c r="G27" s="25">
        <f>$D27*VLOOKUP($C27,原料主数据!$A:$AL, 7, FALSE())</f>
        <v/>
      </c>
      <c r="H27" s="25">
        <f>$D27*VLOOKUP($C27,原料主数据!$A:$AL, 8, FALSE())</f>
        <v/>
      </c>
      <c r="I27" s="25">
        <f>$D27*VLOOKUP($C27,原料主数据!$A:$AL, 9, FALSE())</f>
        <v/>
      </c>
      <c r="J27" s="25">
        <f>$D27*VLOOKUP($C27,原料主数据!$A:$AL, 10, FALSE())</f>
        <v/>
      </c>
      <c r="K27" s="25">
        <f>$D27*VLOOKUP($C27,原料主数据!$A:$AL, 11, FALSE())</f>
        <v/>
      </c>
      <c r="L27" s="25">
        <f>$D27*VLOOKUP($C27,原料主数据!$A:$AL, 12, FALSE())</f>
        <v/>
      </c>
      <c r="M27" s="25">
        <f>$D27*VLOOKUP($C27,原料主数据!$A:$AL, 13, FALSE())</f>
        <v/>
      </c>
      <c r="N27" s="25">
        <f>$D27*VLOOKUP($C27,原料主数据!$A:$AL, 14, FALSE())</f>
        <v/>
      </c>
      <c r="O27" s="25">
        <f>$D27*VLOOKUP($C27,原料主数据!$A:$AL, 15, FALSE())</f>
        <v/>
      </c>
      <c r="P27" s="25">
        <f>$D27*VLOOKUP($C27,原料主数据!$A:$AL, 16, FALSE())</f>
        <v/>
      </c>
      <c r="Q27" s="25">
        <f>$D27*VLOOKUP($C27,原料主数据!$A:$AL, 17, FALSE())</f>
        <v/>
      </c>
      <c r="R27" s="25">
        <f>$D27*VLOOKUP($C27,原料主数据!$A:$AL, 18, FALSE())</f>
        <v/>
      </c>
      <c r="S27" s="25">
        <f>$D27*VLOOKUP($C27,原料主数据!$A:$AL, 19, FALSE())</f>
        <v/>
      </c>
      <c r="T27" s="25">
        <f>$D27*VLOOKUP($C27,原料主数据!$A:$AL, 20, FALSE())</f>
        <v/>
      </c>
      <c r="U27" s="25">
        <f>$D27*VLOOKUP($C27,原料主数据!$A:$AL, 21, FALSE())</f>
        <v/>
      </c>
      <c r="V27" s="25">
        <f>$D27*VLOOKUP($C27,原料主数据!$A:$AL, 22, FALSE())</f>
        <v/>
      </c>
      <c r="W27" s="25">
        <f>$D27*VLOOKUP($C27,原料主数据!$A:$AL, 23, FALSE())</f>
        <v/>
      </c>
      <c r="X27" s="25">
        <f>$D27*VLOOKUP($C27,原料主数据!$A:$AL, 24, FALSE())</f>
        <v/>
      </c>
      <c r="Y27" s="25">
        <f>$D27*VLOOKUP($C27,原料主数据!$A:$AL, 25, FALSE())</f>
        <v/>
      </c>
      <c r="Z27" s="25">
        <f>$D27*VLOOKUP($C27,原料主数据!$A:$AL, 26, FALSE())</f>
        <v/>
      </c>
      <c r="AA27" s="25">
        <f>$D27*VLOOKUP($C27,原料主数据!$A:$AL, 27, FALSE())</f>
        <v/>
      </c>
      <c r="AB27" s="25">
        <f>$D27*VLOOKUP($C27,原料主数据!$A:$AL, 28, FALSE())</f>
        <v/>
      </c>
      <c r="AC27" s="25">
        <f>$D27*VLOOKUP($C27,原料主数据!$A:$AL, 29, FALSE())</f>
        <v/>
      </c>
      <c r="AD27" s="25">
        <f>$D27*VLOOKUP($C27,原料主数据!$A:$AL, 30, FALSE())</f>
        <v/>
      </c>
      <c r="AE27" s="25">
        <f>$D27*VLOOKUP($C27,原料主数据!$A:$AL, 31, FALSE())</f>
        <v/>
      </c>
      <c r="AF27" s="25">
        <f>$D27*VLOOKUP($C27,原料主数据!$A:$AL, 32, FALSE())</f>
        <v/>
      </c>
      <c r="AG27" s="25">
        <f>$D27*VLOOKUP($C27,原料主数据!$A:$AL, 33, FALSE())</f>
        <v/>
      </c>
      <c r="AH27" s="25">
        <f>$D27*VLOOKUP($C27,原料主数据!$A:$AL, 34, FALSE())</f>
        <v/>
      </c>
      <c r="AI27" s="25">
        <f>$D27*VLOOKUP($C27,原料主数据!$A:$AL, 35, FALSE())</f>
        <v/>
      </c>
      <c r="AJ27" s="25">
        <f>$D27*VLOOKUP($C27,原料主数据!$A:$AL, 36, FALSE())</f>
        <v/>
      </c>
      <c r="AK27" s="25">
        <f>$D27*VLOOKUP($C27,原料主数据!$A:$AL, 37, FALSE())</f>
        <v/>
      </c>
      <c r="AL27" s="25">
        <f>$D27*VLOOKUP($C27,原料主数据!$A:$AL, 38, FALSE())</f>
        <v/>
      </c>
    </row>
    <row r="28" ht="15" customHeight="1" s="15">
      <c r="A28" s="22" t="inlineStr">
        <is>
          <t>EP-0003</t>
        </is>
      </c>
      <c r="B28" s="23" t="inlineStr">
        <is>
          <t>环氧酚醛</t>
        </is>
      </c>
      <c r="C28" s="22" t="inlineStr">
        <is>
          <t>10%磷酸</t>
        </is>
      </c>
      <c r="D28" s="22" t="n">
        <v>1.79</v>
      </c>
      <c r="E28" s="22">
        <f>VLOOKUP($C28,原料主数据!$A:$E,4,FALSE())</f>
        <v/>
      </c>
      <c r="F28" s="22">
        <f>VLOOKUP($C28,原料主数据!$A:$E,5,FALSE())</f>
        <v/>
      </c>
      <c r="G28" s="22">
        <f>$D28*VLOOKUP($C28,原料主数据!$A:$AL, 7, FALSE())</f>
        <v/>
      </c>
      <c r="H28" s="22">
        <f>$D28*VLOOKUP($C28,原料主数据!$A:$AL, 8, FALSE())</f>
        <v/>
      </c>
      <c r="I28" s="22">
        <f>$D28*VLOOKUP($C28,原料主数据!$A:$AL, 9, FALSE())</f>
        <v/>
      </c>
      <c r="J28" s="22">
        <f>$D28*VLOOKUP($C28,原料主数据!$A:$AL, 10, FALSE())</f>
        <v/>
      </c>
      <c r="K28" s="22">
        <f>$D28*VLOOKUP($C28,原料主数据!$A:$AL, 11, FALSE())</f>
        <v/>
      </c>
      <c r="L28" s="22">
        <f>$D28*VLOOKUP($C28,原料主数据!$A:$AL, 12, FALSE())</f>
        <v/>
      </c>
      <c r="M28" s="22">
        <f>$D28*VLOOKUP($C28,原料主数据!$A:$AL, 13, FALSE())</f>
        <v/>
      </c>
      <c r="N28" s="22">
        <f>$D28*VLOOKUP($C28,原料主数据!$A:$AL, 14, FALSE())</f>
        <v/>
      </c>
      <c r="O28" s="22">
        <f>$D28*VLOOKUP($C28,原料主数据!$A:$AL, 15, FALSE())</f>
        <v/>
      </c>
      <c r="P28" s="22">
        <f>$D28*VLOOKUP($C28,原料主数据!$A:$AL, 16, FALSE())</f>
        <v/>
      </c>
      <c r="Q28" s="22">
        <f>$D28*VLOOKUP($C28,原料主数据!$A:$AL, 17, FALSE())</f>
        <v/>
      </c>
      <c r="R28" s="22">
        <f>$D28*VLOOKUP($C28,原料主数据!$A:$AL, 18, FALSE())</f>
        <v/>
      </c>
      <c r="S28" s="22">
        <f>$D28*VLOOKUP($C28,原料主数据!$A:$AL, 19, FALSE())</f>
        <v/>
      </c>
      <c r="T28" s="22">
        <f>$D28*VLOOKUP($C28,原料主数据!$A:$AL, 20, FALSE())</f>
        <v/>
      </c>
      <c r="U28" s="22">
        <f>$D28*VLOOKUP($C28,原料主数据!$A:$AL, 21, FALSE())</f>
        <v/>
      </c>
      <c r="V28" s="22">
        <f>$D28*VLOOKUP($C28,原料主数据!$A:$AL, 22, FALSE())</f>
        <v/>
      </c>
      <c r="W28" s="22">
        <f>$D28*VLOOKUP($C28,原料主数据!$A:$AL, 23, FALSE())</f>
        <v/>
      </c>
      <c r="X28" s="22">
        <f>$D28*VLOOKUP($C28,原料主数据!$A:$AL, 24, FALSE())</f>
        <v/>
      </c>
      <c r="Y28" s="22">
        <f>$D28*VLOOKUP($C28,原料主数据!$A:$AL, 25, FALSE())</f>
        <v/>
      </c>
      <c r="Z28" s="22">
        <f>$D28*VLOOKUP($C28,原料主数据!$A:$AL, 26, FALSE())</f>
        <v/>
      </c>
      <c r="AA28" s="22">
        <f>$D28*VLOOKUP($C28,原料主数据!$A:$AL, 27, FALSE())</f>
        <v/>
      </c>
      <c r="AB28" s="22">
        <f>$D28*VLOOKUP($C28,原料主数据!$A:$AL, 28, FALSE())</f>
        <v/>
      </c>
      <c r="AC28" s="22">
        <f>$D28*VLOOKUP($C28,原料主数据!$A:$AL, 29, FALSE())</f>
        <v/>
      </c>
      <c r="AD28" s="22">
        <f>$D28*VLOOKUP($C28,原料主数据!$A:$AL, 30, FALSE())</f>
        <v/>
      </c>
      <c r="AE28" s="22">
        <f>$D28*VLOOKUP($C28,原料主数据!$A:$AL, 31, FALSE())</f>
        <v/>
      </c>
      <c r="AF28" s="22">
        <f>$D28*VLOOKUP($C28,原料主数据!$A:$AL, 32, FALSE())</f>
        <v/>
      </c>
      <c r="AG28" s="22">
        <f>$D28*VLOOKUP($C28,原料主数据!$A:$AL, 33, FALSE())</f>
        <v/>
      </c>
      <c r="AH28" s="22">
        <f>$D28*VLOOKUP($C28,原料主数据!$A:$AL, 34, FALSE())</f>
        <v/>
      </c>
      <c r="AI28" s="22">
        <f>$D28*VLOOKUP($C28,原料主数据!$A:$AL, 35, FALSE())</f>
        <v/>
      </c>
      <c r="AJ28" s="22">
        <f>$D28*VLOOKUP($C28,原料主数据!$A:$AL, 36, FALSE())</f>
        <v/>
      </c>
      <c r="AK28" s="22">
        <f>$D28*VLOOKUP($C28,原料主数据!$A:$AL, 37, FALSE())</f>
        <v/>
      </c>
      <c r="AL28" s="22">
        <f>$D28*VLOOKUP($C28,原料主数据!$A:$AL, 38, FALSE())</f>
        <v/>
      </c>
    </row>
    <row r="29" ht="15" customHeight="1" s="15">
      <c r="A29" s="25" t="inlineStr">
        <is>
          <t>EP-0004</t>
        </is>
      </c>
      <c r="B29" s="26" t="inlineStr">
        <is>
          <t>环氧酚醛</t>
        </is>
      </c>
      <c r="C29" s="25" t="inlineStr">
        <is>
          <t>IR190</t>
        </is>
      </c>
      <c r="D29" s="25" t="n">
        <v>66.23999999999999</v>
      </c>
      <c r="E29" s="25">
        <f>VLOOKUP($C29,原料主数据!$A:$E,4,FALSE())</f>
        <v/>
      </c>
      <c r="F29" s="25">
        <f>VLOOKUP($C29,原料主数据!$A:$E,5,FALSE())</f>
        <v/>
      </c>
      <c r="G29" s="25">
        <f>$D29*VLOOKUP($C29,原料主数据!$A:$AL, 7, FALSE())</f>
        <v/>
      </c>
      <c r="H29" s="25">
        <f>$D29*VLOOKUP($C29,原料主数据!$A:$AL, 8, FALSE())</f>
        <v/>
      </c>
      <c r="I29" s="25">
        <f>$D29*VLOOKUP($C29,原料主数据!$A:$AL, 9, FALSE())</f>
        <v/>
      </c>
      <c r="J29" s="25">
        <f>$D29*VLOOKUP($C29,原料主数据!$A:$AL, 10, FALSE())</f>
        <v/>
      </c>
      <c r="K29" s="25">
        <f>$D29*VLOOKUP($C29,原料主数据!$A:$AL, 11, FALSE())</f>
        <v/>
      </c>
      <c r="L29" s="25">
        <f>$D29*VLOOKUP($C29,原料主数据!$A:$AL, 12, FALSE())</f>
        <v/>
      </c>
      <c r="M29" s="25">
        <f>$D29*VLOOKUP($C29,原料主数据!$A:$AL, 13, FALSE())</f>
        <v/>
      </c>
      <c r="N29" s="25">
        <f>$D29*VLOOKUP($C29,原料主数据!$A:$AL, 14, FALSE())</f>
        <v/>
      </c>
      <c r="O29" s="25">
        <f>$D29*VLOOKUP($C29,原料主数据!$A:$AL, 15, FALSE())</f>
        <v/>
      </c>
      <c r="P29" s="25">
        <f>$D29*VLOOKUP($C29,原料主数据!$A:$AL, 16, FALSE())</f>
        <v/>
      </c>
      <c r="Q29" s="25">
        <f>$D29*VLOOKUP($C29,原料主数据!$A:$AL, 17, FALSE())</f>
        <v/>
      </c>
      <c r="R29" s="25">
        <f>$D29*VLOOKUP($C29,原料主数据!$A:$AL, 18, FALSE())</f>
        <v/>
      </c>
      <c r="S29" s="25">
        <f>$D29*VLOOKUP($C29,原料主数据!$A:$AL, 19, FALSE())</f>
        <v/>
      </c>
      <c r="T29" s="25">
        <f>$D29*VLOOKUP($C29,原料主数据!$A:$AL, 20, FALSE())</f>
        <v/>
      </c>
      <c r="U29" s="25">
        <f>$D29*VLOOKUP($C29,原料主数据!$A:$AL, 21, FALSE())</f>
        <v/>
      </c>
      <c r="V29" s="25">
        <f>$D29*VLOOKUP($C29,原料主数据!$A:$AL, 22, FALSE())</f>
        <v/>
      </c>
      <c r="W29" s="25">
        <f>$D29*VLOOKUP($C29,原料主数据!$A:$AL, 23, FALSE())</f>
        <v/>
      </c>
      <c r="X29" s="25">
        <f>$D29*VLOOKUP($C29,原料主数据!$A:$AL, 24, FALSE())</f>
        <v/>
      </c>
      <c r="Y29" s="25">
        <f>$D29*VLOOKUP($C29,原料主数据!$A:$AL, 25, FALSE())</f>
        <v/>
      </c>
      <c r="Z29" s="25">
        <f>$D29*VLOOKUP($C29,原料主数据!$A:$AL, 26, FALSE())</f>
        <v/>
      </c>
      <c r="AA29" s="25">
        <f>$D29*VLOOKUP($C29,原料主数据!$A:$AL, 27, FALSE())</f>
        <v/>
      </c>
      <c r="AB29" s="25">
        <f>$D29*VLOOKUP($C29,原料主数据!$A:$AL, 28, FALSE())</f>
        <v/>
      </c>
      <c r="AC29" s="25">
        <f>$D29*VLOOKUP($C29,原料主数据!$A:$AL, 29, FALSE())</f>
        <v/>
      </c>
      <c r="AD29" s="25">
        <f>$D29*VLOOKUP($C29,原料主数据!$A:$AL, 30, FALSE())</f>
        <v/>
      </c>
      <c r="AE29" s="25">
        <f>$D29*VLOOKUP($C29,原料主数据!$A:$AL, 31, FALSE())</f>
        <v/>
      </c>
      <c r="AF29" s="25">
        <f>$D29*VLOOKUP($C29,原料主数据!$A:$AL, 32, FALSE())</f>
        <v/>
      </c>
      <c r="AG29" s="25">
        <f>$D29*VLOOKUP($C29,原料主数据!$A:$AL, 33, FALSE())</f>
        <v/>
      </c>
      <c r="AH29" s="25">
        <f>$D29*VLOOKUP($C29,原料主数据!$A:$AL, 34, FALSE())</f>
        <v/>
      </c>
      <c r="AI29" s="25">
        <f>$D29*VLOOKUP($C29,原料主数据!$A:$AL, 35, FALSE())</f>
        <v/>
      </c>
      <c r="AJ29" s="25">
        <f>$D29*VLOOKUP($C29,原料主数据!$A:$AL, 36, FALSE())</f>
        <v/>
      </c>
      <c r="AK29" s="25">
        <f>$D29*VLOOKUP($C29,原料主数据!$A:$AL, 37, FALSE())</f>
        <v/>
      </c>
      <c r="AL29" s="25">
        <f>$D29*VLOOKUP($C29,原料主数据!$A:$AL, 38, FALSE())</f>
        <v/>
      </c>
    </row>
    <row r="30" ht="15" customHeight="1" s="15">
      <c r="A30" s="22" t="inlineStr">
        <is>
          <t>EP-0004</t>
        </is>
      </c>
      <c r="B30" s="23" t="inlineStr">
        <is>
          <t>环氧酚醛</t>
        </is>
      </c>
      <c r="C30" s="22" t="inlineStr">
        <is>
          <t>RF160</t>
        </is>
      </c>
      <c r="D30" s="22" t="n">
        <v>1.02</v>
      </c>
      <c r="E30" s="22">
        <f>VLOOKUP($C30,原料主数据!$A:$E,4,FALSE())</f>
        <v/>
      </c>
      <c r="F30" s="22">
        <f>VLOOKUP($C30,原料主数据!$A:$E,5,FALSE())</f>
        <v/>
      </c>
      <c r="G30" s="22">
        <f>$D30*VLOOKUP($C30,原料主数据!$A:$AL, 7, FALSE())</f>
        <v/>
      </c>
      <c r="H30" s="22">
        <f>$D30*VLOOKUP($C30,原料主数据!$A:$AL, 8, FALSE())</f>
        <v/>
      </c>
      <c r="I30" s="22">
        <f>$D30*VLOOKUP($C30,原料主数据!$A:$AL, 9, FALSE())</f>
        <v/>
      </c>
      <c r="J30" s="22">
        <f>$D30*VLOOKUP($C30,原料主数据!$A:$AL, 10, FALSE())</f>
        <v/>
      </c>
      <c r="K30" s="22">
        <f>$D30*VLOOKUP($C30,原料主数据!$A:$AL, 11, FALSE())</f>
        <v/>
      </c>
      <c r="L30" s="22">
        <f>$D30*VLOOKUP($C30,原料主数据!$A:$AL, 12, FALSE())</f>
        <v/>
      </c>
      <c r="M30" s="22">
        <f>$D30*VLOOKUP($C30,原料主数据!$A:$AL, 13, FALSE())</f>
        <v/>
      </c>
      <c r="N30" s="22">
        <f>$D30*VLOOKUP($C30,原料主数据!$A:$AL, 14, FALSE())</f>
        <v/>
      </c>
      <c r="O30" s="22">
        <f>$D30*VLOOKUP($C30,原料主数据!$A:$AL, 15, FALSE())</f>
        <v/>
      </c>
      <c r="P30" s="22">
        <f>$D30*VLOOKUP($C30,原料主数据!$A:$AL, 16, FALSE())</f>
        <v/>
      </c>
      <c r="Q30" s="22">
        <f>$D30*VLOOKUP($C30,原料主数据!$A:$AL, 17, FALSE())</f>
        <v/>
      </c>
      <c r="R30" s="22">
        <f>$D30*VLOOKUP($C30,原料主数据!$A:$AL, 18, FALSE())</f>
        <v/>
      </c>
      <c r="S30" s="22">
        <f>$D30*VLOOKUP($C30,原料主数据!$A:$AL, 19, FALSE())</f>
        <v/>
      </c>
      <c r="T30" s="22">
        <f>$D30*VLOOKUP($C30,原料主数据!$A:$AL, 20, FALSE())</f>
        <v/>
      </c>
      <c r="U30" s="22">
        <f>$D30*VLOOKUP($C30,原料主数据!$A:$AL, 21, FALSE())</f>
        <v/>
      </c>
      <c r="V30" s="22">
        <f>$D30*VLOOKUP($C30,原料主数据!$A:$AL, 22, FALSE())</f>
        <v/>
      </c>
      <c r="W30" s="22">
        <f>$D30*VLOOKUP($C30,原料主数据!$A:$AL, 23, FALSE())</f>
        <v/>
      </c>
      <c r="X30" s="22">
        <f>$D30*VLOOKUP($C30,原料主数据!$A:$AL, 24, FALSE())</f>
        <v/>
      </c>
      <c r="Y30" s="22">
        <f>$D30*VLOOKUP($C30,原料主数据!$A:$AL, 25, FALSE())</f>
        <v/>
      </c>
      <c r="Z30" s="22">
        <f>$D30*VLOOKUP($C30,原料主数据!$A:$AL, 26, FALSE())</f>
        <v/>
      </c>
      <c r="AA30" s="22">
        <f>$D30*VLOOKUP($C30,原料主数据!$A:$AL, 27, FALSE())</f>
        <v/>
      </c>
      <c r="AB30" s="22">
        <f>$D30*VLOOKUP($C30,原料主数据!$A:$AL, 28, FALSE())</f>
        <v/>
      </c>
      <c r="AC30" s="22">
        <f>$D30*VLOOKUP($C30,原料主数据!$A:$AL, 29, FALSE())</f>
        <v/>
      </c>
      <c r="AD30" s="22">
        <f>$D30*VLOOKUP($C30,原料主数据!$A:$AL, 30, FALSE())</f>
        <v/>
      </c>
      <c r="AE30" s="22">
        <f>$D30*VLOOKUP($C30,原料主数据!$A:$AL, 31, FALSE())</f>
        <v/>
      </c>
      <c r="AF30" s="22">
        <f>$D30*VLOOKUP($C30,原料主数据!$A:$AL, 32, FALSE())</f>
        <v/>
      </c>
      <c r="AG30" s="22">
        <f>$D30*VLOOKUP($C30,原料主数据!$A:$AL, 33, FALSE())</f>
        <v/>
      </c>
      <c r="AH30" s="22">
        <f>$D30*VLOOKUP($C30,原料主数据!$A:$AL, 34, FALSE())</f>
        <v/>
      </c>
      <c r="AI30" s="22">
        <f>$D30*VLOOKUP($C30,原料主数据!$A:$AL, 35, FALSE())</f>
        <v/>
      </c>
      <c r="AJ30" s="22">
        <f>$D30*VLOOKUP($C30,原料主数据!$A:$AL, 36, FALSE())</f>
        <v/>
      </c>
      <c r="AK30" s="22">
        <f>$D30*VLOOKUP($C30,原料主数据!$A:$AL, 37, FALSE())</f>
        <v/>
      </c>
      <c r="AL30" s="22">
        <f>$D30*VLOOKUP($C30,原料主数据!$A:$AL, 38, FALSE())</f>
        <v/>
      </c>
    </row>
    <row r="31" ht="15" customHeight="1" s="15">
      <c r="A31" s="25" t="inlineStr">
        <is>
          <t>EP-0004</t>
        </is>
      </c>
      <c r="B31" s="26" t="inlineStr">
        <is>
          <t>环氧酚醛</t>
        </is>
      </c>
      <c r="C31" s="25" t="inlineStr">
        <is>
          <t>IR809</t>
        </is>
      </c>
      <c r="D31" s="25" t="n">
        <v>0.51</v>
      </c>
      <c r="E31" s="25">
        <f>VLOOKUP($C31,原料主数据!$A:$E,4,FALSE())</f>
        <v/>
      </c>
      <c r="F31" s="25">
        <f>VLOOKUP($C31,原料主数据!$A:$E,5,FALSE())</f>
        <v/>
      </c>
      <c r="G31" s="25">
        <f>$D31*VLOOKUP($C31,原料主数据!$A:$AL, 7, FALSE())</f>
        <v/>
      </c>
      <c r="H31" s="25">
        <f>$D31*VLOOKUP($C31,原料主数据!$A:$AL, 8, FALSE())</f>
        <v/>
      </c>
      <c r="I31" s="25">
        <f>$D31*VLOOKUP($C31,原料主数据!$A:$AL, 9, FALSE())</f>
        <v/>
      </c>
      <c r="J31" s="25">
        <f>$D31*VLOOKUP($C31,原料主数据!$A:$AL, 10, FALSE())</f>
        <v/>
      </c>
      <c r="K31" s="25">
        <f>$D31*VLOOKUP($C31,原料主数据!$A:$AL, 11, FALSE())</f>
        <v/>
      </c>
      <c r="L31" s="25">
        <f>$D31*VLOOKUP($C31,原料主数据!$A:$AL, 12, FALSE())</f>
        <v/>
      </c>
      <c r="M31" s="25">
        <f>$D31*VLOOKUP($C31,原料主数据!$A:$AL, 13, FALSE())</f>
        <v/>
      </c>
      <c r="N31" s="25">
        <f>$D31*VLOOKUP($C31,原料主数据!$A:$AL, 14, FALSE())</f>
        <v/>
      </c>
      <c r="O31" s="25">
        <f>$D31*VLOOKUP($C31,原料主数据!$A:$AL, 15, FALSE())</f>
        <v/>
      </c>
      <c r="P31" s="25">
        <f>$D31*VLOOKUP($C31,原料主数据!$A:$AL, 16, FALSE())</f>
        <v/>
      </c>
      <c r="Q31" s="25">
        <f>$D31*VLOOKUP($C31,原料主数据!$A:$AL, 17, FALSE())</f>
        <v/>
      </c>
      <c r="R31" s="25">
        <f>$D31*VLOOKUP($C31,原料主数据!$A:$AL, 18, FALSE())</f>
        <v/>
      </c>
      <c r="S31" s="25">
        <f>$D31*VLOOKUP($C31,原料主数据!$A:$AL, 19, FALSE())</f>
        <v/>
      </c>
      <c r="T31" s="25">
        <f>$D31*VLOOKUP($C31,原料主数据!$A:$AL, 20, FALSE())</f>
        <v/>
      </c>
      <c r="U31" s="25">
        <f>$D31*VLOOKUP($C31,原料主数据!$A:$AL, 21, FALSE())</f>
        <v/>
      </c>
      <c r="V31" s="25">
        <f>$D31*VLOOKUP($C31,原料主数据!$A:$AL, 22, FALSE())</f>
        <v/>
      </c>
      <c r="W31" s="25">
        <f>$D31*VLOOKUP($C31,原料主数据!$A:$AL, 23, FALSE())</f>
        <v/>
      </c>
      <c r="X31" s="25">
        <f>$D31*VLOOKUP($C31,原料主数据!$A:$AL, 24, FALSE())</f>
        <v/>
      </c>
      <c r="Y31" s="25">
        <f>$D31*VLOOKUP($C31,原料主数据!$A:$AL, 25, FALSE())</f>
        <v/>
      </c>
      <c r="Z31" s="25">
        <f>$D31*VLOOKUP($C31,原料主数据!$A:$AL, 26, FALSE())</f>
        <v/>
      </c>
      <c r="AA31" s="25">
        <f>$D31*VLOOKUP($C31,原料主数据!$A:$AL, 27, FALSE())</f>
        <v/>
      </c>
      <c r="AB31" s="25">
        <f>$D31*VLOOKUP($C31,原料主数据!$A:$AL, 28, FALSE())</f>
        <v/>
      </c>
      <c r="AC31" s="25">
        <f>$D31*VLOOKUP($C31,原料主数据!$A:$AL, 29, FALSE())</f>
        <v/>
      </c>
      <c r="AD31" s="25">
        <f>$D31*VLOOKUP($C31,原料主数据!$A:$AL, 30, FALSE())</f>
        <v/>
      </c>
      <c r="AE31" s="25">
        <f>$D31*VLOOKUP($C31,原料主数据!$A:$AL, 31, FALSE())</f>
        <v/>
      </c>
      <c r="AF31" s="25">
        <f>$D31*VLOOKUP($C31,原料主数据!$A:$AL, 32, FALSE())</f>
        <v/>
      </c>
      <c r="AG31" s="25">
        <f>$D31*VLOOKUP($C31,原料主数据!$A:$AL, 33, FALSE())</f>
        <v/>
      </c>
      <c r="AH31" s="25">
        <f>$D31*VLOOKUP($C31,原料主数据!$A:$AL, 34, FALSE())</f>
        <v/>
      </c>
      <c r="AI31" s="25">
        <f>$D31*VLOOKUP($C31,原料主数据!$A:$AL, 35, FALSE())</f>
        <v/>
      </c>
      <c r="AJ31" s="25">
        <f>$D31*VLOOKUP($C31,原料主数据!$A:$AL, 36, FALSE())</f>
        <v/>
      </c>
      <c r="AK31" s="25">
        <f>$D31*VLOOKUP($C31,原料主数据!$A:$AL, 37, FALSE())</f>
        <v/>
      </c>
      <c r="AL31" s="25">
        <f>$D31*VLOOKUP($C31,原料主数据!$A:$AL, 38, FALSE())</f>
        <v/>
      </c>
    </row>
    <row r="32" ht="15" customHeight="1" s="15">
      <c r="A32" s="22" t="inlineStr">
        <is>
          <t>EP-0004</t>
        </is>
      </c>
      <c r="B32" s="23" t="inlineStr">
        <is>
          <t>环氧酚醛</t>
        </is>
      </c>
      <c r="C32" s="22" t="inlineStr">
        <is>
          <t>RF516</t>
        </is>
      </c>
      <c r="D32" s="22" t="n">
        <v>6.18</v>
      </c>
      <c r="E32" s="22">
        <f>VLOOKUP($C32,原料主数据!$A:$E,4,FALSE())</f>
        <v/>
      </c>
      <c r="F32" s="22">
        <f>VLOOKUP($C32,原料主数据!$A:$E,5,FALSE())</f>
        <v/>
      </c>
      <c r="G32" s="22">
        <f>$D32*VLOOKUP($C32,原料主数据!$A:$AL, 7, FALSE())</f>
        <v/>
      </c>
      <c r="H32" s="22">
        <f>$D32*VLOOKUP($C32,原料主数据!$A:$AL, 8, FALSE())</f>
        <v/>
      </c>
      <c r="I32" s="22">
        <f>$D32*VLOOKUP($C32,原料主数据!$A:$AL, 9, FALSE())</f>
        <v/>
      </c>
      <c r="J32" s="22">
        <f>$D32*VLOOKUP($C32,原料主数据!$A:$AL, 10, FALSE())</f>
        <v/>
      </c>
      <c r="K32" s="22">
        <f>$D32*VLOOKUP($C32,原料主数据!$A:$AL, 11, FALSE())</f>
        <v/>
      </c>
      <c r="L32" s="22">
        <f>$D32*VLOOKUP($C32,原料主数据!$A:$AL, 12, FALSE())</f>
        <v/>
      </c>
      <c r="M32" s="22">
        <f>$D32*VLOOKUP($C32,原料主数据!$A:$AL, 13, FALSE())</f>
        <v/>
      </c>
      <c r="N32" s="22">
        <f>$D32*VLOOKUP($C32,原料主数据!$A:$AL, 14, FALSE())</f>
        <v/>
      </c>
      <c r="O32" s="22">
        <f>$D32*VLOOKUP($C32,原料主数据!$A:$AL, 15, FALSE())</f>
        <v/>
      </c>
      <c r="P32" s="22">
        <f>$D32*VLOOKUP($C32,原料主数据!$A:$AL, 16, FALSE())</f>
        <v/>
      </c>
      <c r="Q32" s="22">
        <f>$D32*VLOOKUP($C32,原料主数据!$A:$AL, 17, FALSE())</f>
        <v/>
      </c>
      <c r="R32" s="22">
        <f>$D32*VLOOKUP($C32,原料主数据!$A:$AL, 18, FALSE())</f>
        <v/>
      </c>
      <c r="S32" s="22">
        <f>$D32*VLOOKUP($C32,原料主数据!$A:$AL, 19, FALSE())</f>
        <v/>
      </c>
      <c r="T32" s="22">
        <f>$D32*VLOOKUP($C32,原料主数据!$A:$AL, 20, FALSE())</f>
        <v/>
      </c>
      <c r="U32" s="22">
        <f>$D32*VLOOKUP($C32,原料主数据!$A:$AL, 21, FALSE())</f>
        <v/>
      </c>
      <c r="V32" s="22">
        <f>$D32*VLOOKUP($C32,原料主数据!$A:$AL, 22, FALSE())</f>
        <v/>
      </c>
      <c r="W32" s="22">
        <f>$D32*VLOOKUP($C32,原料主数据!$A:$AL, 23, FALSE())</f>
        <v/>
      </c>
      <c r="X32" s="22">
        <f>$D32*VLOOKUP($C32,原料主数据!$A:$AL, 24, FALSE())</f>
        <v/>
      </c>
      <c r="Y32" s="22">
        <f>$D32*VLOOKUP($C32,原料主数据!$A:$AL, 25, FALSE())</f>
        <v/>
      </c>
      <c r="Z32" s="22">
        <f>$D32*VLOOKUP($C32,原料主数据!$A:$AL, 26, FALSE())</f>
        <v/>
      </c>
      <c r="AA32" s="22">
        <f>$D32*VLOOKUP($C32,原料主数据!$A:$AL, 27, FALSE())</f>
        <v/>
      </c>
      <c r="AB32" s="22">
        <f>$D32*VLOOKUP($C32,原料主数据!$A:$AL, 28, FALSE())</f>
        <v/>
      </c>
      <c r="AC32" s="22">
        <f>$D32*VLOOKUP($C32,原料主数据!$A:$AL, 29, FALSE())</f>
        <v/>
      </c>
      <c r="AD32" s="22">
        <f>$D32*VLOOKUP($C32,原料主数据!$A:$AL, 30, FALSE())</f>
        <v/>
      </c>
      <c r="AE32" s="22">
        <f>$D32*VLOOKUP($C32,原料主数据!$A:$AL, 31, FALSE())</f>
        <v/>
      </c>
      <c r="AF32" s="22">
        <f>$D32*VLOOKUP($C32,原料主数据!$A:$AL, 32, FALSE())</f>
        <v/>
      </c>
      <c r="AG32" s="22">
        <f>$D32*VLOOKUP($C32,原料主数据!$A:$AL, 33, FALSE())</f>
        <v/>
      </c>
      <c r="AH32" s="22">
        <f>$D32*VLOOKUP($C32,原料主数据!$A:$AL, 34, FALSE())</f>
        <v/>
      </c>
      <c r="AI32" s="22">
        <f>$D32*VLOOKUP($C32,原料主数据!$A:$AL, 35, FALSE())</f>
        <v/>
      </c>
      <c r="AJ32" s="22">
        <f>$D32*VLOOKUP($C32,原料主数据!$A:$AL, 36, FALSE())</f>
        <v/>
      </c>
      <c r="AK32" s="22">
        <f>$D32*VLOOKUP($C32,原料主数据!$A:$AL, 37, FALSE())</f>
        <v/>
      </c>
      <c r="AL32" s="22">
        <f>$D32*VLOOKUP($C32,原料主数据!$A:$AL, 38, FALSE())</f>
        <v/>
      </c>
    </row>
    <row r="33" ht="15" customHeight="1" s="15">
      <c r="A33" s="25" t="inlineStr">
        <is>
          <t>EP-0004</t>
        </is>
      </c>
      <c r="B33" s="26" t="inlineStr">
        <is>
          <t>环氧酚醛</t>
        </is>
      </c>
      <c r="C33" s="25" t="inlineStr">
        <is>
          <t>RF950</t>
        </is>
      </c>
      <c r="D33" s="25" t="n">
        <v>3.17</v>
      </c>
      <c r="E33" s="25">
        <f>VLOOKUP($C33,原料主数据!$A:$E,4,FALSE())</f>
        <v/>
      </c>
      <c r="F33" s="25">
        <f>VLOOKUP($C33,原料主数据!$A:$E,5,FALSE())</f>
        <v/>
      </c>
      <c r="G33" s="25">
        <f>$D33*VLOOKUP($C33,原料主数据!$A:$AL, 7, FALSE())</f>
        <v/>
      </c>
      <c r="H33" s="25">
        <f>$D33*VLOOKUP($C33,原料主数据!$A:$AL, 8, FALSE())</f>
        <v/>
      </c>
      <c r="I33" s="25">
        <f>$D33*VLOOKUP($C33,原料主数据!$A:$AL, 9, FALSE())</f>
        <v/>
      </c>
      <c r="J33" s="25">
        <f>$D33*VLOOKUP($C33,原料主数据!$A:$AL, 10, FALSE())</f>
        <v/>
      </c>
      <c r="K33" s="25">
        <f>$D33*VLOOKUP($C33,原料主数据!$A:$AL, 11, FALSE())</f>
        <v/>
      </c>
      <c r="L33" s="25">
        <f>$D33*VLOOKUP($C33,原料主数据!$A:$AL, 12, FALSE())</f>
        <v/>
      </c>
      <c r="M33" s="25">
        <f>$D33*VLOOKUP($C33,原料主数据!$A:$AL, 13, FALSE())</f>
        <v/>
      </c>
      <c r="N33" s="25">
        <f>$D33*VLOOKUP($C33,原料主数据!$A:$AL, 14, FALSE())</f>
        <v/>
      </c>
      <c r="O33" s="25">
        <f>$D33*VLOOKUP($C33,原料主数据!$A:$AL, 15, FALSE())</f>
        <v/>
      </c>
      <c r="P33" s="25">
        <f>$D33*VLOOKUP($C33,原料主数据!$A:$AL, 16, FALSE())</f>
        <v/>
      </c>
      <c r="Q33" s="25">
        <f>$D33*VLOOKUP($C33,原料主数据!$A:$AL, 17, FALSE())</f>
        <v/>
      </c>
      <c r="R33" s="25">
        <f>$D33*VLOOKUP($C33,原料主数据!$A:$AL, 18, FALSE())</f>
        <v/>
      </c>
      <c r="S33" s="25">
        <f>$D33*VLOOKUP($C33,原料主数据!$A:$AL, 19, FALSE())</f>
        <v/>
      </c>
      <c r="T33" s="25">
        <f>$D33*VLOOKUP($C33,原料主数据!$A:$AL, 20, FALSE())</f>
        <v/>
      </c>
      <c r="U33" s="25">
        <f>$D33*VLOOKUP($C33,原料主数据!$A:$AL, 21, FALSE())</f>
        <v/>
      </c>
      <c r="V33" s="25">
        <f>$D33*VLOOKUP($C33,原料主数据!$A:$AL, 22, FALSE())</f>
        <v/>
      </c>
      <c r="W33" s="25">
        <f>$D33*VLOOKUP($C33,原料主数据!$A:$AL, 23, FALSE())</f>
        <v/>
      </c>
      <c r="X33" s="25">
        <f>$D33*VLOOKUP($C33,原料主数据!$A:$AL, 24, FALSE())</f>
        <v/>
      </c>
      <c r="Y33" s="25">
        <f>$D33*VLOOKUP($C33,原料主数据!$A:$AL, 25, FALSE())</f>
        <v/>
      </c>
      <c r="Z33" s="25">
        <f>$D33*VLOOKUP($C33,原料主数据!$A:$AL, 26, FALSE())</f>
        <v/>
      </c>
      <c r="AA33" s="25">
        <f>$D33*VLOOKUP($C33,原料主数据!$A:$AL, 27, FALSE())</f>
        <v/>
      </c>
      <c r="AB33" s="25">
        <f>$D33*VLOOKUP($C33,原料主数据!$A:$AL, 28, FALSE())</f>
        <v/>
      </c>
      <c r="AC33" s="25">
        <f>$D33*VLOOKUP($C33,原料主数据!$A:$AL, 29, FALSE())</f>
        <v/>
      </c>
      <c r="AD33" s="25">
        <f>$D33*VLOOKUP($C33,原料主数据!$A:$AL, 30, FALSE())</f>
        <v/>
      </c>
      <c r="AE33" s="25">
        <f>$D33*VLOOKUP($C33,原料主数据!$A:$AL, 31, FALSE())</f>
        <v/>
      </c>
      <c r="AF33" s="25">
        <f>$D33*VLOOKUP($C33,原料主数据!$A:$AL, 32, FALSE())</f>
        <v/>
      </c>
      <c r="AG33" s="25">
        <f>$D33*VLOOKUP($C33,原料主数据!$A:$AL, 33, FALSE())</f>
        <v/>
      </c>
      <c r="AH33" s="25">
        <f>$D33*VLOOKUP($C33,原料主数据!$A:$AL, 34, FALSE())</f>
        <v/>
      </c>
      <c r="AI33" s="25">
        <f>$D33*VLOOKUP($C33,原料主数据!$A:$AL, 35, FALSE())</f>
        <v/>
      </c>
      <c r="AJ33" s="25">
        <f>$D33*VLOOKUP($C33,原料主数据!$A:$AL, 36, FALSE())</f>
        <v/>
      </c>
      <c r="AK33" s="25">
        <f>$D33*VLOOKUP($C33,原料主数据!$A:$AL, 37, FALSE())</f>
        <v/>
      </c>
      <c r="AL33" s="25">
        <f>$D33*VLOOKUP($C33,原料主数据!$A:$AL, 38, FALSE())</f>
        <v/>
      </c>
    </row>
    <row r="34" ht="15" customHeight="1" s="15">
      <c r="A34" s="22" t="inlineStr">
        <is>
          <t>EP-0004</t>
        </is>
      </c>
      <c r="B34" s="23" t="inlineStr">
        <is>
          <t>环氧酚醛</t>
        </is>
      </c>
      <c r="C34" s="22" t="inlineStr">
        <is>
          <t>RF956</t>
        </is>
      </c>
      <c r="D34" s="22" t="n">
        <v>6.81</v>
      </c>
      <c r="E34" s="22">
        <f>VLOOKUP($C34,原料主数据!$A:$E,4,FALSE())</f>
        <v/>
      </c>
      <c r="F34" s="22">
        <f>VLOOKUP($C34,原料主数据!$A:$E,5,FALSE())</f>
        <v/>
      </c>
      <c r="G34" s="22">
        <f>$D34*VLOOKUP($C34,原料主数据!$A:$AL, 7, FALSE())</f>
        <v/>
      </c>
      <c r="H34" s="22">
        <f>$D34*VLOOKUP($C34,原料主数据!$A:$AL, 8, FALSE())</f>
        <v/>
      </c>
      <c r="I34" s="22">
        <f>$D34*VLOOKUP($C34,原料主数据!$A:$AL, 9, FALSE())</f>
        <v/>
      </c>
      <c r="J34" s="22">
        <f>$D34*VLOOKUP($C34,原料主数据!$A:$AL, 10, FALSE())</f>
        <v/>
      </c>
      <c r="K34" s="22">
        <f>$D34*VLOOKUP($C34,原料主数据!$A:$AL, 11, FALSE())</f>
        <v/>
      </c>
      <c r="L34" s="22">
        <f>$D34*VLOOKUP($C34,原料主数据!$A:$AL, 12, FALSE())</f>
        <v/>
      </c>
      <c r="M34" s="22">
        <f>$D34*VLOOKUP($C34,原料主数据!$A:$AL, 13, FALSE())</f>
        <v/>
      </c>
      <c r="N34" s="22">
        <f>$D34*VLOOKUP($C34,原料主数据!$A:$AL, 14, FALSE())</f>
        <v/>
      </c>
      <c r="O34" s="22">
        <f>$D34*VLOOKUP($C34,原料主数据!$A:$AL, 15, FALSE())</f>
        <v/>
      </c>
      <c r="P34" s="22">
        <f>$D34*VLOOKUP($C34,原料主数据!$A:$AL, 16, FALSE())</f>
        <v/>
      </c>
      <c r="Q34" s="22">
        <f>$D34*VLOOKUP($C34,原料主数据!$A:$AL, 17, FALSE())</f>
        <v/>
      </c>
      <c r="R34" s="22">
        <f>$D34*VLOOKUP($C34,原料主数据!$A:$AL, 18, FALSE())</f>
        <v/>
      </c>
      <c r="S34" s="22">
        <f>$D34*VLOOKUP($C34,原料主数据!$A:$AL, 19, FALSE())</f>
        <v/>
      </c>
      <c r="T34" s="22">
        <f>$D34*VLOOKUP($C34,原料主数据!$A:$AL, 20, FALSE())</f>
        <v/>
      </c>
      <c r="U34" s="22">
        <f>$D34*VLOOKUP($C34,原料主数据!$A:$AL, 21, FALSE())</f>
        <v/>
      </c>
      <c r="V34" s="22">
        <f>$D34*VLOOKUP($C34,原料主数据!$A:$AL, 22, FALSE())</f>
        <v/>
      </c>
      <c r="W34" s="22">
        <f>$D34*VLOOKUP($C34,原料主数据!$A:$AL, 23, FALSE())</f>
        <v/>
      </c>
      <c r="X34" s="22">
        <f>$D34*VLOOKUP($C34,原料主数据!$A:$AL, 24, FALSE())</f>
        <v/>
      </c>
      <c r="Y34" s="22">
        <f>$D34*VLOOKUP($C34,原料主数据!$A:$AL, 25, FALSE())</f>
        <v/>
      </c>
      <c r="Z34" s="22">
        <f>$D34*VLOOKUP($C34,原料主数据!$A:$AL, 26, FALSE())</f>
        <v/>
      </c>
      <c r="AA34" s="22">
        <f>$D34*VLOOKUP($C34,原料主数据!$A:$AL, 27, FALSE())</f>
        <v/>
      </c>
      <c r="AB34" s="22">
        <f>$D34*VLOOKUP($C34,原料主数据!$A:$AL, 28, FALSE())</f>
        <v/>
      </c>
      <c r="AC34" s="22">
        <f>$D34*VLOOKUP($C34,原料主数据!$A:$AL, 29, FALSE())</f>
        <v/>
      </c>
      <c r="AD34" s="22">
        <f>$D34*VLOOKUP($C34,原料主数据!$A:$AL, 30, FALSE())</f>
        <v/>
      </c>
      <c r="AE34" s="22">
        <f>$D34*VLOOKUP($C34,原料主数据!$A:$AL, 31, FALSE())</f>
        <v/>
      </c>
      <c r="AF34" s="22">
        <f>$D34*VLOOKUP($C34,原料主数据!$A:$AL, 32, FALSE())</f>
        <v/>
      </c>
      <c r="AG34" s="22">
        <f>$D34*VLOOKUP($C34,原料主数据!$A:$AL, 33, FALSE())</f>
        <v/>
      </c>
      <c r="AH34" s="22">
        <f>$D34*VLOOKUP($C34,原料主数据!$A:$AL, 34, FALSE())</f>
        <v/>
      </c>
      <c r="AI34" s="22">
        <f>$D34*VLOOKUP($C34,原料主数据!$A:$AL, 35, FALSE())</f>
        <v/>
      </c>
      <c r="AJ34" s="22">
        <f>$D34*VLOOKUP($C34,原料主数据!$A:$AL, 36, FALSE())</f>
        <v/>
      </c>
      <c r="AK34" s="22">
        <f>$D34*VLOOKUP($C34,原料主数据!$A:$AL, 37, FALSE())</f>
        <v/>
      </c>
      <c r="AL34" s="22">
        <f>$D34*VLOOKUP($C34,原料主数据!$A:$AL, 38, FALSE())</f>
        <v/>
      </c>
    </row>
    <row r="35" ht="15" customHeight="1" s="15">
      <c r="A35" s="25" t="inlineStr">
        <is>
          <t>EP-0004</t>
        </is>
      </c>
      <c r="B35" s="26" t="inlineStr">
        <is>
          <t>环氧酚醛</t>
        </is>
      </c>
      <c r="C35" s="25" t="inlineStr">
        <is>
          <t>RH601</t>
        </is>
      </c>
      <c r="D35" s="25" t="n">
        <v>3.16</v>
      </c>
      <c r="E35" s="25">
        <f>VLOOKUP($C35,原料主数据!$A:$E,4,FALSE())</f>
        <v/>
      </c>
      <c r="F35" s="25">
        <f>VLOOKUP($C35,原料主数据!$A:$E,5,FALSE())</f>
        <v/>
      </c>
      <c r="G35" s="25">
        <f>$D35*VLOOKUP($C35,原料主数据!$A:$AL, 7, FALSE())</f>
        <v/>
      </c>
      <c r="H35" s="25">
        <f>$D35*VLOOKUP($C35,原料主数据!$A:$AL, 8, FALSE())</f>
        <v/>
      </c>
      <c r="I35" s="25">
        <f>$D35*VLOOKUP($C35,原料主数据!$A:$AL, 9, FALSE())</f>
        <v/>
      </c>
      <c r="J35" s="25">
        <f>$D35*VLOOKUP($C35,原料主数据!$A:$AL, 10, FALSE())</f>
        <v/>
      </c>
      <c r="K35" s="25">
        <f>$D35*VLOOKUP($C35,原料主数据!$A:$AL, 11, FALSE())</f>
        <v/>
      </c>
      <c r="L35" s="25">
        <f>$D35*VLOOKUP($C35,原料主数据!$A:$AL, 12, FALSE())</f>
        <v/>
      </c>
      <c r="M35" s="25">
        <f>$D35*VLOOKUP($C35,原料主数据!$A:$AL, 13, FALSE())</f>
        <v/>
      </c>
      <c r="N35" s="25">
        <f>$D35*VLOOKUP($C35,原料主数据!$A:$AL, 14, FALSE())</f>
        <v/>
      </c>
      <c r="O35" s="25">
        <f>$D35*VLOOKUP($C35,原料主数据!$A:$AL, 15, FALSE())</f>
        <v/>
      </c>
      <c r="P35" s="25">
        <f>$D35*VLOOKUP($C35,原料主数据!$A:$AL, 16, FALSE())</f>
        <v/>
      </c>
      <c r="Q35" s="25">
        <f>$D35*VLOOKUP($C35,原料主数据!$A:$AL, 17, FALSE())</f>
        <v/>
      </c>
      <c r="R35" s="25">
        <f>$D35*VLOOKUP($C35,原料主数据!$A:$AL, 18, FALSE())</f>
        <v/>
      </c>
      <c r="S35" s="25">
        <f>$D35*VLOOKUP($C35,原料主数据!$A:$AL, 19, FALSE())</f>
        <v/>
      </c>
      <c r="T35" s="25">
        <f>$D35*VLOOKUP($C35,原料主数据!$A:$AL, 20, FALSE())</f>
        <v/>
      </c>
      <c r="U35" s="25">
        <f>$D35*VLOOKUP($C35,原料主数据!$A:$AL, 21, FALSE())</f>
        <v/>
      </c>
      <c r="V35" s="25">
        <f>$D35*VLOOKUP($C35,原料主数据!$A:$AL, 22, FALSE())</f>
        <v/>
      </c>
      <c r="W35" s="25">
        <f>$D35*VLOOKUP($C35,原料主数据!$A:$AL, 23, FALSE())</f>
        <v/>
      </c>
      <c r="X35" s="25">
        <f>$D35*VLOOKUP($C35,原料主数据!$A:$AL, 24, FALSE())</f>
        <v/>
      </c>
      <c r="Y35" s="25">
        <f>$D35*VLOOKUP($C35,原料主数据!$A:$AL, 25, FALSE())</f>
        <v/>
      </c>
      <c r="Z35" s="25">
        <f>$D35*VLOOKUP($C35,原料主数据!$A:$AL, 26, FALSE())</f>
        <v/>
      </c>
      <c r="AA35" s="25">
        <f>$D35*VLOOKUP($C35,原料主数据!$A:$AL, 27, FALSE())</f>
        <v/>
      </c>
      <c r="AB35" s="25">
        <f>$D35*VLOOKUP($C35,原料主数据!$A:$AL, 28, FALSE())</f>
        <v/>
      </c>
      <c r="AC35" s="25">
        <f>$D35*VLOOKUP($C35,原料主数据!$A:$AL, 29, FALSE())</f>
        <v/>
      </c>
      <c r="AD35" s="25">
        <f>$D35*VLOOKUP($C35,原料主数据!$A:$AL, 30, FALSE())</f>
        <v/>
      </c>
      <c r="AE35" s="25">
        <f>$D35*VLOOKUP($C35,原料主数据!$A:$AL, 31, FALSE())</f>
        <v/>
      </c>
      <c r="AF35" s="25">
        <f>$D35*VLOOKUP($C35,原料主数据!$A:$AL, 32, FALSE())</f>
        <v/>
      </c>
      <c r="AG35" s="25">
        <f>$D35*VLOOKUP($C35,原料主数据!$A:$AL, 33, FALSE())</f>
        <v/>
      </c>
      <c r="AH35" s="25">
        <f>$D35*VLOOKUP($C35,原料主数据!$A:$AL, 34, FALSE())</f>
        <v/>
      </c>
      <c r="AI35" s="25">
        <f>$D35*VLOOKUP($C35,原料主数据!$A:$AL, 35, FALSE())</f>
        <v/>
      </c>
      <c r="AJ35" s="25">
        <f>$D35*VLOOKUP($C35,原料主数据!$A:$AL, 36, FALSE())</f>
        <v/>
      </c>
      <c r="AK35" s="25">
        <f>$D35*VLOOKUP($C35,原料主数据!$A:$AL, 37, FALSE())</f>
        <v/>
      </c>
      <c r="AL35" s="25">
        <f>$D35*VLOOKUP($C35,原料主数据!$A:$AL, 38, FALSE())</f>
        <v/>
      </c>
    </row>
    <row r="36" ht="15" customHeight="1" s="15">
      <c r="A36" s="22" t="inlineStr">
        <is>
          <t>EP-0004</t>
        </is>
      </c>
      <c r="B36" s="23" t="inlineStr">
        <is>
          <t>环氧酚醛</t>
        </is>
      </c>
      <c r="C36" s="23" t="inlineStr">
        <is>
          <t>住友55754G</t>
        </is>
      </c>
      <c r="D36" s="22" t="n">
        <v>1.18</v>
      </c>
      <c r="E36" s="22">
        <f>VLOOKUP($C36,原料主数据!$A:$E,4,FALSE())</f>
        <v/>
      </c>
      <c r="F36" s="22">
        <f>VLOOKUP($C36,原料主数据!$A:$E,5,FALSE())</f>
        <v/>
      </c>
      <c r="G36" s="22">
        <f>$D36*VLOOKUP($C36,原料主数据!$A:$AL, 7, FALSE())</f>
        <v/>
      </c>
      <c r="H36" s="22">
        <f>$D36*VLOOKUP($C36,原料主数据!$A:$AL, 8, FALSE())</f>
        <v/>
      </c>
      <c r="I36" s="22">
        <f>$D36*VLOOKUP($C36,原料主数据!$A:$AL, 9, FALSE())</f>
        <v/>
      </c>
      <c r="J36" s="22">
        <f>$D36*VLOOKUP($C36,原料主数据!$A:$AL, 10, FALSE())</f>
        <v/>
      </c>
      <c r="K36" s="22">
        <f>$D36*VLOOKUP($C36,原料主数据!$A:$AL, 11, FALSE())</f>
        <v/>
      </c>
      <c r="L36" s="22">
        <f>$D36*VLOOKUP($C36,原料主数据!$A:$AL, 12, FALSE())</f>
        <v/>
      </c>
      <c r="M36" s="22">
        <f>$D36*VLOOKUP($C36,原料主数据!$A:$AL, 13, FALSE())</f>
        <v/>
      </c>
      <c r="N36" s="22">
        <f>$D36*VLOOKUP($C36,原料主数据!$A:$AL, 14, FALSE())</f>
        <v/>
      </c>
      <c r="O36" s="22">
        <f>$D36*VLOOKUP($C36,原料主数据!$A:$AL, 15, FALSE())</f>
        <v/>
      </c>
      <c r="P36" s="22">
        <f>$D36*VLOOKUP($C36,原料主数据!$A:$AL, 16, FALSE())</f>
        <v/>
      </c>
      <c r="Q36" s="22">
        <f>$D36*VLOOKUP($C36,原料主数据!$A:$AL, 17, FALSE())</f>
        <v/>
      </c>
      <c r="R36" s="22">
        <f>$D36*VLOOKUP($C36,原料主数据!$A:$AL, 18, FALSE())</f>
        <v/>
      </c>
      <c r="S36" s="22">
        <f>$D36*VLOOKUP($C36,原料主数据!$A:$AL, 19, FALSE())</f>
        <v/>
      </c>
      <c r="T36" s="22">
        <f>$D36*VLOOKUP($C36,原料主数据!$A:$AL, 20, FALSE())</f>
        <v/>
      </c>
      <c r="U36" s="22">
        <f>$D36*VLOOKUP($C36,原料主数据!$A:$AL, 21, FALSE())</f>
        <v/>
      </c>
      <c r="V36" s="22">
        <f>$D36*VLOOKUP($C36,原料主数据!$A:$AL, 22, FALSE())</f>
        <v/>
      </c>
      <c r="W36" s="22">
        <f>$D36*VLOOKUP($C36,原料主数据!$A:$AL, 23, FALSE())</f>
        <v/>
      </c>
      <c r="X36" s="22">
        <f>$D36*VLOOKUP($C36,原料主数据!$A:$AL, 24, FALSE())</f>
        <v/>
      </c>
      <c r="Y36" s="22">
        <f>$D36*VLOOKUP($C36,原料主数据!$A:$AL, 25, FALSE())</f>
        <v/>
      </c>
      <c r="Z36" s="22">
        <f>$D36*VLOOKUP($C36,原料主数据!$A:$AL, 26, FALSE())</f>
        <v/>
      </c>
      <c r="AA36" s="22">
        <f>$D36*VLOOKUP($C36,原料主数据!$A:$AL, 27, FALSE())</f>
        <v/>
      </c>
      <c r="AB36" s="22">
        <f>$D36*VLOOKUP($C36,原料主数据!$A:$AL, 28, FALSE())</f>
        <v/>
      </c>
      <c r="AC36" s="22">
        <f>$D36*VLOOKUP($C36,原料主数据!$A:$AL, 29, FALSE())</f>
        <v/>
      </c>
      <c r="AD36" s="22">
        <f>$D36*VLOOKUP($C36,原料主数据!$A:$AL, 30, FALSE())</f>
        <v/>
      </c>
      <c r="AE36" s="22">
        <f>$D36*VLOOKUP($C36,原料主数据!$A:$AL, 31, FALSE())</f>
        <v/>
      </c>
      <c r="AF36" s="22">
        <f>$D36*VLOOKUP($C36,原料主数据!$A:$AL, 32, FALSE())</f>
        <v/>
      </c>
      <c r="AG36" s="22">
        <f>$D36*VLOOKUP($C36,原料主数据!$A:$AL, 33, FALSE())</f>
        <v/>
      </c>
      <c r="AH36" s="22">
        <f>$D36*VLOOKUP($C36,原料主数据!$A:$AL, 34, FALSE())</f>
        <v/>
      </c>
      <c r="AI36" s="22">
        <f>$D36*VLOOKUP($C36,原料主数据!$A:$AL, 35, FALSE())</f>
        <v/>
      </c>
      <c r="AJ36" s="22">
        <f>$D36*VLOOKUP($C36,原料主数据!$A:$AL, 36, FALSE())</f>
        <v/>
      </c>
      <c r="AK36" s="22">
        <f>$D36*VLOOKUP($C36,原料主数据!$A:$AL, 37, FALSE())</f>
        <v/>
      </c>
      <c r="AL36" s="22">
        <f>$D36*VLOOKUP($C36,原料主数据!$A:$AL, 38, FALSE())</f>
        <v/>
      </c>
    </row>
    <row r="37" ht="15" customHeight="1" s="15">
      <c r="A37" s="25" t="inlineStr">
        <is>
          <t>EP-0004</t>
        </is>
      </c>
      <c r="B37" s="26" t="inlineStr">
        <is>
          <t>环氧酚醛</t>
        </is>
      </c>
      <c r="C37" s="25" t="inlineStr">
        <is>
          <t>1510蜡</t>
        </is>
      </c>
      <c r="D37" s="25" t="n">
        <v>3.6</v>
      </c>
      <c r="E37" s="25">
        <f>VLOOKUP($C37,原料主数据!$A:$E,4,FALSE())</f>
        <v/>
      </c>
      <c r="F37" s="25">
        <f>VLOOKUP($C37,原料主数据!$A:$E,5,FALSE())</f>
        <v/>
      </c>
      <c r="G37" s="25">
        <f>$D37*VLOOKUP($C37,原料主数据!$A:$AL, 7, FALSE())</f>
        <v/>
      </c>
      <c r="H37" s="25">
        <f>$D37*VLOOKUP($C37,原料主数据!$A:$AL, 8, FALSE())</f>
        <v/>
      </c>
      <c r="I37" s="25">
        <f>$D37*VLOOKUP($C37,原料主数据!$A:$AL, 9, FALSE())</f>
        <v/>
      </c>
      <c r="J37" s="25">
        <f>$D37*VLOOKUP($C37,原料主数据!$A:$AL, 10, FALSE())</f>
        <v/>
      </c>
      <c r="K37" s="25">
        <f>$D37*VLOOKUP($C37,原料主数据!$A:$AL, 11, FALSE())</f>
        <v/>
      </c>
      <c r="L37" s="25">
        <f>$D37*VLOOKUP($C37,原料主数据!$A:$AL, 12, FALSE())</f>
        <v/>
      </c>
      <c r="M37" s="25">
        <f>$D37*VLOOKUP($C37,原料主数据!$A:$AL, 13, FALSE())</f>
        <v/>
      </c>
      <c r="N37" s="25">
        <f>$D37*VLOOKUP($C37,原料主数据!$A:$AL, 14, FALSE())</f>
        <v/>
      </c>
      <c r="O37" s="25">
        <f>$D37*VLOOKUP($C37,原料主数据!$A:$AL, 15, FALSE())</f>
        <v/>
      </c>
      <c r="P37" s="25">
        <f>$D37*VLOOKUP($C37,原料主数据!$A:$AL, 16, FALSE())</f>
        <v/>
      </c>
      <c r="Q37" s="25">
        <f>$D37*VLOOKUP($C37,原料主数据!$A:$AL, 17, FALSE())</f>
        <v/>
      </c>
      <c r="R37" s="25">
        <f>$D37*VLOOKUP($C37,原料主数据!$A:$AL, 18, FALSE())</f>
        <v/>
      </c>
      <c r="S37" s="25">
        <f>$D37*VLOOKUP($C37,原料主数据!$A:$AL, 19, FALSE())</f>
        <v/>
      </c>
      <c r="T37" s="25">
        <f>$D37*VLOOKUP($C37,原料主数据!$A:$AL, 20, FALSE())</f>
        <v/>
      </c>
      <c r="U37" s="25">
        <f>$D37*VLOOKUP($C37,原料主数据!$A:$AL, 21, FALSE())</f>
        <v/>
      </c>
      <c r="V37" s="25">
        <f>$D37*VLOOKUP($C37,原料主数据!$A:$AL, 22, FALSE())</f>
        <v/>
      </c>
      <c r="W37" s="25">
        <f>$D37*VLOOKUP($C37,原料主数据!$A:$AL, 23, FALSE())</f>
        <v/>
      </c>
      <c r="X37" s="25">
        <f>$D37*VLOOKUP($C37,原料主数据!$A:$AL, 24, FALSE())</f>
        <v/>
      </c>
      <c r="Y37" s="25">
        <f>$D37*VLOOKUP($C37,原料主数据!$A:$AL, 25, FALSE())</f>
        <v/>
      </c>
      <c r="Z37" s="25">
        <f>$D37*VLOOKUP($C37,原料主数据!$A:$AL, 26, FALSE())</f>
        <v/>
      </c>
      <c r="AA37" s="25">
        <f>$D37*VLOOKUP($C37,原料主数据!$A:$AL, 27, FALSE())</f>
        <v/>
      </c>
      <c r="AB37" s="25">
        <f>$D37*VLOOKUP($C37,原料主数据!$A:$AL, 28, FALSE())</f>
        <v/>
      </c>
      <c r="AC37" s="25">
        <f>$D37*VLOOKUP($C37,原料主数据!$A:$AL, 29, FALSE())</f>
        <v/>
      </c>
      <c r="AD37" s="25">
        <f>$D37*VLOOKUP($C37,原料主数据!$A:$AL, 30, FALSE())</f>
        <v/>
      </c>
      <c r="AE37" s="25">
        <f>$D37*VLOOKUP($C37,原料主数据!$A:$AL, 31, FALSE())</f>
        <v/>
      </c>
      <c r="AF37" s="25">
        <f>$D37*VLOOKUP($C37,原料主数据!$A:$AL, 32, FALSE())</f>
        <v/>
      </c>
      <c r="AG37" s="25">
        <f>$D37*VLOOKUP($C37,原料主数据!$A:$AL, 33, FALSE())</f>
        <v/>
      </c>
      <c r="AH37" s="25">
        <f>$D37*VLOOKUP($C37,原料主数据!$A:$AL, 34, FALSE())</f>
        <v/>
      </c>
      <c r="AI37" s="25">
        <f>$D37*VLOOKUP($C37,原料主数据!$A:$AL, 35, FALSE())</f>
        <v/>
      </c>
      <c r="AJ37" s="25">
        <f>$D37*VLOOKUP($C37,原料主数据!$A:$AL, 36, FALSE())</f>
        <v/>
      </c>
      <c r="AK37" s="25">
        <f>$D37*VLOOKUP($C37,原料主数据!$A:$AL, 37, FALSE())</f>
        <v/>
      </c>
      <c r="AL37" s="25">
        <f>$D37*VLOOKUP($C37,原料主数据!$A:$AL, 38, FALSE())</f>
        <v/>
      </c>
    </row>
    <row r="38" ht="15" customHeight="1" s="15">
      <c r="A38" s="22" t="inlineStr">
        <is>
          <t>EP-0004</t>
        </is>
      </c>
      <c r="B38" s="23" t="inlineStr">
        <is>
          <t>环氧酚醛</t>
        </is>
      </c>
      <c r="C38" s="22" t="inlineStr">
        <is>
          <t>AZ088</t>
        </is>
      </c>
      <c r="D38" s="22" t="n">
        <v>0.06</v>
      </c>
      <c r="E38" s="22">
        <f>VLOOKUP($C38,原料主数据!$A:$E,4,FALSE())</f>
        <v/>
      </c>
      <c r="F38" s="22">
        <f>VLOOKUP($C38,原料主数据!$A:$E,5,FALSE())</f>
        <v/>
      </c>
      <c r="G38" s="22">
        <f>$D38*VLOOKUP($C38,原料主数据!$A:$AL, 7, FALSE())</f>
        <v/>
      </c>
      <c r="H38" s="22">
        <f>$D38*VLOOKUP($C38,原料主数据!$A:$AL, 8, FALSE())</f>
        <v/>
      </c>
      <c r="I38" s="22">
        <f>$D38*VLOOKUP($C38,原料主数据!$A:$AL, 9, FALSE())</f>
        <v/>
      </c>
      <c r="J38" s="22">
        <f>$D38*VLOOKUP($C38,原料主数据!$A:$AL, 10, FALSE())</f>
        <v/>
      </c>
      <c r="K38" s="22">
        <f>$D38*VLOOKUP($C38,原料主数据!$A:$AL, 11, FALSE())</f>
        <v/>
      </c>
      <c r="L38" s="22">
        <f>$D38*VLOOKUP($C38,原料主数据!$A:$AL, 12, FALSE())</f>
        <v/>
      </c>
      <c r="M38" s="22">
        <f>$D38*VLOOKUP($C38,原料主数据!$A:$AL, 13, FALSE())</f>
        <v/>
      </c>
      <c r="N38" s="22">
        <f>$D38*VLOOKUP($C38,原料主数据!$A:$AL, 14, FALSE())</f>
        <v/>
      </c>
      <c r="O38" s="22">
        <f>$D38*VLOOKUP($C38,原料主数据!$A:$AL, 15, FALSE())</f>
        <v/>
      </c>
      <c r="P38" s="22">
        <f>$D38*VLOOKUP($C38,原料主数据!$A:$AL, 16, FALSE())</f>
        <v/>
      </c>
      <c r="Q38" s="22">
        <f>$D38*VLOOKUP($C38,原料主数据!$A:$AL, 17, FALSE())</f>
        <v/>
      </c>
      <c r="R38" s="22">
        <f>$D38*VLOOKUP($C38,原料主数据!$A:$AL, 18, FALSE())</f>
        <v/>
      </c>
      <c r="S38" s="22">
        <f>$D38*VLOOKUP($C38,原料主数据!$A:$AL, 19, FALSE())</f>
        <v/>
      </c>
      <c r="T38" s="22">
        <f>$D38*VLOOKUP($C38,原料主数据!$A:$AL, 20, FALSE())</f>
        <v/>
      </c>
      <c r="U38" s="22">
        <f>$D38*VLOOKUP($C38,原料主数据!$A:$AL, 21, FALSE())</f>
        <v/>
      </c>
      <c r="V38" s="22">
        <f>$D38*VLOOKUP($C38,原料主数据!$A:$AL, 22, FALSE())</f>
        <v/>
      </c>
      <c r="W38" s="22">
        <f>$D38*VLOOKUP($C38,原料主数据!$A:$AL, 23, FALSE())</f>
        <v/>
      </c>
      <c r="X38" s="22">
        <f>$D38*VLOOKUP($C38,原料主数据!$A:$AL, 24, FALSE())</f>
        <v/>
      </c>
      <c r="Y38" s="22">
        <f>$D38*VLOOKUP($C38,原料主数据!$A:$AL, 25, FALSE())</f>
        <v/>
      </c>
      <c r="Z38" s="22">
        <f>$D38*VLOOKUP($C38,原料主数据!$A:$AL, 26, FALSE())</f>
        <v/>
      </c>
      <c r="AA38" s="22">
        <f>$D38*VLOOKUP($C38,原料主数据!$A:$AL, 27, FALSE())</f>
        <v/>
      </c>
      <c r="AB38" s="22">
        <f>$D38*VLOOKUP($C38,原料主数据!$A:$AL, 28, FALSE())</f>
        <v/>
      </c>
      <c r="AC38" s="22">
        <f>$D38*VLOOKUP($C38,原料主数据!$A:$AL, 29, FALSE())</f>
        <v/>
      </c>
      <c r="AD38" s="22">
        <f>$D38*VLOOKUP($C38,原料主数据!$A:$AL, 30, FALSE())</f>
        <v/>
      </c>
      <c r="AE38" s="22">
        <f>$D38*VLOOKUP($C38,原料主数据!$A:$AL, 31, FALSE())</f>
        <v/>
      </c>
      <c r="AF38" s="22">
        <f>$D38*VLOOKUP($C38,原料主数据!$A:$AL, 32, FALSE())</f>
        <v/>
      </c>
      <c r="AG38" s="22">
        <f>$D38*VLOOKUP($C38,原料主数据!$A:$AL, 33, FALSE())</f>
        <v/>
      </c>
      <c r="AH38" s="22">
        <f>$D38*VLOOKUP($C38,原料主数据!$A:$AL, 34, FALSE())</f>
        <v/>
      </c>
      <c r="AI38" s="22">
        <f>$D38*VLOOKUP($C38,原料主数据!$A:$AL, 35, FALSE())</f>
        <v/>
      </c>
      <c r="AJ38" s="22">
        <f>$D38*VLOOKUP($C38,原料主数据!$A:$AL, 36, FALSE())</f>
        <v/>
      </c>
      <c r="AK38" s="22">
        <f>$D38*VLOOKUP($C38,原料主数据!$A:$AL, 37, FALSE())</f>
        <v/>
      </c>
      <c r="AL38" s="22">
        <f>$D38*VLOOKUP($C38,原料主数据!$A:$AL, 38, FALSE())</f>
        <v/>
      </c>
    </row>
    <row r="39" ht="15" customHeight="1" s="15">
      <c r="A39" s="25" t="inlineStr">
        <is>
          <t>EP-0004</t>
        </is>
      </c>
      <c r="B39" s="26" t="inlineStr">
        <is>
          <t>环氧酚醛</t>
        </is>
      </c>
      <c r="C39" s="26" t="inlineStr">
        <is>
          <t>正丁醇</t>
        </is>
      </c>
      <c r="D39" s="25" t="n">
        <v>7.69</v>
      </c>
      <c r="E39" s="25">
        <f>VLOOKUP($C39,原料主数据!$A:$E,4,FALSE())</f>
        <v/>
      </c>
      <c r="F39" s="25">
        <f>VLOOKUP($C39,原料主数据!$A:$E,5,FALSE())</f>
        <v/>
      </c>
      <c r="G39" s="25">
        <f>$D39*VLOOKUP($C39,原料主数据!$A:$AL, 7, FALSE())</f>
        <v/>
      </c>
      <c r="H39" s="25">
        <f>$D39*VLOOKUP($C39,原料主数据!$A:$AL, 8, FALSE())</f>
        <v/>
      </c>
      <c r="I39" s="25">
        <f>$D39*VLOOKUP($C39,原料主数据!$A:$AL, 9, FALSE())</f>
        <v/>
      </c>
      <c r="J39" s="25">
        <f>$D39*VLOOKUP($C39,原料主数据!$A:$AL, 10, FALSE())</f>
        <v/>
      </c>
      <c r="K39" s="25">
        <f>$D39*VLOOKUP($C39,原料主数据!$A:$AL, 11, FALSE())</f>
        <v/>
      </c>
      <c r="L39" s="25">
        <f>$D39*VLOOKUP($C39,原料主数据!$A:$AL, 12, FALSE())</f>
        <v/>
      </c>
      <c r="M39" s="25">
        <f>$D39*VLOOKUP($C39,原料主数据!$A:$AL, 13, FALSE())</f>
        <v/>
      </c>
      <c r="N39" s="25">
        <f>$D39*VLOOKUP($C39,原料主数据!$A:$AL, 14, FALSE())</f>
        <v/>
      </c>
      <c r="O39" s="25">
        <f>$D39*VLOOKUP($C39,原料主数据!$A:$AL, 15, FALSE())</f>
        <v/>
      </c>
      <c r="P39" s="25">
        <f>$D39*VLOOKUP($C39,原料主数据!$A:$AL, 16, FALSE())</f>
        <v/>
      </c>
      <c r="Q39" s="25">
        <f>$D39*VLOOKUP($C39,原料主数据!$A:$AL, 17, FALSE())</f>
        <v/>
      </c>
      <c r="R39" s="25">
        <f>$D39*VLOOKUP($C39,原料主数据!$A:$AL, 18, FALSE())</f>
        <v/>
      </c>
      <c r="S39" s="25">
        <f>$D39*VLOOKUP($C39,原料主数据!$A:$AL, 19, FALSE())</f>
        <v/>
      </c>
      <c r="T39" s="25">
        <f>$D39*VLOOKUP($C39,原料主数据!$A:$AL, 20, FALSE())</f>
        <v/>
      </c>
      <c r="U39" s="25">
        <f>$D39*VLOOKUP($C39,原料主数据!$A:$AL, 21, FALSE())</f>
        <v/>
      </c>
      <c r="V39" s="25">
        <f>$D39*VLOOKUP($C39,原料主数据!$A:$AL, 22, FALSE())</f>
        <v/>
      </c>
      <c r="W39" s="25">
        <f>$D39*VLOOKUP($C39,原料主数据!$A:$AL, 23, FALSE())</f>
        <v/>
      </c>
      <c r="X39" s="25">
        <f>$D39*VLOOKUP($C39,原料主数据!$A:$AL, 24, FALSE())</f>
        <v/>
      </c>
      <c r="Y39" s="25">
        <f>$D39*VLOOKUP($C39,原料主数据!$A:$AL, 25, FALSE())</f>
        <v/>
      </c>
      <c r="Z39" s="25">
        <f>$D39*VLOOKUP($C39,原料主数据!$A:$AL, 26, FALSE())</f>
        <v/>
      </c>
      <c r="AA39" s="25">
        <f>$D39*VLOOKUP($C39,原料主数据!$A:$AL, 27, FALSE())</f>
        <v/>
      </c>
      <c r="AB39" s="25">
        <f>$D39*VLOOKUP($C39,原料主数据!$A:$AL, 28, FALSE())</f>
        <v/>
      </c>
      <c r="AC39" s="25">
        <f>$D39*VLOOKUP($C39,原料主数据!$A:$AL, 29, FALSE())</f>
        <v/>
      </c>
      <c r="AD39" s="25">
        <f>$D39*VLOOKUP($C39,原料主数据!$A:$AL, 30, FALSE())</f>
        <v/>
      </c>
      <c r="AE39" s="25">
        <f>$D39*VLOOKUP($C39,原料主数据!$A:$AL, 31, FALSE())</f>
        <v/>
      </c>
      <c r="AF39" s="25">
        <f>$D39*VLOOKUP($C39,原料主数据!$A:$AL, 32, FALSE())</f>
        <v/>
      </c>
      <c r="AG39" s="25">
        <f>$D39*VLOOKUP($C39,原料主数据!$A:$AL, 33, FALSE())</f>
        <v/>
      </c>
      <c r="AH39" s="25">
        <f>$D39*VLOOKUP($C39,原料主数据!$A:$AL, 34, FALSE())</f>
        <v/>
      </c>
      <c r="AI39" s="25">
        <f>$D39*VLOOKUP($C39,原料主数据!$A:$AL, 35, FALSE())</f>
        <v/>
      </c>
      <c r="AJ39" s="25">
        <f>$D39*VLOOKUP($C39,原料主数据!$A:$AL, 36, FALSE())</f>
        <v/>
      </c>
      <c r="AK39" s="25">
        <f>$D39*VLOOKUP($C39,原料主数据!$A:$AL, 37, FALSE())</f>
        <v/>
      </c>
      <c r="AL39" s="25">
        <f>$D39*VLOOKUP($C39,原料主数据!$A:$AL, 38, FALSE())</f>
        <v/>
      </c>
    </row>
    <row r="40" ht="15" customHeight="1" s="15">
      <c r="A40" s="22" t="inlineStr">
        <is>
          <t>EP-0004</t>
        </is>
      </c>
      <c r="B40" s="23" t="inlineStr">
        <is>
          <t>环氧酚醛</t>
        </is>
      </c>
      <c r="C40" s="23" t="inlineStr">
        <is>
          <t>补加混合液</t>
        </is>
      </c>
      <c r="D40" s="22" t="n">
        <v>6.52</v>
      </c>
      <c r="E40" s="22">
        <f>VLOOKUP($C40,原料主数据!$A:$E,4,FALSE())</f>
        <v/>
      </c>
      <c r="F40" s="22">
        <f>VLOOKUP($C40,原料主数据!$A:$E,5,FALSE())</f>
        <v/>
      </c>
      <c r="G40" s="22">
        <f>$D40*VLOOKUP($C40,原料主数据!$A:$AL, 7, FALSE())</f>
        <v/>
      </c>
      <c r="H40" s="22">
        <f>$D40*VLOOKUP($C40,原料主数据!$A:$AL, 8, FALSE())</f>
        <v/>
      </c>
      <c r="I40" s="22">
        <f>$D40*VLOOKUP($C40,原料主数据!$A:$AL, 9, FALSE())</f>
        <v/>
      </c>
      <c r="J40" s="22">
        <f>$D40*VLOOKUP($C40,原料主数据!$A:$AL, 10, FALSE())</f>
        <v/>
      </c>
      <c r="K40" s="22">
        <f>$D40*VLOOKUP($C40,原料主数据!$A:$AL, 11, FALSE())</f>
        <v/>
      </c>
      <c r="L40" s="22">
        <f>$D40*VLOOKUP($C40,原料主数据!$A:$AL, 12, FALSE())</f>
        <v/>
      </c>
      <c r="M40" s="22">
        <f>$D40*VLOOKUP($C40,原料主数据!$A:$AL, 13, FALSE())</f>
        <v/>
      </c>
      <c r="N40" s="22">
        <f>$D40*VLOOKUP($C40,原料主数据!$A:$AL, 14, FALSE())</f>
        <v/>
      </c>
      <c r="O40" s="22">
        <f>$D40*VLOOKUP($C40,原料主数据!$A:$AL, 15, FALSE())</f>
        <v/>
      </c>
      <c r="P40" s="22">
        <f>$D40*VLOOKUP($C40,原料主数据!$A:$AL, 16, FALSE())</f>
        <v/>
      </c>
      <c r="Q40" s="22">
        <f>$D40*VLOOKUP($C40,原料主数据!$A:$AL, 17, FALSE())</f>
        <v/>
      </c>
      <c r="R40" s="22">
        <f>$D40*VLOOKUP($C40,原料主数据!$A:$AL, 18, FALSE())</f>
        <v/>
      </c>
      <c r="S40" s="22">
        <f>$D40*VLOOKUP($C40,原料主数据!$A:$AL, 19, FALSE())</f>
        <v/>
      </c>
      <c r="T40" s="22">
        <f>$D40*VLOOKUP($C40,原料主数据!$A:$AL, 20, FALSE())</f>
        <v/>
      </c>
      <c r="U40" s="22">
        <f>$D40*VLOOKUP($C40,原料主数据!$A:$AL, 21, FALSE())</f>
        <v/>
      </c>
      <c r="V40" s="22">
        <f>$D40*VLOOKUP($C40,原料主数据!$A:$AL, 22, FALSE())</f>
        <v/>
      </c>
      <c r="W40" s="22">
        <f>$D40*VLOOKUP($C40,原料主数据!$A:$AL, 23, FALSE())</f>
        <v/>
      </c>
      <c r="X40" s="22">
        <f>$D40*VLOOKUP($C40,原料主数据!$A:$AL, 24, FALSE())</f>
        <v/>
      </c>
      <c r="Y40" s="22">
        <f>$D40*VLOOKUP($C40,原料主数据!$A:$AL, 25, FALSE())</f>
        <v/>
      </c>
      <c r="Z40" s="22">
        <f>$D40*VLOOKUP($C40,原料主数据!$A:$AL, 26, FALSE())</f>
        <v/>
      </c>
      <c r="AA40" s="22">
        <f>$D40*VLOOKUP($C40,原料主数据!$A:$AL, 27, FALSE())</f>
        <v/>
      </c>
      <c r="AB40" s="22">
        <f>$D40*VLOOKUP($C40,原料主数据!$A:$AL, 28, FALSE())</f>
        <v/>
      </c>
      <c r="AC40" s="22">
        <f>$D40*VLOOKUP($C40,原料主数据!$A:$AL, 29, FALSE())</f>
        <v/>
      </c>
      <c r="AD40" s="22">
        <f>$D40*VLOOKUP($C40,原料主数据!$A:$AL, 30, FALSE())</f>
        <v/>
      </c>
      <c r="AE40" s="22">
        <f>$D40*VLOOKUP($C40,原料主数据!$A:$AL, 31, FALSE())</f>
        <v/>
      </c>
      <c r="AF40" s="22">
        <f>$D40*VLOOKUP($C40,原料主数据!$A:$AL, 32, FALSE())</f>
        <v/>
      </c>
      <c r="AG40" s="22">
        <f>$D40*VLOOKUP($C40,原料主数据!$A:$AL, 33, FALSE())</f>
        <v/>
      </c>
      <c r="AH40" s="22">
        <f>$D40*VLOOKUP($C40,原料主数据!$A:$AL, 34, FALSE())</f>
        <v/>
      </c>
      <c r="AI40" s="22">
        <f>$D40*VLOOKUP($C40,原料主数据!$A:$AL, 35, FALSE())</f>
        <v/>
      </c>
      <c r="AJ40" s="22">
        <f>$D40*VLOOKUP($C40,原料主数据!$A:$AL, 36, FALSE())</f>
        <v/>
      </c>
      <c r="AK40" s="22">
        <f>$D40*VLOOKUP($C40,原料主数据!$A:$AL, 37, FALSE())</f>
        <v/>
      </c>
      <c r="AL40" s="22">
        <f>$D40*VLOOKUP($C40,原料主数据!$A:$AL, 38, FALSE())</f>
        <v/>
      </c>
    </row>
    <row r="41" ht="15" customHeight="1" s="15">
      <c r="A41" s="25" t="inlineStr">
        <is>
          <t>EP-0004</t>
        </is>
      </c>
      <c r="B41" s="26" t="inlineStr">
        <is>
          <t>环氧酚醛</t>
        </is>
      </c>
      <c r="C41" s="25" t="inlineStr">
        <is>
          <t>10%磷酸</t>
        </is>
      </c>
      <c r="D41" s="25" t="n">
        <v>2.57</v>
      </c>
      <c r="E41" s="25">
        <f>VLOOKUP($C41,原料主数据!$A:$E,4,FALSE())</f>
        <v/>
      </c>
      <c r="F41" s="25">
        <f>VLOOKUP($C41,原料主数据!$A:$E,5,FALSE())</f>
        <v/>
      </c>
      <c r="G41" s="25">
        <f>$D41*VLOOKUP($C41,原料主数据!$A:$AL, 7, FALSE())</f>
        <v/>
      </c>
      <c r="H41" s="25">
        <f>$D41*VLOOKUP($C41,原料主数据!$A:$AL, 8, FALSE())</f>
        <v/>
      </c>
      <c r="I41" s="25">
        <f>$D41*VLOOKUP($C41,原料主数据!$A:$AL, 9, FALSE())</f>
        <v/>
      </c>
      <c r="J41" s="25">
        <f>$D41*VLOOKUP($C41,原料主数据!$A:$AL, 10, FALSE())</f>
        <v/>
      </c>
      <c r="K41" s="25">
        <f>$D41*VLOOKUP($C41,原料主数据!$A:$AL, 11, FALSE())</f>
        <v/>
      </c>
      <c r="L41" s="25">
        <f>$D41*VLOOKUP($C41,原料主数据!$A:$AL, 12, FALSE())</f>
        <v/>
      </c>
      <c r="M41" s="25">
        <f>$D41*VLOOKUP($C41,原料主数据!$A:$AL, 13, FALSE())</f>
        <v/>
      </c>
      <c r="N41" s="25">
        <f>$D41*VLOOKUP($C41,原料主数据!$A:$AL, 14, FALSE())</f>
        <v/>
      </c>
      <c r="O41" s="25">
        <f>$D41*VLOOKUP($C41,原料主数据!$A:$AL, 15, FALSE())</f>
        <v/>
      </c>
      <c r="P41" s="25">
        <f>$D41*VLOOKUP($C41,原料主数据!$A:$AL, 16, FALSE())</f>
        <v/>
      </c>
      <c r="Q41" s="25">
        <f>$D41*VLOOKUP($C41,原料主数据!$A:$AL, 17, FALSE())</f>
        <v/>
      </c>
      <c r="R41" s="25">
        <f>$D41*VLOOKUP($C41,原料主数据!$A:$AL, 18, FALSE())</f>
        <v/>
      </c>
      <c r="S41" s="25">
        <f>$D41*VLOOKUP($C41,原料主数据!$A:$AL, 19, FALSE())</f>
        <v/>
      </c>
      <c r="T41" s="25">
        <f>$D41*VLOOKUP($C41,原料主数据!$A:$AL, 20, FALSE())</f>
        <v/>
      </c>
      <c r="U41" s="25">
        <f>$D41*VLOOKUP($C41,原料主数据!$A:$AL, 21, FALSE())</f>
        <v/>
      </c>
      <c r="V41" s="25">
        <f>$D41*VLOOKUP($C41,原料主数据!$A:$AL, 22, FALSE())</f>
        <v/>
      </c>
      <c r="W41" s="25">
        <f>$D41*VLOOKUP($C41,原料主数据!$A:$AL, 23, FALSE())</f>
        <v/>
      </c>
      <c r="X41" s="25">
        <f>$D41*VLOOKUP($C41,原料主数据!$A:$AL, 24, FALSE())</f>
        <v/>
      </c>
      <c r="Y41" s="25">
        <f>$D41*VLOOKUP($C41,原料主数据!$A:$AL, 25, FALSE())</f>
        <v/>
      </c>
      <c r="Z41" s="25">
        <f>$D41*VLOOKUP($C41,原料主数据!$A:$AL, 26, FALSE())</f>
        <v/>
      </c>
      <c r="AA41" s="25">
        <f>$D41*VLOOKUP($C41,原料主数据!$A:$AL, 27, FALSE())</f>
        <v/>
      </c>
      <c r="AB41" s="25">
        <f>$D41*VLOOKUP($C41,原料主数据!$A:$AL, 28, FALSE())</f>
        <v/>
      </c>
      <c r="AC41" s="25">
        <f>$D41*VLOOKUP($C41,原料主数据!$A:$AL, 29, FALSE())</f>
        <v/>
      </c>
      <c r="AD41" s="25">
        <f>$D41*VLOOKUP($C41,原料主数据!$A:$AL, 30, FALSE())</f>
        <v/>
      </c>
      <c r="AE41" s="25">
        <f>$D41*VLOOKUP($C41,原料主数据!$A:$AL, 31, FALSE())</f>
        <v/>
      </c>
      <c r="AF41" s="25">
        <f>$D41*VLOOKUP($C41,原料主数据!$A:$AL, 32, FALSE())</f>
        <v/>
      </c>
      <c r="AG41" s="25">
        <f>$D41*VLOOKUP($C41,原料主数据!$A:$AL, 33, FALSE())</f>
        <v/>
      </c>
      <c r="AH41" s="25">
        <f>$D41*VLOOKUP($C41,原料主数据!$A:$AL, 34, FALSE())</f>
        <v/>
      </c>
      <c r="AI41" s="25">
        <f>$D41*VLOOKUP($C41,原料主数据!$A:$AL, 35, FALSE())</f>
        <v/>
      </c>
      <c r="AJ41" s="25">
        <f>$D41*VLOOKUP($C41,原料主数据!$A:$AL, 36, FALSE())</f>
        <v/>
      </c>
      <c r="AK41" s="25">
        <f>$D41*VLOOKUP($C41,原料主数据!$A:$AL, 37, FALSE())</f>
        <v/>
      </c>
      <c r="AL41" s="25">
        <f>$D41*VLOOKUP($C41,原料主数据!$A:$AL, 38, FALSE())</f>
        <v/>
      </c>
    </row>
    <row r="42" ht="15" customHeight="1" s="15">
      <c r="A42" s="22" t="inlineStr">
        <is>
          <t>EP-0005</t>
        </is>
      </c>
      <c r="B42" s="23" t="inlineStr">
        <is>
          <t>环氧酚醛</t>
        </is>
      </c>
      <c r="C42" s="22" t="inlineStr">
        <is>
          <t>IR190</t>
        </is>
      </c>
      <c r="D42" s="22" t="n">
        <v>66</v>
      </c>
      <c r="E42" s="22">
        <f>VLOOKUP($C42,原料主数据!$A:$E,4,FALSE())</f>
        <v/>
      </c>
      <c r="F42" s="22">
        <f>VLOOKUP($C42,原料主数据!$A:$E,5,FALSE())</f>
        <v/>
      </c>
      <c r="G42" s="22">
        <f>$D42*VLOOKUP($C42,原料主数据!$A:$AL, 7, FALSE())</f>
        <v/>
      </c>
      <c r="H42" s="22">
        <f>$D42*VLOOKUP($C42,原料主数据!$A:$AL, 8, FALSE())</f>
        <v/>
      </c>
      <c r="I42" s="22">
        <f>$D42*VLOOKUP($C42,原料主数据!$A:$AL, 9, FALSE())</f>
        <v/>
      </c>
      <c r="J42" s="22">
        <f>$D42*VLOOKUP($C42,原料主数据!$A:$AL, 10, FALSE())</f>
        <v/>
      </c>
      <c r="K42" s="22">
        <f>$D42*VLOOKUP($C42,原料主数据!$A:$AL, 11, FALSE())</f>
        <v/>
      </c>
      <c r="L42" s="22">
        <f>$D42*VLOOKUP($C42,原料主数据!$A:$AL, 12, FALSE())</f>
        <v/>
      </c>
      <c r="M42" s="22">
        <f>$D42*VLOOKUP($C42,原料主数据!$A:$AL, 13, FALSE())</f>
        <v/>
      </c>
      <c r="N42" s="22">
        <f>$D42*VLOOKUP($C42,原料主数据!$A:$AL, 14, FALSE())</f>
        <v/>
      </c>
      <c r="O42" s="22">
        <f>$D42*VLOOKUP($C42,原料主数据!$A:$AL, 15, FALSE())</f>
        <v/>
      </c>
      <c r="P42" s="22">
        <f>$D42*VLOOKUP($C42,原料主数据!$A:$AL, 16, FALSE())</f>
        <v/>
      </c>
      <c r="Q42" s="22">
        <f>$D42*VLOOKUP($C42,原料主数据!$A:$AL, 17, FALSE())</f>
        <v/>
      </c>
      <c r="R42" s="22">
        <f>$D42*VLOOKUP($C42,原料主数据!$A:$AL, 18, FALSE())</f>
        <v/>
      </c>
      <c r="S42" s="22">
        <f>$D42*VLOOKUP($C42,原料主数据!$A:$AL, 19, FALSE())</f>
        <v/>
      </c>
      <c r="T42" s="22">
        <f>$D42*VLOOKUP($C42,原料主数据!$A:$AL, 20, FALSE())</f>
        <v/>
      </c>
      <c r="U42" s="22">
        <f>$D42*VLOOKUP($C42,原料主数据!$A:$AL, 21, FALSE())</f>
        <v/>
      </c>
      <c r="V42" s="22">
        <f>$D42*VLOOKUP($C42,原料主数据!$A:$AL, 22, FALSE())</f>
        <v/>
      </c>
      <c r="W42" s="22">
        <f>$D42*VLOOKUP($C42,原料主数据!$A:$AL, 23, FALSE())</f>
        <v/>
      </c>
      <c r="X42" s="22">
        <f>$D42*VLOOKUP($C42,原料主数据!$A:$AL, 24, FALSE())</f>
        <v/>
      </c>
      <c r="Y42" s="22">
        <f>$D42*VLOOKUP($C42,原料主数据!$A:$AL, 25, FALSE())</f>
        <v/>
      </c>
      <c r="Z42" s="22">
        <f>$D42*VLOOKUP($C42,原料主数据!$A:$AL, 26, FALSE())</f>
        <v/>
      </c>
      <c r="AA42" s="22">
        <f>$D42*VLOOKUP($C42,原料主数据!$A:$AL, 27, FALSE())</f>
        <v/>
      </c>
      <c r="AB42" s="22">
        <f>$D42*VLOOKUP($C42,原料主数据!$A:$AL, 28, FALSE())</f>
        <v/>
      </c>
      <c r="AC42" s="22">
        <f>$D42*VLOOKUP($C42,原料主数据!$A:$AL, 29, FALSE())</f>
        <v/>
      </c>
      <c r="AD42" s="22">
        <f>$D42*VLOOKUP($C42,原料主数据!$A:$AL, 30, FALSE())</f>
        <v/>
      </c>
      <c r="AE42" s="22">
        <f>$D42*VLOOKUP($C42,原料主数据!$A:$AL, 31, FALSE())</f>
        <v/>
      </c>
      <c r="AF42" s="22">
        <f>$D42*VLOOKUP($C42,原料主数据!$A:$AL, 32, FALSE())</f>
        <v/>
      </c>
      <c r="AG42" s="22">
        <f>$D42*VLOOKUP($C42,原料主数据!$A:$AL, 33, FALSE())</f>
        <v/>
      </c>
      <c r="AH42" s="22">
        <f>$D42*VLOOKUP($C42,原料主数据!$A:$AL, 34, FALSE())</f>
        <v/>
      </c>
      <c r="AI42" s="22">
        <f>$D42*VLOOKUP($C42,原料主数据!$A:$AL, 35, FALSE())</f>
        <v/>
      </c>
      <c r="AJ42" s="22">
        <f>$D42*VLOOKUP($C42,原料主数据!$A:$AL, 36, FALSE())</f>
        <v/>
      </c>
      <c r="AK42" s="22">
        <f>$D42*VLOOKUP($C42,原料主数据!$A:$AL, 37, FALSE())</f>
        <v/>
      </c>
      <c r="AL42" s="22">
        <f>$D42*VLOOKUP($C42,原料主数据!$A:$AL, 38, FALSE())</f>
        <v/>
      </c>
    </row>
    <row r="43" ht="15" customHeight="1" s="15">
      <c r="A43" s="25" t="inlineStr">
        <is>
          <t>EP-0005</t>
        </is>
      </c>
      <c r="B43" s="26" t="inlineStr">
        <is>
          <t>环氧酚醛</t>
        </is>
      </c>
      <c r="C43" s="25" t="inlineStr">
        <is>
          <t>RF401</t>
        </is>
      </c>
      <c r="D43" s="25" t="n">
        <v>1.42</v>
      </c>
      <c r="E43" s="25">
        <f>VLOOKUP($C43,原料主数据!$A:$E,4,FALSE())</f>
        <v/>
      </c>
      <c r="F43" s="25">
        <f>VLOOKUP($C43,原料主数据!$A:$E,5,FALSE())</f>
        <v/>
      </c>
      <c r="G43" s="25">
        <f>$D43*VLOOKUP($C43,原料主数据!$A:$AL, 7, FALSE())</f>
        <v/>
      </c>
      <c r="H43" s="25">
        <f>$D43*VLOOKUP($C43,原料主数据!$A:$AL, 8, FALSE())</f>
        <v/>
      </c>
      <c r="I43" s="25">
        <f>$D43*VLOOKUP($C43,原料主数据!$A:$AL, 9, FALSE())</f>
        <v/>
      </c>
      <c r="J43" s="25">
        <f>$D43*VLOOKUP($C43,原料主数据!$A:$AL, 10, FALSE())</f>
        <v/>
      </c>
      <c r="K43" s="25">
        <f>$D43*VLOOKUP($C43,原料主数据!$A:$AL, 11, FALSE())</f>
        <v/>
      </c>
      <c r="L43" s="25">
        <f>$D43*VLOOKUP($C43,原料主数据!$A:$AL, 12, FALSE())</f>
        <v/>
      </c>
      <c r="M43" s="25">
        <f>$D43*VLOOKUP($C43,原料主数据!$A:$AL, 13, FALSE())</f>
        <v/>
      </c>
      <c r="N43" s="25">
        <f>$D43*VLOOKUP($C43,原料主数据!$A:$AL, 14, FALSE())</f>
        <v/>
      </c>
      <c r="O43" s="25">
        <f>$D43*VLOOKUP($C43,原料主数据!$A:$AL, 15, FALSE())</f>
        <v/>
      </c>
      <c r="P43" s="25">
        <f>$D43*VLOOKUP($C43,原料主数据!$A:$AL, 16, FALSE())</f>
        <v/>
      </c>
      <c r="Q43" s="25">
        <f>$D43*VLOOKUP($C43,原料主数据!$A:$AL, 17, FALSE())</f>
        <v/>
      </c>
      <c r="R43" s="25">
        <f>$D43*VLOOKUP($C43,原料主数据!$A:$AL, 18, FALSE())</f>
        <v/>
      </c>
      <c r="S43" s="25">
        <f>$D43*VLOOKUP($C43,原料主数据!$A:$AL, 19, FALSE())</f>
        <v/>
      </c>
      <c r="T43" s="25">
        <f>$D43*VLOOKUP($C43,原料主数据!$A:$AL, 20, FALSE())</f>
        <v/>
      </c>
      <c r="U43" s="25">
        <f>$D43*VLOOKUP($C43,原料主数据!$A:$AL, 21, FALSE())</f>
        <v/>
      </c>
      <c r="V43" s="25">
        <f>$D43*VLOOKUP($C43,原料主数据!$A:$AL, 22, FALSE())</f>
        <v/>
      </c>
      <c r="W43" s="25">
        <f>$D43*VLOOKUP($C43,原料主数据!$A:$AL, 23, FALSE())</f>
        <v/>
      </c>
      <c r="X43" s="25">
        <f>$D43*VLOOKUP($C43,原料主数据!$A:$AL, 24, FALSE())</f>
        <v/>
      </c>
      <c r="Y43" s="25">
        <f>$D43*VLOOKUP($C43,原料主数据!$A:$AL, 25, FALSE())</f>
        <v/>
      </c>
      <c r="Z43" s="25">
        <f>$D43*VLOOKUP($C43,原料主数据!$A:$AL, 26, FALSE())</f>
        <v/>
      </c>
      <c r="AA43" s="25">
        <f>$D43*VLOOKUP($C43,原料主数据!$A:$AL, 27, FALSE())</f>
        <v/>
      </c>
      <c r="AB43" s="25">
        <f>$D43*VLOOKUP($C43,原料主数据!$A:$AL, 28, FALSE())</f>
        <v/>
      </c>
      <c r="AC43" s="25">
        <f>$D43*VLOOKUP($C43,原料主数据!$A:$AL, 29, FALSE())</f>
        <v/>
      </c>
      <c r="AD43" s="25">
        <f>$D43*VLOOKUP($C43,原料主数据!$A:$AL, 30, FALSE())</f>
        <v/>
      </c>
      <c r="AE43" s="25">
        <f>$D43*VLOOKUP($C43,原料主数据!$A:$AL, 31, FALSE())</f>
        <v/>
      </c>
      <c r="AF43" s="25">
        <f>$D43*VLOOKUP($C43,原料主数据!$A:$AL, 32, FALSE())</f>
        <v/>
      </c>
      <c r="AG43" s="25">
        <f>$D43*VLOOKUP($C43,原料主数据!$A:$AL, 33, FALSE())</f>
        <v/>
      </c>
      <c r="AH43" s="25">
        <f>$D43*VLOOKUP($C43,原料主数据!$A:$AL, 34, FALSE())</f>
        <v/>
      </c>
      <c r="AI43" s="25">
        <f>$D43*VLOOKUP($C43,原料主数据!$A:$AL, 35, FALSE())</f>
        <v/>
      </c>
      <c r="AJ43" s="25">
        <f>$D43*VLOOKUP($C43,原料主数据!$A:$AL, 36, FALSE())</f>
        <v/>
      </c>
      <c r="AK43" s="25">
        <f>$D43*VLOOKUP($C43,原料主数据!$A:$AL, 37, FALSE())</f>
        <v/>
      </c>
      <c r="AL43" s="25">
        <f>$D43*VLOOKUP($C43,原料主数据!$A:$AL, 38, FALSE())</f>
        <v/>
      </c>
    </row>
    <row r="44" ht="15" customHeight="1" s="15">
      <c r="A44" s="22" t="inlineStr">
        <is>
          <t>EP-0005</t>
        </is>
      </c>
      <c r="B44" s="23" t="inlineStr">
        <is>
          <t>环氧酚醛</t>
        </is>
      </c>
      <c r="C44" s="22" t="inlineStr">
        <is>
          <t>RF160</t>
        </is>
      </c>
      <c r="D44" s="22" t="n">
        <v>6.46</v>
      </c>
      <c r="E44" s="22">
        <f>VLOOKUP($C44,原料主数据!$A:$E,4,FALSE())</f>
        <v/>
      </c>
      <c r="F44" s="22">
        <f>VLOOKUP($C44,原料主数据!$A:$E,5,FALSE())</f>
        <v/>
      </c>
      <c r="G44" s="22">
        <f>$D44*VLOOKUP($C44,原料主数据!$A:$AL, 7, FALSE())</f>
        <v/>
      </c>
      <c r="H44" s="22">
        <f>$D44*VLOOKUP($C44,原料主数据!$A:$AL, 8, FALSE())</f>
        <v/>
      </c>
      <c r="I44" s="22">
        <f>$D44*VLOOKUP($C44,原料主数据!$A:$AL, 9, FALSE())</f>
        <v/>
      </c>
      <c r="J44" s="22">
        <f>$D44*VLOOKUP($C44,原料主数据!$A:$AL, 10, FALSE())</f>
        <v/>
      </c>
      <c r="K44" s="22">
        <f>$D44*VLOOKUP($C44,原料主数据!$A:$AL, 11, FALSE())</f>
        <v/>
      </c>
      <c r="L44" s="22">
        <f>$D44*VLOOKUP($C44,原料主数据!$A:$AL, 12, FALSE())</f>
        <v/>
      </c>
      <c r="M44" s="22">
        <f>$D44*VLOOKUP($C44,原料主数据!$A:$AL, 13, FALSE())</f>
        <v/>
      </c>
      <c r="N44" s="22">
        <f>$D44*VLOOKUP($C44,原料主数据!$A:$AL, 14, FALSE())</f>
        <v/>
      </c>
      <c r="O44" s="22">
        <f>$D44*VLOOKUP($C44,原料主数据!$A:$AL, 15, FALSE())</f>
        <v/>
      </c>
      <c r="P44" s="22">
        <f>$D44*VLOOKUP($C44,原料主数据!$A:$AL, 16, FALSE())</f>
        <v/>
      </c>
      <c r="Q44" s="22">
        <f>$D44*VLOOKUP($C44,原料主数据!$A:$AL, 17, FALSE())</f>
        <v/>
      </c>
      <c r="R44" s="22">
        <f>$D44*VLOOKUP($C44,原料主数据!$A:$AL, 18, FALSE())</f>
        <v/>
      </c>
      <c r="S44" s="22">
        <f>$D44*VLOOKUP($C44,原料主数据!$A:$AL, 19, FALSE())</f>
        <v/>
      </c>
      <c r="T44" s="22">
        <f>$D44*VLOOKUP($C44,原料主数据!$A:$AL, 20, FALSE())</f>
        <v/>
      </c>
      <c r="U44" s="22">
        <f>$D44*VLOOKUP($C44,原料主数据!$A:$AL, 21, FALSE())</f>
        <v/>
      </c>
      <c r="V44" s="22">
        <f>$D44*VLOOKUP($C44,原料主数据!$A:$AL, 22, FALSE())</f>
        <v/>
      </c>
      <c r="W44" s="22">
        <f>$D44*VLOOKUP($C44,原料主数据!$A:$AL, 23, FALSE())</f>
        <v/>
      </c>
      <c r="X44" s="22">
        <f>$D44*VLOOKUP($C44,原料主数据!$A:$AL, 24, FALSE())</f>
        <v/>
      </c>
      <c r="Y44" s="22">
        <f>$D44*VLOOKUP($C44,原料主数据!$A:$AL, 25, FALSE())</f>
        <v/>
      </c>
      <c r="Z44" s="22">
        <f>$D44*VLOOKUP($C44,原料主数据!$A:$AL, 26, FALSE())</f>
        <v/>
      </c>
      <c r="AA44" s="22">
        <f>$D44*VLOOKUP($C44,原料主数据!$A:$AL, 27, FALSE())</f>
        <v/>
      </c>
      <c r="AB44" s="22">
        <f>$D44*VLOOKUP($C44,原料主数据!$A:$AL, 28, FALSE())</f>
        <v/>
      </c>
      <c r="AC44" s="22">
        <f>$D44*VLOOKUP($C44,原料主数据!$A:$AL, 29, FALSE())</f>
        <v/>
      </c>
      <c r="AD44" s="22">
        <f>$D44*VLOOKUP($C44,原料主数据!$A:$AL, 30, FALSE())</f>
        <v/>
      </c>
      <c r="AE44" s="22">
        <f>$D44*VLOOKUP($C44,原料主数据!$A:$AL, 31, FALSE())</f>
        <v/>
      </c>
      <c r="AF44" s="22">
        <f>$D44*VLOOKUP($C44,原料主数据!$A:$AL, 32, FALSE())</f>
        <v/>
      </c>
      <c r="AG44" s="22">
        <f>$D44*VLOOKUP($C44,原料主数据!$A:$AL, 33, FALSE())</f>
        <v/>
      </c>
      <c r="AH44" s="22">
        <f>$D44*VLOOKUP($C44,原料主数据!$A:$AL, 34, FALSE())</f>
        <v/>
      </c>
      <c r="AI44" s="22">
        <f>$D44*VLOOKUP($C44,原料主数据!$A:$AL, 35, FALSE())</f>
        <v/>
      </c>
      <c r="AJ44" s="22">
        <f>$D44*VLOOKUP($C44,原料主数据!$A:$AL, 36, FALSE())</f>
        <v/>
      </c>
      <c r="AK44" s="22">
        <f>$D44*VLOOKUP($C44,原料主数据!$A:$AL, 37, FALSE())</f>
        <v/>
      </c>
      <c r="AL44" s="22">
        <f>$D44*VLOOKUP($C44,原料主数据!$A:$AL, 38, FALSE())</f>
        <v/>
      </c>
    </row>
    <row r="45" ht="15" customHeight="1" s="15">
      <c r="A45" s="25" t="inlineStr">
        <is>
          <t>EP-0005</t>
        </is>
      </c>
      <c r="B45" s="26" t="inlineStr">
        <is>
          <t>环氧酚醛</t>
        </is>
      </c>
      <c r="C45" s="25" t="inlineStr">
        <is>
          <t>IR809</t>
        </is>
      </c>
      <c r="D45" s="25" t="n">
        <v>0.65</v>
      </c>
      <c r="E45" s="25">
        <f>VLOOKUP($C45,原料主数据!$A:$E,4,FALSE())</f>
        <v/>
      </c>
      <c r="F45" s="25">
        <f>VLOOKUP($C45,原料主数据!$A:$E,5,FALSE())</f>
        <v/>
      </c>
      <c r="G45" s="25">
        <f>$D45*VLOOKUP($C45,原料主数据!$A:$AL, 7, FALSE())</f>
        <v/>
      </c>
      <c r="H45" s="25">
        <f>$D45*VLOOKUP($C45,原料主数据!$A:$AL, 8, FALSE())</f>
        <v/>
      </c>
      <c r="I45" s="25">
        <f>$D45*VLOOKUP($C45,原料主数据!$A:$AL, 9, FALSE())</f>
        <v/>
      </c>
      <c r="J45" s="25">
        <f>$D45*VLOOKUP($C45,原料主数据!$A:$AL, 10, FALSE())</f>
        <v/>
      </c>
      <c r="K45" s="25">
        <f>$D45*VLOOKUP($C45,原料主数据!$A:$AL, 11, FALSE())</f>
        <v/>
      </c>
      <c r="L45" s="25">
        <f>$D45*VLOOKUP($C45,原料主数据!$A:$AL, 12, FALSE())</f>
        <v/>
      </c>
      <c r="M45" s="25">
        <f>$D45*VLOOKUP($C45,原料主数据!$A:$AL, 13, FALSE())</f>
        <v/>
      </c>
      <c r="N45" s="25">
        <f>$D45*VLOOKUP($C45,原料主数据!$A:$AL, 14, FALSE())</f>
        <v/>
      </c>
      <c r="O45" s="25">
        <f>$D45*VLOOKUP($C45,原料主数据!$A:$AL, 15, FALSE())</f>
        <v/>
      </c>
      <c r="P45" s="25">
        <f>$D45*VLOOKUP($C45,原料主数据!$A:$AL, 16, FALSE())</f>
        <v/>
      </c>
      <c r="Q45" s="25">
        <f>$D45*VLOOKUP($C45,原料主数据!$A:$AL, 17, FALSE())</f>
        <v/>
      </c>
      <c r="R45" s="25">
        <f>$D45*VLOOKUP($C45,原料主数据!$A:$AL, 18, FALSE())</f>
        <v/>
      </c>
      <c r="S45" s="25">
        <f>$D45*VLOOKUP($C45,原料主数据!$A:$AL, 19, FALSE())</f>
        <v/>
      </c>
      <c r="T45" s="25">
        <f>$D45*VLOOKUP($C45,原料主数据!$A:$AL, 20, FALSE())</f>
        <v/>
      </c>
      <c r="U45" s="25">
        <f>$D45*VLOOKUP($C45,原料主数据!$A:$AL, 21, FALSE())</f>
        <v/>
      </c>
      <c r="V45" s="25">
        <f>$D45*VLOOKUP($C45,原料主数据!$A:$AL, 22, FALSE())</f>
        <v/>
      </c>
      <c r="W45" s="25">
        <f>$D45*VLOOKUP($C45,原料主数据!$A:$AL, 23, FALSE())</f>
        <v/>
      </c>
      <c r="X45" s="25">
        <f>$D45*VLOOKUP($C45,原料主数据!$A:$AL, 24, FALSE())</f>
        <v/>
      </c>
      <c r="Y45" s="25">
        <f>$D45*VLOOKUP($C45,原料主数据!$A:$AL, 25, FALSE())</f>
        <v/>
      </c>
      <c r="Z45" s="25">
        <f>$D45*VLOOKUP($C45,原料主数据!$A:$AL, 26, FALSE())</f>
        <v/>
      </c>
      <c r="AA45" s="25">
        <f>$D45*VLOOKUP($C45,原料主数据!$A:$AL, 27, FALSE())</f>
        <v/>
      </c>
      <c r="AB45" s="25">
        <f>$D45*VLOOKUP($C45,原料主数据!$A:$AL, 28, FALSE())</f>
        <v/>
      </c>
      <c r="AC45" s="25">
        <f>$D45*VLOOKUP($C45,原料主数据!$A:$AL, 29, FALSE())</f>
        <v/>
      </c>
      <c r="AD45" s="25">
        <f>$D45*VLOOKUP($C45,原料主数据!$A:$AL, 30, FALSE())</f>
        <v/>
      </c>
      <c r="AE45" s="25">
        <f>$D45*VLOOKUP($C45,原料主数据!$A:$AL, 31, FALSE())</f>
        <v/>
      </c>
      <c r="AF45" s="25">
        <f>$D45*VLOOKUP($C45,原料主数据!$A:$AL, 32, FALSE())</f>
        <v/>
      </c>
      <c r="AG45" s="25">
        <f>$D45*VLOOKUP($C45,原料主数据!$A:$AL, 33, FALSE())</f>
        <v/>
      </c>
      <c r="AH45" s="25">
        <f>$D45*VLOOKUP($C45,原料主数据!$A:$AL, 34, FALSE())</f>
        <v/>
      </c>
      <c r="AI45" s="25">
        <f>$D45*VLOOKUP($C45,原料主数据!$A:$AL, 35, FALSE())</f>
        <v/>
      </c>
      <c r="AJ45" s="25">
        <f>$D45*VLOOKUP($C45,原料主数据!$A:$AL, 36, FALSE())</f>
        <v/>
      </c>
      <c r="AK45" s="25">
        <f>$D45*VLOOKUP($C45,原料主数据!$A:$AL, 37, FALSE())</f>
        <v/>
      </c>
      <c r="AL45" s="25">
        <f>$D45*VLOOKUP($C45,原料主数据!$A:$AL, 38, FALSE())</f>
        <v/>
      </c>
    </row>
    <row r="46" ht="15" customHeight="1" s="15">
      <c r="A46" s="22" t="inlineStr">
        <is>
          <t>EP-0005</t>
        </is>
      </c>
      <c r="B46" s="23" t="inlineStr">
        <is>
          <t>环氧酚醛</t>
        </is>
      </c>
      <c r="C46" s="22" t="inlineStr">
        <is>
          <t>RF516</t>
        </is>
      </c>
      <c r="D46" s="22" t="n">
        <v>7</v>
      </c>
      <c r="E46" s="22">
        <f>VLOOKUP($C46,原料主数据!$A:$E,4,FALSE())</f>
        <v/>
      </c>
      <c r="F46" s="22">
        <f>VLOOKUP($C46,原料主数据!$A:$E,5,FALSE())</f>
        <v/>
      </c>
      <c r="G46" s="22">
        <f>$D46*VLOOKUP($C46,原料主数据!$A:$AL, 7, FALSE())</f>
        <v/>
      </c>
      <c r="H46" s="22">
        <f>$D46*VLOOKUP($C46,原料主数据!$A:$AL, 8, FALSE())</f>
        <v/>
      </c>
      <c r="I46" s="22">
        <f>$D46*VLOOKUP($C46,原料主数据!$A:$AL, 9, FALSE())</f>
        <v/>
      </c>
      <c r="J46" s="22">
        <f>$D46*VLOOKUP($C46,原料主数据!$A:$AL, 10, FALSE())</f>
        <v/>
      </c>
      <c r="K46" s="22">
        <f>$D46*VLOOKUP($C46,原料主数据!$A:$AL, 11, FALSE())</f>
        <v/>
      </c>
      <c r="L46" s="22">
        <f>$D46*VLOOKUP($C46,原料主数据!$A:$AL, 12, FALSE())</f>
        <v/>
      </c>
      <c r="M46" s="22">
        <f>$D46*VLOOKUP($C46,原料主数据!$A:$AL, 13, FALSE())</f>
        <v/>
      </c>
      <c r="N46" s="22">
        <f>$D46*VLOOKUP($C46,原料主数据!$A:$AL, 14, FALSE())</f>
        <v/>
      </c>
      <c r="O46" s="22">
        <f>$D46*VLOOKUP($C46,原料主数据!$A:$AL, 15, FALSE())</f>
        <v/>
      </c>
      <c r="P46" s="22">
        <f>$D46*VLOOKUP($C46,原料主数据!$A:$AL, 16, FALSE())</f>
        <v/>
      </c>
      <c r="Q46" s="22">
        <f>$D46*VLOOKUP($C46,原料主数据!$A:$AL, 17, FALSE())</f>
        <v/>
      </c>
      <c r="R46" s="22">
        <f>$D46*VLOOKUP($C46,原料主数据!$A:$AL, 18, FALSE())</f>
        <v/>
      </c>
      <c r="S46" s="22">
        <f>$D46*VLOOKUP($C46,原料主数据!$A:$AL, 19, FALSE())</f>
        <v/>
      </c>
      <c r="T46" s="22">
        <f>$D46*VLOOKUP($C46,原料主数据!$A:$AL, 20, FALSE())</f>
        <v/>
      </c>
      <c r="U46" s="22">
        <f>$D46*VLOOKUP($C46,原料主数据!$A:$AL, 21, FALSE())</f>
        <v/>
      </c>
      <c r="V46" s="22">
        <f>$D46*VLOOKUP($C46,原料主数据!$A:$AL, 22, FALSE())</f>
        <v/>
      </c>
      <c r="W46" s="22">
        <f>$D46*VLOOKUP($C46,原料主数据!$A:$AL, 23, FALSE())</f>
        <v/>
      </c>
      <c r="X46" s="22">
        <f>$D46*VLOOKUP($C46,原料主数据!$A:$AL, 24, FALSE())</f>
        <v/>
      </c>
      <c r="Y46" s="22">
        <f>$D46*VLOOKUP($C46,原料主数据!$A:$AL, 25, FALSE())</f>
        <v/>
      </c>
      <c r="Z46" s="22">
        <f>$D46*VLOOKUP($C46,原料主数据!$A:$AL, 26, FALSE())</f>
        <v/>
      </c>
      <c r="AA46" s="22">
        <f>$D46*VLOOKUP($C46,原料主数据!$A:$AL, 27, FALSE())</f>
        <v/>
      </c>
      <c r="AB46" s="22">
        <f>$D46*VLOOKUP($C46,原料主数据!$A:$AL, 28, FALSE())</f>
        <v/>
      </c>
      <c r="AC46" s="22">
        <f>$D46*VLOOKUP($C46,原料主数据!$A:$AL, 29, FALSE())</f>
        <v/>
      </c>
      <c r="AD46" s="22">
        <f>$D46*VLOOKUP($C46,原料主数据!$A:$AL, 30, FALSE())</f>
        <v/>
      </c>
      <c r="AE46" s="22">
        <f>$D46*VLOOKUP($C46,原料主数据!$A:$AL, 31, FALSE())</f>
        <v/>
      </c>
      <c r="AF46" s="22">
        <f>$D46*VLOOKUP($C46,原料主数据!$A:$AL, 32, FALSE())</f>
        <v/>
      </c>
      <c r="AG46" s="22">
        <f>$D46*VLOOKUP($C46,原料主数据!$A:$AL, 33, FALSE())</f>
        <v/>
      </c>
      <c r="AH46" s="22">
        <f>$D46*VLOOKUP($C46,原料主数据!$A:$AL, 34, FALSE())</f>
        <v/>
      </c>
      <c r="AI46" s="22">
        <f>$D46*VLOOKUP($C46,原料主数据!$A:$AL, 35, FALSE())</f>
        <v/>
      </c>
      <c r="AJ46" s="22">
        <f>$D46*VLOOKUP($C46,原料主数据!$A:$AL, 36, FALSE())</f>
        <v/>
      </c>
      <c r="AK46" s="22">
        <f>$D46*VLOOKUP($C46,原料主数据!$A:$AL, 37, FALSE())</f>
        <v/>
      </c>
      <c r="AL46" s="22">
        <f>$D46*VLOOKUP($C46,原料主数据!$A:$AL, 38, FALSE())</f>
        <v/>
      </c>
    </row>
    <row r="47" ht="15" customHeight="1" s="15">
      <c r="A47" s="25" t="inlineStr">
        <is>
          <t>EP-0005</t>
        </is>
      </c>
      <c r="B47" s="26" t="inlineStr">
        <is>
          <t>环氧酚醛</t>
        </is>
      </c>
      <c r="C47" s="25" t="inlineStr">
        <is>
          <t>RF950</t>
        </is>
      </c>
      <c r="D47" s="25" t="n">
        <v>8.98</v>
      </c>
      <c r="E47" s="25">
        <f>VLOOKUP($C47,原料主数据!$A:$E,4,FALSE())</f>
        <v/>
      </c>
      <c r="F47" s="25">
        <f>VLOOKUP($C47,原料主数据!$A:$E,5,FALSE())</f>
        <v/>
      </c>
      <c r="G47" s="25">
        <f>$D47*VLOOKUP($C47,原料主数据!$A:$AL, 7, FALSE())</f>
        <v/>
      </c>
      <c r="H47" s="25">
        <f>$D47*VLOOKUP($C47,原料主数据!$A:$AL, 8, FALSE())</f>
        <v/>
      </c>
      <c r="I47" s="25">
        <f>$D47*VLOOKUP($C47,原料主数据!$A:$AL, 9, FALSE())</f>
        <v/>
      </c>
      <c r="J47" s="25">
        <f>$D47*VLOOKUP($C47,原料主数据!$A:$AL, 10, FALSE())</f>
        <v/>
      </c>
      <c r="K47" s="25">
        <f>$D47*VLOOKUP($C47,原料主数据!$A:$AL, 11, FALSE())</f>
        <v/>
      </c>
      <c r="L47" s="25">
        <f>$D47*VLOOKUP($C47,原料主数据!$A:$AL, 12, FALSE())</f>
        <v/>
      </c>
      <c r="M47" s="25">
        <f>$D47*VLOOKUP($C47,原料主数据!$A:$AL, 13, FALSE())</f>
        <v/>
      </c>
      <c r="N47" s="25">
        <f>$D47*VLOOKUP($C47,原料主数据!$A:$AL, 14, FALSE())</f>
        <v/>
      </c>
      <c r="O47" s="25">
        <f>$D47*VLOOKUP($C47,原料主数据!$A:$AL, 15, FALSE())</f>
        <v/>
      </c>
      <c r="P47" s="25">
        <f>$D47*VLOOKUP($C47,原料主数据!$A:$AL, 16, FALSE())</f>
        <v/>
      </c>
      <c r="Q47" s="25">
        <f>$D47*VLOOKUP($C47,原料主数据!$A:$AL, 17, FALSE())</f>
        <v/>
      </c>
      <c r="R47" s="25">
        <f>$D47*VLOOKUP($C47,原料主数据!$A:$AL, 18, FALSE())</f>
        <v/>
      </c>
      <c r="S47" s="25">
        <f>$D47*VLOOKUP($C47,原料主数据!$A:$AL, 19, FALSE())</f>
        <v/>
      </c>
      <c r="T47" s="25">
        <f>$D47*VLOOKUP($C47,原料主数据!$A:$AL, 20, FALSE())</f>
        <v/>
      </c>
      <c r="U47" s="25">
        <f>$D47*VLOOKUP($C47,原料主数据!$A:$AL, 21, FALSE())</f>
        <v/>
      </c>
      <c r="V47" s="25">
        <f>$D47*VLOOKUP($C47,原料主数据!$A:$AL, 22, FALSE())</f>
        <v/>
      </c>
      <c r="W47" s="25">
        <f>$D47*VLOOKUP($C47,原料主数据!$A:$AL, 23, FALSE())</f>
        <v/>
      </c>
      <c r="X47" s="25">
        <f>$D47*VLOOKUP($C47,原料主数据!$A:$AL, 24, FALSE())</f>
        <v/>
      </c>
      <c r="Y47" s="25">
        <f>$D47*VLOOKUP($C47,原料主数据!$A:$AL, 25, FALSE())</f>
        <v/>
      </c>
      <c r="Z47" s="25">
        <f>$D47*VLOOKUP($C47,原料主数据!$A:$AL, 26, FALSE())</f>
        <v/>
      </c>
      <c r="AA47" s="25">
        <f>$D47*VLOOKUP($C47,原料主数据!$A:$AL, 27, FALSE())</f>
        <v/>
      </c>
      <c r="AB47" s="25">
        <f>$D47*VLOOKUP($C47,原料主数据!$A:$AL, 28, FALSE())</f>
        <v/>
      </c>
      <c r="AC47" s="25">
        <f>$D47*VLOOKUP($C47,原料主数据!$A:$AL, 29, FALSE())</f>
        <v/>
      </c>
      <c r="AD47" s="25">
        <f>$D47*VLOOKUP($C47,原料主数据!$A:$AL, 30, FALSE())</f>
        <v/>
      </c>
      <c r="AE47" s="25">
        <f>$D47*VLOOKUP($C47,原料主数据!$A:$AL, 31, FALSE())</f>
        <v/>
      </c>
      <c r="AF47" s="25">
        <f>$D47*VLOOKUP($C47,原料主数据!$A:$AL, 32, FALSE())</f>
        <v/>
      </c>
      <c r="AG47" s="25">
        <f>$D47*VLOOKUP($C47,原料主数据!$A:$AL, 33, FALSE())</f>
        <v/>
      </c>
      <c r="AH47" s="25">
        <f>$D47*VLOOKUP($C47,原料主数据!$A:$AL, 34, FALSE())</f>
        <v/>
      </c>
      <c r="AI47" s="25">
        <f>$D47*VLOOKUP($C47,原料主数据!$A:$AL, 35, FALSE())</f>
        <v/>
      </c>
      <c r="AJ47" s="25">
        <f>$D47*VLOOKUP($C47,原料主数据!$A:$AL, 36, FALSE())</f>
        <v/>
      </c>
      <c r="AK47" s="25">
        <f>$D47*VLOOKUP($C47,原料主数据!$A:$AL, 37, FALSE())</f>
        <v/>
      </c>
      <c r="AL47" s="25">
        <f>$D47*VLOOKUP($C47,原料主数据!$A:$AL, 38, FALSE())</f>
        <v/>
      </c>
    </row>
    <row r="48" ht="15" customHeight="1" s="15">
      <c r="A48" s="22" t="inlineStr">
        <is>
          <t>EP-0005</t>
        </is>
      </c>
      <c r="B48" s="23" t="inlineStr">
        <is>
          <t>环氧酚醛</t>
        </is>
      </c>
      <c r="C48" s="22" t="inlineStr">
        <is>
          <t>RH601</t>
        </is>
      </c>
      <c r="D48" s="22" t="n">
        <v>1.26</v>
      </c>
      <c r="E48" s="22">
        <f>VLOOKUP($C48,原料主数据!$A:$E,4,FALSE())</f>
        <v/>
      </c>
      <c r="F48" s="22">
        <f>VLOOKUP($C48,原料主数据!$A:$E,5,FALSE())</f>
        <v/>
      </c>
      <c r="G48" s="22">
        <f>$D48*VLOOKUP($C48,原料主数据!$A:$AL, 7, FALSE())</f>
        <v/>
      </c>
      <c r="H48" s="22">
        <f>$D48*VLOOKUP($C48,原料主数据!$A:$AL, 8, FALSE())</f>
        <v/>
      </c>
      <c r="I48" s="22">
        <f>$D48*VLOOKUP($C48,原料主数据!$A:$AL, 9, FALSE())</f>
        <v/>
      </c>
      <c r="J48" s="22">
        <f>$D48*VLOOKUP($C48,原料主数据!$A:$AL, 10, FALSE())</f>
        <v/>
      </c>
      <c r="K48" s="22">
        <f>$D48*VLOOKUP($C48,原料主数据!$A:$AL, 11, FALSE())</f>
        <v/>
      </c>
      <c r="L48" s="22">
        <f>$D48*VLOOKUP($C48,原料主数据!$A:$AL, 12, FALSE())</f>
        <v/>
      </c>
      <c r="M48" s="22">
        <f>$D48*VLOOKUP($C48,原料主数据!$A:$AL, 13, FALSE())</f>
        <v/>
      </c>
      <c r="N48" s="22">
        <f>$D48*VLOOKUP($C48,原料主数据!$A:$AL, 14, FALSE())</f>
        <v/>
      </c>
      <c r="O48" s="22">
        <f>$D48*VLOOKUP($C48,原料主数据!$A:$AL, 15, FALSE())</f>
        <v/>
      </c>
      <c r="P48" s="22">
        <f>$D48*VLOOKUP($C48,原料主数据!$A:$AL, 16, FALSE())</f>
        <v/>
      </c>
      <c r="Q48" s="22">
        <f>$D48*VLOOKUP($C48,原料主数据!$A:$AL, 17, FALSE())</f>
        <v/>
      </c>
      <c r="R48" s="22">
        <f>$D48*VLOOKUP($C48,原料主数据!$A:$AL, 18, FALSE())</f>
        <v/>
      </c>
      <c r="S48" s="22">
        <f>$D48*VLOOKUP($C48,原料主数据!$A:$AL, 19, FALSE())</f>
        <v/>
      </c>
      <c r="T48" s="22">
        <f>$D48*VLOOKUP($C48,原料主数据!$A:$AL, 20, FALSE())</f>
        <v/>
      </c>
      <c r="U48" s="22">
        <f>$D48*VLOOKUP($C48,原料主数据!$A:$AL, 21, FALSE())</f>
        <v/>
      </c>
      <c r="V48" s="22">
        <f>$D48*VLOOKUP($C48,原料主数据!$A:$AL, 22, FALSE())</f>
        <v/>
      </c>
      <c r="W48" s="22">
        <f>$D48*VLOOKUP($C48,原料主数据!$A:$AL, 23, FALSE())</f>
        <v/>
      </c>
      <c r="X48" s="22">
        <f>$D48*VLOOKUP($C48,原料主数据!$A:$AL, 24, FALSE())</f>
        <v/>
      </c>
      <c r="Y48" s="22">
        <f>$D48*VLOOKUP($C48,原料主数据!$A:$AL, 25, FALSE())</f>
        <v/>
      </c>
      <c r="Z48" s="22">
        <f>$D48*VLOOKUP($C48,原料主数据!$A:$AL, 26, FALSE())</f>
        <v/>
      </c>
      <c r="AA48" s="22">
        <f>$D48*VLOOKUP($C48,原料主数据!$A:$AL, 27, FALSE())</f>
        <v/>
      </c>
      <c r="AB48" s="22">
        <f>$D48*VLOOKUP($C48,原料主数据!$A:$AL, 28, FALSE())</f>
        <v/>
      </c>
      <c r="AC48" s="22">
        <f>$D48*VLOOKUP($C48,原料主数据!$A:$AL, 29, FALSE())</f>
        <v/>
      </c>
      <c r="AD48" s="22">
        <f>$D48*VLOOKUP($C48,原料主数据!$A:$AL, 30, FALSE())</f>
        <v/>
      </c>
      <c r="AE48" s="22">
        <f>$D48*VLOOKUP($C48,原料主数据!$A:$AL, 31, FALSE())</f>
        <v/>
      </c>
      <c r="AF48" s="22">
        <f>$D48*VLOOKUP($C48,原料主数据!$A:$AL, 32, FALSE())</f>
        <v/>
      </c>
      <c r="AG48" s="22">
        <f>$D48*VLOOKUP($C48,原料主数据!$A:$AL, 33, FALSE())</f>
        <v/>
      </c>
      <c r="AH48" s="22">
        <f>$D48*VLOOKUP($C48,原料主数据!$A:$AL, 34, FALSE())</f>
        <v/>
      </c>
      <c r="AI48" s="22">
        <f>$D48*VLOOKUP($C48,原料主数据!$A:$AL, 35, FALSE())</f>
        <v/>
      </c>
      <c r="AJ48" s="22">
        <f>$D48*VLOOKUP($C48,原料主数据!$A:$AL, 36, FALSE())</f>
        <v/>
      </c>
      <c r="AK48" s="22">
        <f>$D48*VLOOKUP($C48,原料主数据!$A:$AL, 37, FALSE())</f>
        <v/>
      </c>
      <c r="AL48" s="22">
        <f>$D48*VLOOKUP($C48,原料主数据!$A:$AL, 38, FALSE())</f>
        <v/>
      </c>
    </row>
    <row r="49" ht="15" customHeight="1" s="15">
      <c r="A49" s="25" t="inlineStr">
        <is>
          <t>EP-0005</t>
        </is>
      </c>
      <c r="B49" s="26" t="inlineStr">
        <is>
          <t>环氧酚醛</t>
        </is>
      </c>
      <c r="C49" s="26" t="inlineStr">
        <is>
          <t>住友55754G</t>
        </is>
      </c>
      <c r="D49" s="25" t="n">
        <v>1.98</v>
      </c>
      <c r="E49" s="25">
        <f>VLOOKUP($C49,原料主数据!$A:$E,4,FALSE())</f>
        <v/>
      </c>
      <c r="F49" s="25">
        <f>VLOOKUP($C49,原料主数据!$A:$E,5,FALSE())</f>
        <v/>
      </c>
      <c r="G49" s="25">
        <f>$D49*VLOOKUP($C49,原料主数据!$A:$AL, 7, FALSE())</f>
        <v/>
      </c>
      <c r="H49" s="25">
        <f>$D49*VLOOKUP($C49,原料主数据!$A:$AL, 8, FALSE())</f>
        <v/>
      </c>
      <c r="I49" s="25">
        <f>$D49*VLOOKUP($C49,原料主数据!$A:$AL, 9, FALSE())</f>
        <v/>
      </c>
      <c r="J49" s="25">
        <f>$D49*VLOOKUP($C49,原料主数据!$A:$AL, 10, FALSE())</f>
        <v/>
      </c>
      <c r="K49" s="25">
        <f>$D49*VLOOKUP($C49,原料主数据!$A:$AL, 11, FALSE())</f>
        <v/>
      </c>
      <c r="L49" s="25">
        <f>$D49*VLOOKUP($C49,原料主数据!$A:$AL, 12, FALSE())</f>
        <v/>
      </c>
      <c r="M49" s="25">
        <f>$D49*VLOOKUP($C49,原料主数据!$A:$AL, 13, FALSE())</f>
        <v/>
      </c>
      <c r="N49" s="25">
        <f>$D49*VLOOKUP($C49,原料主数据!$A:$AL, 14, FALSE())</f>
        <v/>
      </c>
      <c r="O49" s="25">
        <f>$D49*VLOOKUP($C49,原料主数据!$A:$AL, 15, FALSE())</f>
        <v/>
      </c>
      <c r="P49" s="25">
        <f>$D49*VLOOKUP($C49,原料主数据!$A:$AL, 16, FALSE())</f>
        <v/>
      </c>
      <c r="Q49" s="25">
        <f>$D49*VLOOKUP($C49,原料主数据!$A:$AL, 17, FALSE())</f>
        <v/>
      </c>
      <c r="R49" s="25">
        <f>$D49*VLOOKUP($C49,原料主数据!$A:$AL, 18, FALSE())</f>
        <v/>
      </c>
      <c r="S49" s="25">
        <f>$D49*VLOOKUP($C49,原料主数据!$A:$AL, 19, FALSE())</f>
        <v/>
      </c>
      <c r="T49" s="25">
        <f>$D49*VLOOKUP($C49,原料主数据!$A:$AL, 20, FALSE())</f>
        <v/>
      </c>
      <c r="U49" s="25">
        <f>$D49*VLOOKUP($C49,原料主数据!$A:$AL, 21, FALSE())</f>
        <v/>
      </c>
      <c r="V49" s="25">
        <f>$D49*VLOOKUP($C49,原料主数据!$A:$AL, 22, FALSE())</f>
        <v/>
      </c>
      <c r="W49" s="25">
        <f>$D49*VLOOKUP($C49,原料主数据!$A:$AL, 23, FALSE())</f>
        <v/>
      </c>
      <c r="X49" s="25">
        <f>$D49*VLOOKUP($C49,原料主数据!$A:$AL, 24, FALSE())</f>
        <v/>
      </c>
      <c r="Y49" s="25">
        <f>$D49*VLOOKUP($C49,原料主数据!$A:$AL, 25, FALSE())</f>
        <v/>
      </c>
      <c r="Z49" s="25">
        <f>$D49*VLOOKUP($C49,原料主数据!$A:$AL, 26, FALSE())</f>
        <v/>
      </c>
      <c r="AA49" s="25">
        <f>$D49*VLOOKUP($C49,原料主数据!$A:$AL, 27, FALSE())</f>
        <v/>
      </c>
      <c r="AB49" s="25">
        <f>$D49*VLOOKUP($C49,原料主数据!$A:$AL, 28, FALSE())</f>
        <v/>
      </c>
      <c r="AC49" s="25">
        <f>$D49*VLOOKUP($C49,原料主数据!$A:$AL, 29, FALSE())</f>
        <v/>
      </c>
      <c r="AD49" s="25">
        <f>$D49*VLOOKUP($C49,原料主数据!$A:$AL, 30, FALSE())</f>
        <v/>
      </c>
      <c r="AE49" s="25">
        <f>$D49*VLOOKUP($C49,原料主数据!$A:$AL, 31, FALSE())</f>
        <v/>
      </c>
      <c r="AF49" s="25">
        <f>$D49*VLOOKUP($C49,原料主数据!$A:$AL, 32, FALSE())</f>
        <v/>
      </c>
      <c r="AG49" s="25">
        <f>$D49*VLOOKUP($C49,原料主数据!$A:$AL, 33, FALSE())</f>
        <v/>
      </c>
      <c r="AH49" s="25">
        <f>$D49*VLOOKUP($C49,原料主数据!$A:$AL, 34, FALSE())</f>
        <v/>
      </c>
      <c r="AI49" s="25">
        <f>$D49*VLOOKUP($C49,原料主数据!$A:$AL, 35, FALSE())</f>
        <v/>
      </c>
      <c r="AJ49" s="25">
        <f>$D49*VLOOKUP($C49,原料主数据!$A:$AL, 36, FALSE())</f>
        <v/>
      </c>
      <c r="AK49" s="25">
        <f>$D49*VLOOKUP($C49,原料主数据!$A:$AL, 37, FALSE())</f>
        <v/>
      </c>
      <c r="AL49" s="25">
        <f>$D49*VLOOKUP($C49,原料主数据!$A:$AL, 38, FALSE())</f>
        <v/>
      </c>
    </row>
    <row r="50" ht="15" customHeight="1" s="15">
      <c r="A50" s="22" t="inlineStr">
        <is>
          <t>EP-0005</t>
        </is>
      </c>
      <c r="B50" s="23" t="inlineStr">
        <is>
          <t>环氧酚醛</t>
        </is>
      </c>
      <c r="C50" s="22" t="inlineStr">
        <is>
          <t>1510蜡</t>
        </is>
      </c>
      <c r="D50" s="22" t="n">
        <v>3.09</v>
      </c>
      <c r="E50" s="22">
        <f>VLOOKUP($C50,原料主数据!$A:$E,4,FALSE())</f>
        <v/>
      </c>
      <c r="F50" s="22">
        <f>VLOOKUP($C50,原料主数据!$A:$E,5,FALSE())</f>
        <v/>
      </c>
      <c r="G50" s="22">
        <f>$D50*VLOOKUP($C50,原料主数据!$A:$AL, 7, FALSE())</f>
        <v/>
      </c>
      <c r="H50" s="22">
        <f>$D50*VLOOKUP($C50,原料主数据!$A:$AL, 8, FALSE())</f>
        <v/>
      </c>
      <c r="I50" s="22">
        <f>$D50*VLOOKUP($C50,原料主数据!$A:$AL, 9, FALSE())</f>
        <v/>
      </c>
      <c r="J50" s="22">
        <f>$D50*VLOOKUP($C50,原料主数据!$A:$AL, 10, FALSE())</f>
        <v/>
      </c>
      <c r="K50" s="22">
        <f>$D50*VLOOKUP($C50,原料主数据!$A:$AL, 11, FALSE())</f>
        <v/>
      </c>
      <c r="L50" s="22">
        <f>$D50*VLOOKUP($C50,原料主数据!$A:$AL, 12, FALSE())</f>
        <v/>
      </c>
      <c r="M50" s="22">
        <f>$D50*VLOOKUP($C50,原料主数据!$A:$AL, 13, FALSE())</f>
        <v/>
      </c>
      <c r="N50" s="22">
        <f>$D50*VLOOKUP($C50,原料主数据!$A:$AL, 14, FALSE())</f>
        <v/>
      </c>
      <c r="O50" s="22">
        <f>$D50*VLOOKUP($C50,原料主数据!$A:$AL, 15, FALSE())</f>
        <v/>
      </c>
      <c r="P50" s="22">
        <f>$D50*VLOOKUP($C50,原料主数据!$A:$AL, 16, FALSE())</f>
        <v/>
      </c>
      <c r="Q50" s="22">
        <f>$D50*VLOOKUP($C50,原料主数据!$A:$AL, 17, FALSE())</f>
        <v/>
      </c>
      <c r="R50" s="22">
        <f>$D50*VLOOKUP($C50,原料主数据!$A:$AL, 18, FALSE())</f>
        <v/>
      </c>
      <c r="S50" s="22">
        <f>$D50*VLOOKUP($C50,原料主数据!$A:$AL, 19, FALSE())</f>
        <v/>
      </c>
      <c r="T50" s="22">
        <f>$D50*VLOOKUP($C50,原料主数据!$A:$AL, 20, FALSE())</f>
        <v/>
      </c>
      <c r="U50" s="22">
        <f>$D50*VLOOKUP($C50,原料主数据!$A:$AL, 21, FALSE())</f>
        <v/>
      </c>
      <c r="V50" s="22">
        <f>$D50*VLOOKUP($C50,原料主数据!$A:$AL, 22, FALSE())</f>
        <v/>
      </c>
      <c r="W50" s="22">
        <f>$D50*VLOOKUP($C50,原料主数据!$A:$AL, 23, FALSE())</f>
        <v/>
      </c>
      <c r="X50" s="22">
        <f>$D50*VLOOKUP($C50,原料主数据!$A:$AL, 24, FALSE())</f>
        <v/>
      </c>
      <c r="Y50" s="22">
        <f>$D50*VLOOKUP($C50,原料主数据!$A:$AL, 25, FALSE())</f>
        <v/>
      </c>
      <c r="Z50" s="22">
        <f>$D50*VLOOKUP($C50,原料主数据!$A:$AL, 26, FALSE())</f>
        <v/>
      </c>
      <c r="AA50" s="22">
        <f>$D50*VLOOKUP($C50,原料主数据!$A:$AL, 27, FALSE())</f>
        <v/>
      </c>
      <c r="AB50" s="22">
        <f>$D50*VLOOKUP($C50,原料主数据!$A:$AL, 28, FALSE())</f>
        <v/>
      </c>
      <c r="AC50" s="22">
        <f>$D50*VLOOKUP($C50,原料主数据!$A:$AL, 29, FALSE())</f>
        <v/>
      </c>
      <c r="AD50" s="22">
        <f>$D50*VLOOKUP($C50,原料主数据!$A:$AL, 30, FALSE())</f>
        <v/>
      </c>
      <c r="AE50" s="22">
        <f>$D50*VLOOKUP($C50,原料主数据!$A:$AL, 31, FALSE())</f>
        <v/>
      </c>
      <c r="AF50" s="22">
        <f>$D50*VLOOKUP($C50,原料主数据!$A:$AL, 32, FALSE())</f>
        <v/>
      </c>
      <c r="AG50" s="22">
        <f>$D50*VLOOKUP($C50,原料主数据!$A:$AL, 33, FALSE())</f>
        <v/>
      </c>
      <c r="AH50" s="22">
        <f>$D50*VLOOKUP($C50,原料主数据!$A:$AL, 34, FALSE())</f>
        <v/>
      </c>
      <c r="AI50" s="22">
        <f>$D50*VLOOKUP($C50,原料主数据!$A:$AL, 35, FALSE())</f>
        <v/>
      </c>
      <c r="AJ50" s="22">
        <f>$D50*VLOOKUP($C50,原料主数据!$A:$AL, 36, FALSE())</f>
        <v/>
      </c>
      <c r="AK50" s="22">
        <f>$D50*VLOOKUP($C50,原料主数据!$A:$AL, 37, FALSE())</f>
        <v/>
      </c>
      <c r="AL50" s="22">
        <f>$D50*VLOOKUP($C50,原料主数据!$A:$AL, 38, FALSE())</f>
        <v/>
      </c>
    </row>
    <row r="51" ht="15" customHeight="1" s="15">
      <c r="A51" s="25" t="inlineStr">
        <is>
          <t>EP-0005</t>
        </is>
      </c>
      <c r="B51" s="26" t="inlineStr">
        <is>
          <t>环氧酚醛</t>
        </is>
      </c>
      <c r="C51" s="25" t="inlineStr">
        <is>
          <t>AZ088</t>
        </is>
      </c>
      <c r="D51" s="25" t="n">
        <v>0.06</v>
      </c>
      <c r="E51" s="25">
        <f>VLOOKUP($C51,原料主数据!$A:$E,4,FALSE())</f>
        <v/>
      </c>
      <c r="F51" s="25">
        <f>VLOOKUP($C51,原料主数据!$A:$E,5,FALSE())</f>
        <v/>
      </c>
      <c r="G51" s="25">
        <f>$D51*VLOOKUP($C51,原料主数据!$A:$AL, 7, FALSE())</f>
        <v/>
      </c>
      <c r="H51" s="25">
        <f>$D51*VLOOKUP($C51,原料主数据!$A:$AL, 8, FALSE())</f>
        <v/>
      </c>
      <c r="I51" s="25">
        <f>$D51*VLOOKUP($C51,原料主数据!$A:$AL, 9, FALSE())</f>
        <v/>
      </c>
      <c r="J51" s="25">
        <f>$D51*VLOOKUP($C51,原料主数据!$A:$AL, 10, FALSE())</f>
        <v/>
      </c>
      <c r="K51" s="25">
        <f>$D51*VLOOKUP($C51,原料主数据!$A:$AL, 11, FALSE())</f>
        <v/>
      </c>
      <c r="L51" s="25">
        <f>$D51*VLOOKUP($C51,原料主数据!$A:$AL, 12, FALSE())</f>
        <v/>
      </c>
      <c r="M51" s="25">
        <f>$D51*VLOOKUP($C51,原料主数据!$A:$AL, 13, FALSE())</f>
        <v/>
      </c>
      <c r="N51" s="25">
        <f>$D51*VLOOKUP($C51,原料主数据!$A:$AL, 14, FALSE())</f>
        <v/>
      </c>
      <c r="O51" s="25">
        <f>$D51*VLOOKUP($C51,原料主数据!$A:$AL, 15, FALSE())</f>
        <v/>
      </c>
      <c r="P51" s="25">
        <f>$D51*VLOOKUP($C51,原料主数据!$A:$AL, 16, FALSE())</f>
        <v/>
      </c>
      <c r="Q51" s="25">
        <f>$D51*VLOOKUP($C51,原料主数据!$A:$AL, 17, FALSE())</f>
        <v/>
      </c>
      <c r="R51" s="25">
        <f>$D51*VLOOKUP($C51,原料主数据!$A:$AL, 18, FALSE())</f>
        <v/>
      </c>
      <c r="S51" s="25">
        <f>$D51*VLOOKUP($C51,原料主数据!$A:$AL, 19, FALSE())</f>
        <v/>
      </c>
      <c r="T51" s="25">
        <f>$D51*VLOOKUP($C51,原料主数据!$A:$AL, 20, FALSE())</f>
        <v/>
      </c>
      <c r="U51" s="25">
        <f>$D51*VLOOKUP($C51,原料主数据!$A:$AL, 21, FALSE())</f>
        <v/>
      </c>
      <c r="V51" s="25">
        <f>$D51*VLOOKUP($C51,原料主数据!$A:$AL, 22, FALSE())</f>
        <v/>
      </c>
      <c r="W51" s="25">
        <f>$D51*VLOOKUP($C51,原料主数据!$A:$AL, 23, FALSE())</f>
        <v/>
      </c>
      <c r="X51" s="25">
        <f>$D51*VLOOKUP($C51,原料主数据!$A:$AL, 24, FALSE())</f>
        <v/>
      </c>
      <c r="Y51" s="25">
        <f>$D51*VLOOKUP($C51,原料主数据!$A:$AL, 25, FALSE())</f>
        <v/>
      </c>
      <c r="Z51" s="25">
        <f>$D51*VLOOKUP($C51,原料主数据!$A:$AL, 26, FALSE())</f>
        <v/>
      </c>
      <c r="AA51" s="25">
        <f>$D51*VLOOKUP($C51,原料主数据!$A:$AL, 27, FALSE())</f>
        <v/>
      </c>
      <c r="AB51" s="25">
        <f>$D51*VLOOKUP($C51,原料主数据!$A:$AL, 28, FALSE())</f>
        <v/>
      </c>
      <c r="AC51" s="25">
        <f>$D51*VLOOKUP($C51,原料主数据!$A:$AL, 29, FALSE())</f>
        <v/>
      </c>
      <c r="AD51" s="25">
        <f>$D51*VLOOKUP($C51,原料主数据!$A:$AL, 30, FALSE())</f>
        <v/>
      </c>
      <c r="AE51" s="25">
        <f>$D51*VLOOKUP($C51,原料主数据!$A:$AL, 31, FALSE())</f>
        <v/>
      </c>
      <c r="AF51" s="25">
        <f>$D51*VLOOKUP($C51,原料主数据!$A:$AL, 32, FALSE())</f>
        <v/>
      </c>
      <c r="AG51" s="25">
        <f>$D51*VLOOKUP($C51,原料主数据!$A:$AL, 33, FALSE())</f>
        <v/>
      </c>
      <c r="AH51" s="25">
        <f>$D51*VLOOKUP($C51,原料主数据!$A:$AL, 34, FALSE())</f>
        <v/>
      </c>
      <c r="AI51" s="25">
        <f>$D51*VLOOKUP($C51,原料主数据!$A:$AL, 35, FALSE())</f>
        <v/>
      </c>
      <c r="AJ51" s="25">
        <f>$D51*VLOOKUP($C51,原料主数据!$A:$AL, 36, FALSE())</f>
        <v/>
      </c>
      <c r="AK51" s="25">
        <f>$D51*VLOOKUP($C51,原料主数据!$A:$AL, 37, FALSE())</f>
        <v/>
      </c>
      <c r="AL51" s="25">
        <f>$D51*VLOOKUP($C51,原料主数据!$A:$AL, 38, FALSE())</f>
        <v/>
      </c>
    </row>
    <row r="52" ht="15" customHeight="1" s="15">
      <c r="A52" s="22" t="inlineStr">
        <is>
          <t>EP-0005</t>
        </is>
      </c>
      <c r="B52" s="23" t="inlineStr">
        <is>
          <t>环氧酚醛</t>
        </is>
      </c>
      <c r="C52" s="23" t="inlineStr">
        <is>
          <t>正丁醇</t>
        </is>
      </c>
      <c r="D52" s="22" t="n">
        <v>11.84</v>
      </c>
      <c r="E52" s="22">
        <f>VLOOKUP($C52,原料主数据!$A:$E,4,FALSE())</f>
        <v/>
      </c>
      <c r="F52" s="22">
        <f>VLOOKUP($C52,原料主数据!$A:$E,5,FALSE())</f>
        <v/>
      </c>
      <c r="G52" s="22">
        <f>$D52*VLOOKUP($C52,原料主数据!$A:$AL, 7, FALSE())</f>
        <v/>
      </c>
      <c r="H52" s="22">
        <f>$D52*VLOOKUP($C52,原料主数据!$A:$AL, 8, FALSE())</f>
        <v/>
      </c>
      <c r="I52" s="22">
        <f>$D52*VLOOKUP($C52,原料主数据!$A:$AL, 9, FALSE())</f>
        <v/>
      </c>
      <c r="J52" s="22">
        <f>$D52*VLOOKUP($C52,原料主数据!$A:$AL, 10, FALSE())</f>
        <v/>
      </c>
      <c r="K52" s="22">
        <f>$D52*VLOOKUP($C52,原料主数据!$A:$AL, 11, FALSE())</f>
        <v/>
      </c>
      <c r="L52" s="22">
        <f>$D52*VLOOKUP($C52,原料主数据!$A:$AL, 12, FALSE())</f>
        <v/>
      </c>
      <c r="M52" s="22">
        <f>$D52*VLOOKUP($C52,原料主数据!$A:$AL, 13, FALSE())</f>
        <v/>
      </c>
      <c r="N52" s="22">
        <f>$D52*VLOOKUP($C52,原料主数据!$A:$AL, 14, FALSE())</f>
        <v/>
      </c>
      <c r="O52" s="22">
        <f>$D52*VLOOKUP($C52,原料主数据!$A:$AL, 15, FALSE())</f>
        <v/>
      </c>
      <c r="P52" s="22">
        <f>$D52*VLOOKUP($C52,原料主数据!$A:$AL, 16, FALSE())</f>
        <v/>
      </c>
      <c r="Q52" s="22">
        <f>$D52*VLOOKUP($C52,原料主数据!$A:$AL, 17, FALSE())</f>
        <v/>
      </c>
      <c r="R52" s="22">
        <f>$D52*VLOOKUP($C52,原料主数据!$A:$AL, 18, FALSE())</f>
        <v/>
      </c>
      <c r="S52" s="22">
        <f>$D52*VLOOKUP($C52,原料主数据!$A:$AL, 19, FALSE())</f>
        <v/>
      </c>
      <c r="T52" s="22">
        <f>$D52*VLOOKUP($C52,原料主数据!$A:$AL, 20, FALSE())</f>
        <v/>
      </c>
      <c r="U52" s="22">
        <f>$D52*VLOOKUP($C52,原料主数据!$A:$AL, 21, FALSE())</f>
        <v/>
      </c>
      <c r="V52" s="22">
        <f>$D52*VLOOKUP($C52,原料主数据!$A:$AL, 22, FALSE())</f>
        <v/>
      </c>
      <c r="W52" s="22">
        <f>$D52*VLOOKUP($C52,原料主数据!$A:$AL, 23, FALSE())</f>
        <v/>
      </c>
      <c r="X52" s="22">
        <f>$D52*VLOOKUP($C52,原料主数据!$A:$AL, 24, FALSE())</f>
        <v/>
      </c>
      <c r="Y52" s="22">
        <f>$D52*VLOOKUP($C52,原料主数据!$A:$AL, 25, FALSE())</f>
        <v/>
      </c>
      <c r="Z52" s="22">
        <f>$D52*VLOOKUP($C52,原料主数据!$A:$AL, 26, FALSE())</f>
        <v/>
      </c>
      <c r="AA52" s="22">
        <f>$D52*VLOOKUP($C52,原料主数据!$A:$AL, 27, FALSE())</f>
        <v/>
      </c>
      <c r="AB52" s="22">
        <f>$D52*VLOOKUP($C52,原料主数据!$A:$AL, 28, FALSE())</f>
        <v/>
      </c>
      <c r="AC52" s="22">
        <f>$D52*VLOOKUP($C52,原料主数据!$A:$AL, 29, FALSE())</f>
        <v/>
      </c>
      <c r="AD52" s="22">
        <f>$D52*VLOOKUP($C52,原料主数据!$A:$AL, 30, FALSE())</f>
        <v/>
      </c>
      <c r="AE52" s="22">
        <f>$D52*VLOOKUP($C52,原料主数据!$A:$AL, 31, FALSE())</f>
        <v/>
      </c>
      <c r="AF52" s="22">
        <f>$D52*VLOOKUP($C52,原料主数据!$A:$AL, 32, FALSE())</f>
        <v/>
      </c>
      <c r="AG52" s="22">
        <f>$D52*VLOOKUP($C52,原料主数据!$A:$AL, 33, FALSE())</f>
        <v/>
      </c>
      <c r="AH52" s="22">
        <f>$D52*VLOOKUP($C52,原料主数据!$A:$AL, 34, FALSE())</f>
        <v/>
      </c>
      <c r="AI52" s="22">
        <f>$D52*VLOOKUP($C52,原料主数据!$A:$AL, 35, FALSE())</f>
        <v/>
      </c>
      <c r="AJ52" s="22">
        <f>$D52*VLOOKUP($C52,原料主数据!$A:$AL, 36, FALSE())</f>
        <v/>
      </c>
      <c r="AK52" s="22">
        <f>$D52*VLOOKUP($C52,原料主数据!$A:$AL, 37, FALSE())</f>
        <v/>
      </c>
      <c r="AL52" s="22">
        <f>$D52*VLOOKUP($C52,原料主数据!$A:$AL, 38, FALSE())</f>
        <v/>
      </c>
    </row>
    <row r="53" ht="15" customHeight="1" s="15">
      <c r="A53" s="25" t="inlineStr">
        <is>
          <t>EP-0005</t>
        </is>
      </c>
      <c r="B53" s="26" t="inlineStr">
        <is>
          <t>环氧酚醛</t>
        </is>
      </c>
      <c r="C53" s="26" t="inlineStr">
        <is>
          <t>补加混合液</t>
        </is>
      </c>
      <c r="D53" s="25" t="n">
        <v>5.16</v>
      </c>
      <c r="E53" s="25">
        <f>VLOOKUP($C53,原料主数据!$A:$E,4,FALSE())</f>
        <v/>
      </c>
      <c r="F53" s="25">
        <f>VLOOKUP($C53,原料主数据!$A:$E,5,FALSE())</f>
        <v/>
      </c>
      <c r="G53" s="25">
        <f>$D53*VLOOKUP($C53,原料主数据!$A:$AL, 7, FALSE())</f>
        <v/>
      </c>
      <c r="H53" s="25">
        <f>$D53*VLOOKUP($C53,原料主数据!$A:$AL, 8, FALSE())</f>
        <v/>
      </c>
      <c r="I53" s="25">
        <f>$D53*VLOOKUP($C53,原料主数据!$A:$AL, 9, FALSE())</f>
        <v/>
      </c>
      <c r="J53" s="25">
        <f>$D53*VLOOKUP($C53,原料主数据!$A:$AL, 10, FALSE())</f>
        <v/>
      </c>
      <c r="K53" s="25">
        <f>$D53*VLOOKUP($C53,原料主数据!$A:$AL, 11, FALSE())</f>
        <v/>
      </c>
      <c r="L53" s="25">
        <f>$D53*VLOOKUP($C53,原料主数据!$A:$AL, 12, FALSE())</f>
        <v/>
      </c>
      <c r="M53" s="25">
        <f>$D53*VLOOKUP($C53,原料主数据!$A:$AL, 13, FALSE())</f>
        <v/>
      </c>
      <c r="N53" s="25">
        <f>$D53*VLOOKUP($C53,原料主数据!$A:$AL, 14, FALSE())</f>
        <v/>
      </c>
      <c r="O53" s="25">
        <f>$D53*VLOOKUP($C53,原料主数据!$A:$AL, 15, FALSE())</f>
        <v/>
      </c>
      <c r="P53" s="25">
        <f>$D53*VLOOKUP($C53,原料主数据!$A:$AL, 16, FALSE())</f>
        <v/>
      </c>
      <c r="Q53" s="25">
        <f>$D53*VLOOKUP($C53,原料主数据!$A:$AL, 17, FALSE())</f>
        <v/>
      </c>
      <c r="R53" s="25">
        <f>$D53*VLOOKUP($C53,原料主数据!$A:$AL, 18, FALSE())</f>
        <v/>
      </c>
      <c r="S53" s="25">
        <f>$D53*VLOOKUP($C53,原料主数据!$A:$AL, 19, FALSE())</f>
        <v/>
      </c>
      <c r="T53" s="25">
        <f>$D53*VLOOKUP($C53,原料主数据!$A:$AL, 20, FALSE())</f>
        <v/>
      </c>
      <c r="U53" s="25">
        <f>$D53*VLOOKUP($C53,原料主数据!$A:$AL, 21, FALSE())</f>
        <v/>
      </c>
      <c r="V53" s="25">
        <f>$D53*VLOOKUP($C53,原料主数据!$A:$AL, 22, FALSE())</f>
        <v/>
      </c>
      <c r="W53" s="25">
        <f>$D53*VLOOKUP($C53,原料主数据!$A:$AL, 23, FALSE())</f>
        <v/>
      </c>
      <c r="X53" s="25">
        <f>$D53*VLOOKUP($C53,原料主数据!$A:$AL, 24, FALSE())</f>
        <v/>
      </c>
      <c r="Y53" s="25">
        <f>$D53*VLOOKUP($C53,原料主数据!$A:$AL, 25, FALSE())</f>
        <v/>
      </c>
      <c r="Z53" s="25">
        <f>$D53*VLOOKUP($C53,原料主数据!$A:$AL, 26, FALSE())</f>
        <v/>
      </c>
      <c r="AA53" s="25">
        <f>$D53*VLOOKUP($C53,原料主数据!$A:$AL, 27, FALSE())</f>
        <v/>
      </c>
      <c r="AB53" s="25">
        <f>$D53*VLOOKUP($C53,原料主数据!$A:$AL, 28, FALSE())</f>
        <v/>
      </c>
      <c r="AC53" s="25">
        <f>$D53*VLOOKUP($C53,原料主数据!$A:$AL, 29, FALSE())</f>
        <v/>
      </c>
      <c r="AD53" s="25">
        <f>$D53*VLOOKUP($C53,原料主数据!$A:$AL, 30, FALSE())</f>
        <v/>
      </c>
      <c r="AE53" s="25">
        <f>$D53*VLOOKUP($C53,原料主数据!$A:$AL, 31, FALSE())</f>
        <v/>
      </c>
      <c r="AF53" s="25">
        <f>$D53*VLOOKUP($C53,原料主数据!$A:$AL, 32, FALSE())</f>
        <v/>
      </c>
      <c r="AG53" s="25">
        <f>$D53*VLOOKUP($C53,原料主数据!$A:$AL, 33, FALSE())</f>
        <v/>
      </c>
      <c r="AH53" s="25">
        <f>$D53*VLOOKUP($C53,原料主数据!$A:$AL, 34, FALSE())</f>
        <v/>
      </c>
      <c r="AI53" s="25">
        <f>$D53*VLOOKUP($C53,原料主数据!$A:$AL, 35, FALSE())</f>
        <v/>
      </c>
      <c r="AJ53" s="25">
        <f>$D53*VLOOKUP($C53,原料主数据!$A:$AL, 36, FALSE())</f>
        <v/>
      </c>
      <c r="AK53" s="25">
        <f>$D53*VLOOKUP($C53,原料主数据!$A:$AL, 37, FALSE())</f>
        <v/>
      </c>
      <c r="AL53" s="25">
        <f>$D53*VLOOKUP($C53,原料主数据!$A:$AL, 38, FALSE())</f>
        <v/>
      </c>
    </row>
    <row r="54" ht="15" customHeight="1" s="15">
      <c r="A54" s="22" t="inlineStr">
        <is>
          <t>EP-0005</t>
        </is>
      </c>
      <c r="B54" s="23" t="inlineStr">
        <is>
          <t>环氧酚醛</t>
        </is>
      </c>
      <c r="C54" s="22" t="inlineStr">
        <is>
          <t>10%磷酸</t>
        </is>
      </c>
      <c r="D54" s="22" t="n">
        <v>2.11</v>
      </c>
      <c r="E54" s="22">
        <f>VLOOKUP($C54,原料主数据!$A:$E,4,FALSE())</f>
        <v/>
      </c>
      <c r="F54" s="22">
        <f>VLOOKUP($C54,原料主数据!$A:$E,5,FALSE())</f>
        <v/>
      </c>
      <c r="G54" s="22">
        <f>$D54*VLOOKUP($C54,原料主数据!$A:$AL, 7, FALSE())</f>
        <v/>
      </c>
      <c r="H54" s="22">
        <f>$D54*VLOOKUP($C54,原料主数据!$A:$AL, 8, FALSE())</f>
        <v/>
      </c>
      <c r="I54" s="22">
        <f>$D54*VLOOKUP($C54,原料主数据!$A:$AL, 9, FALSE())</f>
        <v/>
      </c>
      <c r="J54" s="22">
        <f>$D54*VLOOKUP($C54,原料主数据!$A:$AL, 10, FALSE())</f>
        <v/>
      </c>
      <c r="K54" s="22">
        <f>$D54*VLOOKUP($C54,原料主数据!$A:$AL, 11, FALSE())</f>
        <v/>
      </c>
      <c r="L54" s="22">
        <f>$D54*VLOOKUP($C54,原料主数据!$A:$AL, 12, FALSE())</f>
        <v/>
      </c>
      <c r="M54" s="22">
        <f>$D54*VLOOKUP($C54,原料主数据!$A:$AL, 13, FALSE())</f>
        <v/>
      </c>
      <c r="N54" s="22">
        <f>$D54*VLOOKUP($C54,原料主数据!$A:$AL, 14, FALSE())</f>
        <v/>
      </c>
      <c r="O54" s="22">
        <f>$D54*VLOOKUP($C54,原料主数据!$A:$AL, 15, FALSE())</f>
        <v/>
      </c>
      <c r="P54" s="22">
        <f>$D54*VLOOKUP($C54,原料主数据!$A:$AL, 16, FALSE())</f>
        <v/>
      </c>
      <c r="Q54" s="22">
        <f>$D54*VLOOKUP($C54,原料主数据!$A:$AL, 17, FALSE())</f>
        <v/>
      </c>
      <c r="R54" s="22">
        <f>$D54*VLOOKUP($C54,原料主数据!$A:$AL, 18, FALSE())</f>
        <v/>
      </c>
      <c r="S54" s="22">
        <f>$D54*VLOOKUP($C54,原料主数据!$A:$AL, 19, FALSE())</f>
        <v/>
      </c>
      <c r="T54" s="22">
        <f>$D54*VLOOKUP($C54,原料主数据!$A:$AL, 20, FALSE())</f>
        <v/>
      </c>
      <c r="U54" s="22">
        <f>$D54*VLOOKUP($C54,原料主数据!$A:$AL, 21, FALSE())</f>
        <v/>
      </c>
      <c r="V54" s="22">
        <f>$D54*VLOOKUP($C54,原料主数据!$A:$AL, 22, FALSE())</f>
        <v/>
      </c>
      <c r="W54" s="22">
        <f>$D54*VLOOKUP($C54,原料主数据!$A:$AL, 23, FALSE())</f>
        <v/>
      </c>
      <c r="X54" s="22">
        <f>$D54*VLOOKUP($C54,原料主数据!$A:$AL, 24, FALSE())</f>
        <v/>
      </c>
      <c r="Y54" s="22">
        <f>$D54*VLOOKUP($C54,原料主数据!$A:$AL, 25, FALSE())</f>
        <v/>
      </c>
      <c r="Z54" s="22">
        <f>$D54*VLOOKUP($C54,原料主数据!$A:$AL, 26, FALSE())</f>
        <v/>
      </c>
      <c r="AA54" s="22">
        <f>$D54*VLOOKUP($C54,原料主数据!$A:$AL, 27, FALSE())</f>
        <v/>
      </c>
      <c r="AB54" s="22">
        <f>$D54*VLOOKUP($C54,原料主数据!$A:$AL, 28, FALSE())</f>
        <v/>
      </c>
      <c r="AC54" s="22">
        <f>$D54*VLOOKUP($C54,原料主数据!$A:$AL, 29, FALSE())</f>
        <v/>
      </c>
      <c r="AD54" s="22">
        <f>$D54*VLOOKUP($C54,原料主数据!$A:$AL, 30, FALSE())</f>
        <v/>
      </c>
      <c r="AE54" s="22">
        <f>$D54*VLOOKUP($C54,原料主数据!$A:$AL, 31, FALSE())</f>
        <v/>
      </c>
      <c r="AF54" s="22">
        <f>$D54*VLOOKUP($C54,原料主数据!$A:$AL, 32, FALSE())</f>
        <v/>
      </c>
      <c r="AG54" s="22">
        <f>$D54*VLOOKUP($C54,原料主数据!$A:$AL, 33, FALSE())</f>
        <v/>
      </c>
      <c r="AH54" s="22">
        <f>$D54*VLOOKUP($C54,原料主数据!$A:$AL, 34, FALSE())</f>
        <v/>
      </c>
      <c r="AI54" s="22">
        <f>$D54*VLOOKUP($C54,原料主数据!$A:$AL, 35, FALSE())</f>
        <v/>
      </c>
      <c r="AJ54" s="22">
        <f>$D54*VLOOKUP($C54,原料主数据!$A:$AL, 36, FALSE())</f>
        <v/>
      </c>
      <c r="AK54" s="22">
        <f>$D54*VLOOKUP($C54,原料主数据!$A:$AL, 37, FALSE())</f>
        <v/>
      </c>
      <c r="AL54" s="22">
        <f>$D54*VLOOKUP($C54,原料主数据!$A:$AL, 38, FALSE())</f>
        <v/>
      </c>
    </row>
    <row r="55" ht="15" customHeight="1" s="15">
      <c r="A55" s="25" t="inlineStr">
        <is>
          <t>ORG-0001</t>
        </is>
      </c>
      <c r="B55" s="26" t="inlineStr">
        <is>
          <t>有机</t>
        </is>
      </c>
      <c r="C55" s="25" t="inlineStr">
        <is>
          <t>TF100</t>
        </is>
      </c>
      <c r="D55" s="25" t="n">
        <v>19.18</v>
      </c>
      <c r="E55" s="25">
        <f>VLOOKUP($C55,原料主数据!$A:$E,4,FALSE())</f>
        <v/>
      </c>
      <c r="F55" s="25">
        <f>VLOOKUP($C55,原料主数据!$A:$E,5,FALSE())</f>
        <v/>
      </c>
      <c r="G55" s="25">
        <f>$D55*VLOOKUP($C55,原料主数据!$A:$AL, 7, FALSE())</f>
        <v/>
      </c>
      <c r="H55" s="25">
        <f>$D55*VLOOKUP($C55,原料主数据!$A:$AL, 8, FALSE())</f>
        <v/>
      </c>
      <c r="I55" s="25">
        <f>$D55*VLOOKUP($C55,原料主数据!$A:$AL, 9, FALSE())</f>
        <v/>
      </c>
      <c r="J55" s="25">
        <f>$D55*VLOOKUP($C55,原料主数据!$A:$AL, 10, FALSE())</f>
        <v/>
      </c>
      <c r="K55" s="25">
        <f>$D55*VLOOKUP($C55,原料主数据!$A:$AL, 11, FALSE())</f>
        <v/>
      </c>
      <c r="L55" s="25">
        <f>$D55*VLOOKUP($C55,原料主数据!$A:$AL, 12, FALSE())</f>
        <v/>
      </c>
      <c r="M55" s="25">
        <f>$D55*VLOOKUP($C55,原料主数据!$A:$AL, 13, FALSE())</f>
        <v/>
      </c>
      <c r="N55" s="25">
        <f>$D55*VLOOKUP($C55,原料主数据!$A:$AL, 14, FALSE())</f>
        <v/>
      </c>
      <c r="O55" s="25">
        <f>$D55*VLOOKUP($C55,原料主数据!$A:$AL, 15, FALSE())</f>
        <v/>
      </c>
      <c r="P55" s="25">
        <f>$D55*VLOOKUP($C55,原料主数据!$A:$AL, 16, FALSE())</f>
        <v/>
      </c>
      <c r="Q55" s="25">
        <f>$D55*VLOOKUP($C55,原料主数据!$A:$AL, 17, FALSE())</f>
        <v/>
      </c>
      <c r="R55" s="25">
        <f>$D55*VLOOKUP($C55,原料主数据!$A:$AL, 18, FALSE())</f>
        <v/>
      </c>
      <c r="S55" s="25">
        <f>$D55*VLOOKUP($C55,原料主数据!$A:$AL, 19, FALSE())</f>
        <v/>
      </c>
      <c r="T55" s="25">
        <f>$D55*VLOOKUP($C55,原料主数据!$A:$AL, 20, FALSE())</f>
        <v/>
      </c>
      <c r="U55" s="25">
        <f>$D55*VLOOKUP($C55,原料主数据!$A:$AL, 21, FALSE())</f>
        <v/>
      </c>
      <c r="V55" s="25">
        <f>$D55*VLOOKUP($C55,原料主数据!$A:$AL, 22, FALSE())</f>
        <v/>
      </c>
      <c r="W55" s="25">
        <f>$D55*VLOOKUP($C55,原料主数据!$A:$AL, 23, FALSE())</f>
        <v/>
      </c>
      <c r="X55" s="25">
        <f>$D55*VLOOKUP($C55,原料主数据!$A:$AL, 24, FALSE())</f>
        <v/>
      </c>
      <c r="Y55" s="25">
        <f>$D55*VLOOKUP($C55,原料主数据!$A:$AL, 25, FALSE())</f>
        <v/>
      </c>
      <c r="Z55" s="25">
        <f>$D55*VLOOKUP($C55,原料主数据!$A:$AL, 26, FALSE())</f>
        <v/>
      </c>
      <c r="AA55" s="25">
        <f>$D55*VLOOKUP($C55,原料主数据!$A:$AL, 27, FALSE())</f>
        <v/>
      </c>
      <c r="AB55" s="25">
        <f>$D55*VLOOKUP($C55,原料主数据!$A:$AL, 28, FALSE())</f>
        <v/>
      </c>
      <c r="AC55" s="25">
        <f>$D55*VLOOKUP($C55,原料主数据!$A:$AL, 29, FALSE())</f>
        <v/>
      </c>
      <c r="AD55" s="25">
        <f>$D55*VLOOKUP($C55,原料主数据!$A:$AL, 30, FALSE())</f>
        <v/>
      </c>
      <c r="AE55" s="25">
        <f>$D55*VLOOKUP($C55,原料主数据!$A:$AL, 31, FALSE())</f>
        <v/>
      </c>
      <c r="AF55" s="25">
        <f>$D55*VLOOKUP($C55,原料主数据!$A:$AL, 32, FALSE())</f>
        <v/>
      </c>
      <c r="AG55" s="25">
        <f>$D55*VLOOKUP($C55,原料主数据!$A:$AL, 33, FALSE())</f>
        <v/>
      </c>
      <c r="AH55" s="25">
        <f>$D55*VLOOKUP($C55,原料主数据!$A:$AL, 34, FALSE())</f>
        <v/>
      </c>
      <c r="AI55" s="25">
        <f>$D55*VLOOKUP($C55,原料主数据!$A:$AL, 35, FALSE())</f>
        <v/>
      </c>
      <c r="AJ55" s="25">
        <f>$D55*VLOOKUP($C55,原料主数据!$A:$AL, 36, FALSE())</f>
        <v/>
      </c>
      <c r="AK55" s="25">
        <f>$D55*VLOOKUP($C55,原料主数据!$A:$AL, 37, FALSE())</f>
        <v/>
      </c>
      <c r="AL55" s="25">
        <f>$D55*VLOOKUP($C55,原料主数据!$A:$AL, 38, FALSE())</f>
        <v/>
      </c>
    </row>
    <row r="56" ht="15" customHeight="1" s="15">
      <c r="A56" s="22" t="inlineStr">
        <is>
          <t>ORG-0001</t>
        </is>
      </c>
      <c r="B56" s="23" t="inlineStr">
        <is>
          <t>有机</t>
        </is>
      </c>
      <c r="C56" s="22" t="inlineStr">
        <is>
          <t>TM004</t>
        </is>
      </c>
      <c r="D56" s="22" t="n">
        <v>5.28</v>
      </c>
      <c r="E56" s="22">
        <f>VLOOKUP($C56,原料主数据!$A:$E,4,FALSE())</f>
        <v/>
      </c>
      <c r="F56" s="22">
        <f>VLOOKUP($C56,原料主数据!$A:$E,5,FALSE())</f>
        <v/>
      </c>
      <c r="G56" s="22">
        <f>$D56*VLOOKUP($C56,原料主数据!$A:$AL, 7, FALSE())</f>
        <v/>
      </c>
      <c r="H56" s="22">
        <f>$D56*VLOOKUP($C56,原料主数据!$A:$AL, 8, FALSE())</f>
        <v/>
      </c>
      <c r="I56" s="22">
        <f>$D56*VLOOKUP($C56,原料主数据!$A:$AL, 9, FALSE())</f>
        <v/>
      </c>
      <c r="J56" s="22">
        <f>$D56*VLOOKUP($C56,原料主数据!$A:$AL, 10, FALSE())</f>
        <v/>
      </c>
      <c r="K56" s="22">
        <f>$D56*VLOOKUP($C56,原料主数据!$A:$AL, 11, FALSE())</f>
        <v/>
      </c>
      <c r="L56" s="22">
        <f>$D56*VLOOKUP($C56,原料主数据!$A:$AL, 12, FALSE())</f>
        <v/>
      </c>
      <c r="M56" s="22">
        <f>$D56*VLOOKUP($C56,原料主数据!$A:$AL, 13, FALSE())</f>
        <v/>
      </c>
      <c r="N56" s="22">
        <f>$D56*VLOOKUP($C56,原料主数据!$A:$AL, 14, FALSE())</f>
        <v/>
      </c>
      <c r="O56" s="22">
        <f>$D56*VLOOKUP($C56,原料主数据!$A:$AL, 15, FALSE())</f>
        <v/>
      </c>
      <c r="P56" s="22">
        <f>$D56*VLOOKUP($C56,原料主数据!$A:$AL, 16, FALSE())</f>
        <v/>
      </c>
      <c r="Q56" s="22">
        <f>$D56*VLOOKUP($C56,原料主数据!$A:$AL, 17, FALSE())</f>
        <v/>
      </c>
      <c r="R56" s="22">
        <f>$D56*VLOOKUP($C56,原料主数据!$A:$AL, 18, FALSE())</f>
        <v/>
      </c>
      <c r="S56" s="22">
        <f>$D56*VLOOKUP($C56,原料主数据!$A:$AL, 19, FALSE())</f>
        <v/>
      </c>
      <c r="T56" s="22">
        <f>$D56*VLOOKUP($C56,原料主数据!$A:$AL, 20, FALSE())</f>
        <v/>
      </c>
      <c r="U56" s="22">
        <f>$D56*VLOOKUP($C56,原料主数据!$A:$AL, 21, FALSE())</f>
        <v/>
      </c>
      <c r="V56" s="22">
        <f>$D56*VLOOKUP($C56,原料主数据!$A:$AL, 22, FALSE())</f>
        <v/>
      </c>
      <c r="W56" s="22">
        <f>$D56*VLOOKUP($C56,原料主数据!$A:$AL, 23, FALSE())</f>
        <v/>
      </c>
      <c r="X56" s="22">
        <f>$D56*VLOOKUP($C56,原料主数据!$A:$AL, 24, FALSE())</f>
        <v/>
      </c>
      <c r="Y56" s="22">
        <f>$D56*VLOOKUP($C56,原料主数据!$A:$AL, 25, FALSE())</f>
        <v/>
      </c>
      <c r="Z56" s="22">
        <f>$D56*VLOOKUP($C56,原料主数据!$A:$AL, 26, FALSE())</f>
        <v/>
      </c>
      <c r="AA56" s="22">
        <f>$D56*VLOOKUP($C56,原料主数据!$A:$AL, 27, FALSE())</f>
        <v/>
      </c>
      <c r="AB56" s="22">
        <f>$D56*VLOOKUP($C56,原料主数据!$A:$AL, 28, FALSE())</f>
        <v/>
      </c>
      <c r="AC56" s="22">
        <f>$D56*VLOOKUP($C56,原料主数据!$A:$AL, 29, FALSE())</f>
        <v/>
      </c>
      <c r="AD56" s="22">
        <f>$D56*VLOOKUP($C56,原料主数据!$A:$AL, 30, FALSE())</f>
        <v/>
      </c>
      <c r="AE56" s="22">
        <f>$D56*VLOOKUP($C56,原料主数据!$A:$AL, 31, FALSE())</f>
        <v/>
      </c>
      <c r="AF56" s="22">
        <f>$D56*VLOOKUP($C56,原料主数据!$A:$AL, 32, FALSE())</f>
        <v/>
      </c>
      <c r="AG56" s="22">
        <f>$D56*VLOOKUP($C56,原料主数据!$A:$AL, 33, FALSE())</f>
        <v/>
      </c>
      <c r="AH56" s="22">
        <f>$D56*VLOOKUP($C56,原料主数据!$A:$AL, 34, FALSE())</f>
        <v/>
      </c>
      <c r="AI56" s="22">
        <f>$D56*VLOOKUP($C56,原料主数据!$A:$AL, 35, FALSE())</f>
        <v/>
      </c>
      <c r="AJ56" s="22">
        <f>$D56*VLOOKUP($C56,原料主数据!$A:$AL, 36, FALSE())</f>
        <v/>
      </c>
      <c r="AK56" s="22">
        <f>$D56*VLOOKUP($C56,原料主数据!$A:$AL, 37, FALSE())</f>
        <v/>
      </c>
      <c r="AL56" s="22">
        <f>$D56*VLOOKUP($C56,原料主数据!$A:$AL, 38, FALSE())</f>
        <v/>
      </c>
    </row>
    <row r="57" ht="15" customHeight="1" s="15">
      <c r="A57" s="25" t="inlineStr">
        <is>
          <t>ORG-0001</t>
        </is>
      </c>
      <c r="B57" s="26" t="inlineStr">
        <is>
          <t>有机</t>
        </is>
      </c>
      <c r="C57" s="25" t="inlineStr">
        <is>
          <t>AS400</t>
        </is>
      </c>
      <c r="D57" s="25" t="n">
        <v>3.68</v>
      </c>
      <c r="E57" s="25">
        <f>VLOOKUP($C57,原料主数据!$A:$E,4,FALSE())</f>
        <v/>
      </c>
      <c r="F57" s="25">
        <f>VLOOKUP($C57,原料主数据!$A:$E,5,FALSE())</f>
        <v/>
      </c>
      <c r="G57" s="25">
        <f>$D57*VLOOKUP($C57,原料主数据!$A:$AL, 7, FALSE())</f>
        <v/>
      </c>
      <c r="H57" s="25">
        <f>$D57*VLOOKUP($C57,原料主数据!$A:$AL, 8, FALSE())</f>
        <v/>
      </c>
      <c r="I57" s="25">
        <f>$D57*VLOOKUP($C57,原料主数据!$A:$AL, 9, FALSE())</f>
        <v/>
      </c>
      <c r="J57" s="25">
        <f>$D57*VLOOKUP($C57,原料主数据!$A:$AL, 10, FALSE())</f>
        <v/>
      </c>
      <c r="K57" s="25">
        <f>$D57*VLOOKUP($C57,原料主数据!$A:$AL, 11, FALSE())</f>
        <v/>
      </c>
      <c r="L57" s="25">
        <f>$D57*VLOOKUP($C57,原料主数据!$A:$AL, 12, FALSE())</f>
        <v/>
      </c>
      <c r="M57" s="25">
        <f>$D57*VLOOKUP($C57,原料主数据!$A:$AL, 13, FALSE())</f>
        <v/>
      </c>
      <c r="N57" s="25">
        <f>$D57*VLOOKUP($C57,原料主数据!$A:$AL, 14, FALSE())</f>
        <v/>
      </c>
      <c r="O57" s="25">
        <f>$D57*VLOOKUP($C57,原料主数据!$A:$AL, 15, FALSE())</f>
        <v/>
      </c>
      <c r="P57" s="25">
        <f>$D57*VLOOKUP($C57,原料主数据!$A:$AL, 16, FALSE())</f>
        <v/>
      </c>
      <c r="Q57" s="25">
        <f>$D57*VLOOKUP($C57,原料主数据!$A:$AL, 17, FALSE())</f>
        <v/>
      </c>
      <c r="R57" s="25">
        <f>$D57*VLOOKUP($C57,原料主数据!$A:$AL, 18, FALSE())</f>
        <v/>
      </c>
      <c r="S57" s="25">
        <f>$D57*VLOOKUP($C57,原料主数据!$A:$AL, 19, FALSE())</f>
        <v/>
      </c>
      <c r="T57" s="25">
        <f>$D57*VLOOKUP($C57,原料主数据!$A:$AL, 20, FALSE())</f>
        <v/>
      </c>
      <c r="U57" s="25">
        <f>$D57*VLOOKUP($C57,原料主数据!$A:$AL, 21, FALSE())</f>
        <v/>
      </c>
      <c r="V57" s="25">
        <f>$D57*VLOOKUP($C57,原料主数据!$A:$AL, 22, FALSE())</f>
        <v/>
      </c>
      <c r="W57" s="25">
        <f>$D57*VLOOKUP($C57,原料主数据!$A:$AL, 23, FALSE())</f>
        <v/>
      </c>
      <c r="X57" s="25">
        <f>$D57*VLOOKUP($C57,原料主数据!$A:$AL, 24, FALSE())</f>
        <v/>
      </c>
      <c r="Y57" s="25">
        <f>$D57*VLOOKUP($C57,原料主数据!$A:$AL, 25, FALSE())</f>
        <v/>
      </c>
      <c r="Z57" s="25">
        <f>$D57*VLOOKUP($C57,原料主数据!$A:$AL, 26, FALSE())</f>
        <v/>
      </c>
      <c r="AA57" s="25">
        <f>$D57*VLOOKUP($C57,原料主数据!$A:$AL, 27, FALSE())</f>
        <v/>
      </c>
      <c r="AB57" s="25">
        <f>$D57*VLOOKUP($C57,原料主数据!$A:$AL, 28, FALSE())</f>
        <v/>
      </c>
      <c r="AC57" s="25">
        <f>$D57*VLOOKUP($C57,原料主数据!$A:$AL, 29, FALSE())</f>
        <v/>
      </c>
      <c r="AD57" s="25">
        <f>$D57*VLOOKUP($C57,原料主数据!$A:$AL, 30, FALSE())</f>
        <v/>
      </c>
      <c r="AE57" s="25">
        <f>$D57*VLOOKUP($C57,原料主数据!$A:$AL, 31, FALSE())</f>
        <v/>
      </c>
      <c r="AF57" s="25">
        <f>$D57*VLOOKUP($C57,原料主数据!$A:$AL, 32, FALSE())</f>
        <v/>
      </c>
      <c r="AG57" s="25">
        <f>$D57*VLOOKUP($C57,原料主数据!$A:$AL, 33, FALSE())</f>
        <v/>
      </c>
      <c r="AH57" s="25">
        <f>$D57*VLOOKUP($C57,原料主数据!$A:$AL, 34, FALSE())</f>
        <v/>
      </c>
      <c r="AI57" s="25">
        <f>$D57*VLOOKUP($C57,原料主数据!$A:$AL, 35, FALSE())</f>
        <v/>
      </c>
      <c r="AJ57" s="25">
        <f>$D57*VLOOKUP($C57,原料主数据!$A:$AL, 36, FALSE())</f>
        <v/>
      </c>
      <c r="AK57" s="25">
        <f>$D57*VLOOKUP($C57,原料主数据!$A:$AL, 37, FALSE())</f>
        <v/>
      </c>
      <c r="AL57" s="25">
        <f>$D57*VLOOKUP($C57,原料主数据!$A:$AL, 38, FALSE())</f>
        <v/>
      </c>
    </row>
    <row r="58" ht="15" customHeight="1" s="15">
      <c r="A58" s="22" t="inlineStr">
        <is>
          <t>ORG-0001</t>
        </is>
      </c>
      <c r="B58" s="23" t="inlineStr">
        <is>
          <t>有机</t>
        </is>
      </c>
      <c r="C58" s="22" t="inlineStr">
        <is>
          <t>RX170-140</t>
        </is>
      </c>
      <c r="D58" s="22" t="n">
        <v>56.64</v>
      </c>
      <c r="E58" s="22">
        <f>VLOOKUP($C58,原料主数据!$A:$E,4,FALSE())</f>
        <v/>
      </c>
      <c r="F58" s="22">
        <f>VLOOKUP($C58,原料主数据!$A:$E,5,FALSE())</f>
        <v/>
      </c>
      <c r="G58" s="22">
        <f>$D58*VLOOKUP($C58,原料主数据!$A:$AL, 7, FALSE())</f>
        <v/>
      </c>
      <c r="H58" s="22">
        <f>$D58*VLOOKUP($C58,原料主数据!$A:$AL, 8, FALSE())</f>
        <v/>
      </c>
      <c r="I58" s="22">
        <f>$D58*VLOOKUP($C58,原料主数据!$A:$AL, 9, FALSE())</f>
        <v/>
      </c>
      <c r="J58" s="22">
        <f>$D58*VLOOKUP($C58,原料主数据!$A:$AL, 10, FALSE())</f>
        <v/>
      </c>
      <c r="K58" s="22">
        <f>$D58*VLOOKUP($C58,原料主数据!$A:$AL, 11, FALSE())</f>
        <v/>
      </c>
      <c r="L58" s="22">
        <f>$D58*VLOOKUP($C58,原料主数据!$A:$AL, 12, FALSE())</f>
        <v/>
      </c>
      <c r="M58" s="22">
        <f>$D58*VLOOKUP($C58,原料主数据!$A:$AL, 13, FALSE())</f>
        <v/>
      </c>
      <c r="N58" s="22">
        <f>$D58*VLOOKUP($C58,原料主数据!$A:$AL, 14, FALSE())</f>
        <v/>
      </c>
      <c r="O58" s="22">
        <f>$D58*VLOOKUP($C58,原料主数据!$A:$AL, 15, FALSE())</f>
        <v/>
      </c>
      <c r="P58" s="22">
        <f>$D58*VLOOKUP($C58,原料主数据!$A:$AL, 16, FALSE())</f>
        <v/>
      </c>
      <c r="Q58" s="22">
        <f>$D58*VLOOKUP($C58,原料主数据!$A:$AL, 17, FALSE())</f>
        <v/>
      </c>
      <c r="R58" s="22">
        <f>$D58*VLOOKUP($C58,原料主数据!$A:$AL, 18, FALSE())</f>
        <v/>
      </c>
      <c r="S58" s="22">
        <f>$D58*VLOOKUP($C58,原料主数据!$A:$AL, 19, FALSE())</f>
        <v/>
      </c>
      <c r="T58" s="22">
        <f>$D58*VLOOKUP($C58,原料主数据!$A:$AL, 20, FALSE())</f>
        <v/>
      </c>
      <c r="U58" s="22">
        <f>$D58*VLOOKUP($C58,原料主数据!$A:$AL, 21, FALSE())</f>
        <v/>
      </c>
      <c r="V58" s="22">
        <f>$D58*VLOOKUP($C58,原料主数据!$A:$AL, 22, FALSE())</f>
        <v/>
      </c>
      <c r="W58" s="22">
        <f>$D58*VLOOKUP($C58,原料主数据!$A:$AL, 23, FALSE())</f>
        <v/>
      </c>
      <c r="X58" s="22">
        <f>$D58*VLOOKUP($C58,原料主数据!$A:$AL, 24, FALSE())</f>
        <v/>
      </c>
      <c r="Y58" s="22">
        <f>$D58*VLOOKUP($C58,原料主数据!$A:$AL, 25, FALSE())</f>
        <v/>
      </c>
      <c r="Z58" s="22">
        <f>$D58*VLOOKUP($C58,原料主数据!$A:$AL, 26, FALSE())</f>
        <v/>
      </c>
      <c r="AA58" s="22">
        <f>$D58*VLOOKUP($C58,原料主数据!$A:$AL, 27, FALSE())</f>
        <v/>
      </c>
      <c r="AB58" s="22">
        <f>$D58*VLOOKUP($C58,原料主数据!$A:$AL, 28, FALSE())</f>
        <v/>
      </c>
      <c r="AC58" s="22">
        <f>$D58*VLOOKUP($C58,原料主数据!$A:$AL, 29, FALSE())</f>
        <v/>
      </c>
      <c r="AD58" s="22">
        <f>$D58*VLOOKUP($C58,原料主数据!$A:$AL, 30, FALSE())</f>
        <v/>
      </c>
      <c r="AE58" s="22">
        <f>$D58*VLOOKUP($C58,原料主数据!$A:$AL, 31, FALSE())</f>
        <v/>
      </c>
      <c r="AF58" s="22">
        <f>$D58*VLOOKUP($C58,原料主数据!$A:$AL, 32, FALSE())</f>
        <v/>
      </c>
      <c r="AG58" s="22">
        <f>$D58*VLOOKUP($C58,原料主数据!$A:$AL, 33, FALSE())</f>
        <v/>
      </c>
      <c r="AH58" s="22">
        <f>$D58*VLOOKUP($C58,原料主数据!$A:$AL, 34, FALSE())</f>
        <v/>
      </c>
      <c r="AI58" s="22">
        <f>$D58*VLOOKUP($C58,原料主数据!$A:$AL, 35, FALSE())</f>
        <v/>
      </c>
      <c r="AJ58" s="22">
        <f>$D58*VLOOKUP($C58,原料主数据!$A:$AL, 36, FALSE())</f>
        <v/>
      </c>
      <c r="AK58" s="22">
        <f>$D58*VLOOKUP($C58,原料主数据!$A:$AL, 37, FALSE())</f>
        <v/>
      </c>
      <c r="AL58" s="22">
        <f>$D58*VLOOKUP($C58,原料主数据!$A:$AL, 38, FALSE())</f>
        <v/>
      </c>
    </row>
    <row r="59" ht="15" customHeight="1" s="15">
      <c r="A59" s="25" t="inlineStr">
        <is>
          <t>ORG-0001</t>
        </is>
      </c>
      <c r="B59" s="26" t="inlineStr">
        <is>
          <t>有机</t>
        </is>
      </c>
      <c r="C59" s="25" t="inlineStr">
        <is>
          <t>40%50177</t>
        </is>
      </c>
      <c r="D59" s="25" t="n">
        <v>44.47</v>
      </c>
      <c r="E59" s="25">
        <f>VLOOKUP($C59,原料主数据!$A:$E,4,FALSE())</f>
        <v/>
      </c>
      <c r="F59" s="25">
        <f>VLOOKUP($C59,原料主数据!$A:$E,5,FALSE())</f>
        <v/>
      </c>
      <c r="G59" s="25">
        <f>$D59*VLOOKUP($C59,原料主数据!$A:$AL, 7, FALSE())</f>
        <v/>
      </c>
      <c r="H59" s="25">
        <f>$D59*VLOOKUP($C59,原料主数据!$A:$AL, 8, FALSE())</f>
        <v/>
      </c>
      <c r="I59" s="25">
        <f>$D59*VLOOKUP($C59,原料主数据!$A:$AL, 9, FALSE())</f>
        <v/>
      </c>
      <c r="J59" s="25">
        <f>$D59*VLOOKUP($C59,原料主数据!$A:$AL, 10, FALSE())</f>
        <v/>
      </c>
      <c r="K59" s="25">
        <f>$D59*VLOOKUP($C59,原料主数据!$A:$AL, 11, FALSE())</f>
        <v/>
      </c>
      <c r="L59" s="25">
        <f>$D59*VLOOKUP($C59,原料主数据!$A:$AL, 12, FALSE())</f>
        <v/>
      </c>
      <c r="M59" s="25">
        <f>$D59*VLOOKUP($C59,原料主数据!$A:$AL, 13, FALSE())</f>
        <v/>
      </c>
      <c r="N59" s="25">
        <f>$D59*VLOOKUP($C59,原料主数据!$A:$AL, 14, FALSE())</f>
        <v/>
      </c>
      <c r="O59" s="25">
        <f>$D59*VLOOKUP($C59,原料主数据!$A:$AL, 15, FALSE())</f>
        <v/>
      </c>
      <c r="P59" s="25">
        <f>$D59*VLOOKUP($C59,原料主数据!$A:$AL, 16, FALSE())</f>
        <v/>
      </c>
      <c r="Q59" s="25">
        <f>$D59*VLOOKUP($C59,原料主数据!$A:$AL, 17, FALSE())</f>
        <v/>
      </c>
      <c r="R59" s="25">
        <f>$D59*VLOOKUP($C59,原料主数据!$A:$AL, 18, FALSE())</f>
        <v/>
      </c>
      <c r="S59" s="25">
        <f>$D59*VLOOKUP($C59,原料主数据!$A:$AL, 19, FALSE())</f>
        <v/>
      </c>
      <c r="T59" s="25">
        <f>$D59*VLOOKUP($C59,原料主数据!$A:$AL, 20, FALSE())</f>
        <v/>
      </c>
      <c r="U59" s="25">
        <f>$D59*VLOOKUP($C59,原料主数据!$A:$AL, 21, FALSE())</f>
        <v/>
      </c>
      <c r="V59" s="25">
        <f>$D59*VLOOKUP($C59,原料主数据!$A:$AL, 22, FALSE())</f>
        <v/>
      </c>
      <c r="W59" s="25">
        <f>$D59*VLOOKUP($C59,原料主数据!$A:$AL, 23, FALSE())</f>
        <v/>
      </c>
      <c r="X59" s="25">
        <f>$D59*VLOOKUP($C59,原料主数据!$A:$AL, 24, FALSE())</f>
        <v/>
      </c>
      <c r="Y59" s="25">
        <f>$D59*VLOOKUP($C59,原料主数据!$A:$AL, 25, FALSE())</f>
        <v/>
      </c>
      <c r="Z59" s="25">
        <f>$D59*VLOOKUP($C59,原料主数据!$A:$AL, 26, FALSE())</f>
        <v/>
      </c>
      <c r="AA59" s="25">
        <f>$D59*VLOOKUP($C59,原料主数据!$A:$AL, 27, FALSE())</f>
        <v/>
      </c>
      <c r="AB59" s="25">
        <f>$D59*VLOOKUP($C59,原料主数据!$A:$AL, 28, FALSE())</f>
        <v/>
      </c>
      <c r="AC59" s="25">
        <f>$D59*VLOOKUP($C59,原料主数据!$A:$AL, 29, FALSE())</f>
        <v/>
      </c>
      <c r="AD59" s="25">
        <f>$D59*VLOOKUP($C59,原料主数据!$A:$AL, 30, FALSE())</f>
        <v/>
      </c>
      <c r="AE59" s="25">
        <f>$D59*VLOOKUP($C59,原料主数据!$A:$AL, 31, FALSE())</f>
        <v/>
      </c>
      <c r="AF59" s="25">
        <f>$D59*VLOOKUP($C59,原料主数据!$A:$AL, 32, FALSE())</f>
        <v/>
      </c>
      <c r="AG59" s="25">
        <f>$D59*VLOOKUP($C59,原料主数据!$A:$AL, 33, FALSE())</f>
        <v/>
      </c>
      <c r="AH59" s="25">
        <f>$D59*VLOOKUP($C59,原料主数据!$A:$AL, 34, FALSE())</f>
        <v/>
      </c>
      <c r="AI59" s="25">
        <f>$D59*VLOOKUP($C59,原料主数据!$A:$AL, 35, FALSE())</f>
        <v/>
      </c>
      <c r="AJ59" s="25">
        <f>$D59*VLOOKUP($C59,原料主数据!$A:$AL, 36, FALSE())</f>
        <v/>
      </c>
      <c r="AK59" s="25">
        <f>$D59*VLOOKUP($C59,原料主数据!$A:$AL, 37, FALSE())</f>
        <v/>
      </c>
      <c r="AL59" s="25">
        <f>$D59*VLOOKUP($C59,原料主数据!$A:$AL, 38, FALSE())</f>
        <v/>
      </c>
    </row>
    <row r="60" ht="15" customHeight="1" s="15">
      <c r="A60" s="22" t="inlineStr">
        <is>
          <t>ORG-0001</t>
        </is>
      </c>
      <c r="B60" s="23" t="inlineStr">
        <is>
          <t>有机</t>
        </is>
      </c>
      <c r="C60" s="22" t="inlineStr">
        <is>
          <t>IR877</t>
        </is>
      </c>
      <c r="D60" s="22" t="n">
        <v>37.01</v>
      </c>
      <c r="E60" s="22">
        <f>VLOOKUP($C60,原料主数据!$A:$E,4,FALSE())</f>
        <v/>
      </c>
      <c r="F60" s="22">
        <f>VLOOKUP($C60,原料主数据!$A:$E,5,FALSE())</f>
        <v/>
      </c>
      <c r="G60" s="22">
        <f>$D60*VLOOKUP($C60,原料主数据!$A:$AL, 7, FALSE())</f>
        <v/>
      </c>
      <c r="H60" s="22">
        <f>$D60*VLOOKUP($C60,原料主数据!$A:$AL, 8, FALSE())</f>
        <v/>
      </c>
      <c r="I60" s="22">
        <f>$D60*VLOOKUP($C60,原料主数据!$A:$AL, 9, FALSE())</f>
        <v/>
      </c>
      <c r="J60" s="22">
        <f>$D60*VLOOKUP($C60,原料主数据!$A:$AL, 10, FALSE())</f>
        <v/>
      </c>
      <c r="K60" s="22">
        <f>$D60*VLOOKUP($C60,原料主数据!$A:$AL, 11, FALSE())</f>
        <v/>
      </c>
      <c r="L60" s="22">
        <f>$D60*VLOOKUP($C60,原料主数据!$A:$AL, 12, FALSE())</f>
        <v/>
      </c>
      <c r="M60" s="22">
        <f>$D60*VLOOKUP($C60,原料主数据!$A:$AL, 13, FALSE())</f>
        <v/>
      </c>
      <c r="N60" s="22">
        <f>$D60*VLOOKUP($C60,原料主数据!$A:$AL, 14, FALSE())</f>
        <v/>
      </c>
      <c r="O60" s="22">
        <f>$D60*VLOOKUP($C60,原料主数据!$A:$AL, 15, FALSE())</f>
        <v/>
      </c>
      <c r="P60" s="22">
        <f>$D60*VLOOKUP($C60,原料主数据!$A:$AL, 16, FALSE())</f>
        <v/>
      </c>
      <c r="Q60" s="22">
        <f>$D60*VLOOKUP($C60,原料主数据!$A:$AL, 17, FALSE())</f>
        <v/>
      </c>
      <c r="R60" s="22">
        <f>$D60*VLOOKUP($C60,原料主数据!$A:$AL, 18, FALSE())</f>
        <v/>
      </c>
      <c r="S60" s="22">
        <f>$D60*VLOOKUP($C60,原料主数据!$A:$AL, 19, FALSE())</f>
        <v/>
      </c>
      <c r="T60" s="22">
        <f>$D60*VLOOKUP($C60,原料主数据!$A:$AL, 20, FALSE())</f>
        <v/>
      </c>
      <c r="U60" s="22">
        <f>$D60*VLOOKUP($C60,原料主数据!$A:$AL, 21, FALSE())</f>
        <v/>
      </c>
      <c r="V60" s="22">
        <f>$D60*VLOOKUP($C60,原料主数据!$A:$AL, 22, FALSE())</f>
        <v/>
      </c>
      <c r="W60" s="22">
        <f>$D60*VLOOKUP($C60,原料主数据!$A:$AL, 23, FALSE())</f>
        <v/>
      </c>
      <c r="X60" s="22">
        <f>$D60*VLOOKUP($C60,原料主数据!$A:$AL, 24, FALSE())</f>
        <v/>
      </c>
      <c r="Y60" s="22">
        <f>$D60*VLOOKUP($C60,原料主数据!$A:$AL, 25, FALSE())</f>
        <v/>
      </c>
      <c r="Z60" s="22">
        <f>$D60*VLOOKUP($C60,原料主数据!$A:$AL, 26, FALSE())</f>
        <v/>
      </c>
      <c r="AA60" s="22">
        <f>$D60*VLOOKUP($C60,原料主数据!$A:$AL, 27, FALSE())</f>
        <v/>
      </c>
      <c r="AB60" s="22">
        <f>$D60*VLOOKUP($C60,原料主数据!$A:$AL, 28, FALSE())</f>
        <v/>
      </c>
      <c r="AC60" s="22">
        <f>$D60*VLOOKUP($C60,原料主数据!$A:$AL, 29, FALSE())</f>
        <v/>
      </c>
      <c r="AD60" s="22">
        <f>$D60*VLOOKUP($C60,原料主数据!$A:$AL, 30, FALSE())</f>
        <v/>
      </c>
      <c r="AE60" s="22">
        <f>$D60*VLOOKUP($C60,原料主数据!$A:$AL, 31, FALSE())</f>
        <v/>
      </c>
      <c r="AF60" s="22">
        <f>$D60*VLOOKUP($C60,原料主数据!$A:$AL, 32, FALSE())</f>
        <v/>
      </c>
      <c r="AG60" s="22">
        <f>$D60*VLOOKUP($C60,原料主数据!$A:$AL, 33, FALSE())</f>
        <v/>
      </c>
      <c r="AH60" s="22">
        <f>$D60*VLOOKUP($C60,原料主数据!$A:$AL, 34, FALSE())</f>
        <v/>
      </c>
      <c r="AI60" s="22">
        <f>$D60*VLOOKUP($C60,原料主数据!$A:$AL, 35, FALSE())</f>
        <v/>
      </c>
      <c r="AJ60" s="22">
        <f>$D60*VLOOKUP($C60,原料主数据!$A:$AL, 36, FALSE())</f>
        <v/>
      </c>
      <c r="AK60" s="22">
        <f>$D60*VLOOKUP($C60,原料主数据!$A:$AL, 37, FALSE())</f>
        <v/>
      </c>
      <c r="AL60" s="22">
        <f>$D60*VLOOKUP($C60,原料主数据!$A:$AL, 38, FALSE())</f>
        <v/>
      </c>
    </row>
    <row r="61" ht="15" customHeight="1" s="15">
      <c r="A61" s="25" t="inlineStr">
        <is>
          <t>ORG-0002</t>
        </is>
      </c>
      <c r="B61" s="26" t="inlineStr">
        <is>
          <t>有机</t>
        </is>
      </c>
      <c r="C61" s="25" t="inlineStr">
        <is>
          <t>TF100</t>
        </is>
      </c>
      <c r="D61" s="25" t="n">
        <v>19.18</v>
      </c>
      <c r="E61" s="25">
        <f>VLOOKUP($C61,原料主数据!$A:$E,4,FALSE())</f>
        <v/>
      </c>
      <c r="F61" s="25">
        <f>VLOOKUP($C61,原料主数据!$A:$E,5,FALSE())</f>
        <v/>
      </c>
      <c r="G61" s="25">
        <f>$D61*VLOOKUP($C61,原料主数据!$A:$AL, 7, FALSE())</f>
        <v/>
      </c>
      <c r="H61" s="25">
        <f>$D61*VLOOKUP($C61,原料主数据!$A:$AL, 8, FALSE())</f>
        <v/>
      </c>
      <c r="I61" s="25">
        <f>$D61*VLOOKUP($C61,原料主数据!$A:$AL, 9, FALSE())</f>
        <v/>
      </c>
      <c r="J61" s="25">
        <f>$D61*VLOOKUP($C61,原料主数据!$A:$AL, 10, FALSE())</f>
        <v/>
      </c>
      <c r="K61" s="25">
        <f>$D61*VLOOKUP($C61,原料主数据!$A:$AL, 11, FALSE())</f>
        <v/>
      </c>
      <c r="L61" s="25">
        <f>$D61*VLOOKUP($C61,原料主数据!$A:$AL, 12, FALSE())</f>
        <v/>
      </c>
      <c r="M61" s="25">
        <f>$D61*VLOOKUP($C61,原料主数据!$A:$AL, 13, FALSE())</f>
        <v/>
      </c>
      <c r="N61" s="25">
        <f>$D61*VLOOKUP($C61,原料主数据!$A:$AL, 14, FALSE())</f>
        <v/>
      </c>
      <c r="O61" s="25">
        <f>$D61*VLOOKUP($C61,原料主数据!$A:$AL, 15, FALSE())</f>
        <v/>
      </c>
      <c r="P61" s="25">
        <f>$D61*VLOOKUP($C61,原料主数据!$A:$AL, 16, FALSE())</f>
        <v/>
      </c>
      <c r="Q61" s="25">
        <f>$D61*VLOOKUP($C61,原料主数据!$A:$AL, 17, FALSE())</f>
        <v/>
      </c>
      <c r="R61" s="25">
        <f>$D61*VLOOKUP($C61,原料主数据!$A:$AL, 18, FALSE())</f>
        <v/>
      </c>
      <c r="S61" s="25">
        <f>$D61*VLOOKUP($C61,原料主数据!$A:$AL, 19, FALSE())</f>
        <v/>
      </c>
      <c r="T61" s="25">
        <f>$D61*VLOOKUP($C61,原料主数据!$A:$AL, 20, FALSE())</f>
        <v/>
      </c>
      <c r="U61" s="25">
        <f>$D61*VLOOKUP($C61,原料主数据!$A:$AL, 21, FALSE())</f>
        <v/>
      </c>
      <c r="V61" s="25">
        <f>$D61*VLOOKUP($C61,原料主数据!$A:$AL, 22, FALSE())</f>
        <v/>
      </c>
      <c r="W61" s="25">
        <f>$D61*VLOOKUP($C61,原料主数据!$A:$AL, 23, FALSE())</f>
        <v/>
      </c>
      <c r="X61" s="25">
        <f>$D61*VLOOKUP($C61,原料主数据!$A:$AL, 24, FALSE())</f>
        <v/>
      </c>
      <c r="Y61" s="25">
        <f>$D61*VLOOKUP($C61,原料主数据!$A:$AL, 25, FALSE())</f>
        <v/>
      </c>
      <c r="Z61" s="25">
        <f>$D61*VLOOKUP($C61,原料主数据!$A:$AL, 26, FALSE())</f>
        <v/>
      </c>
      <c r="AA61" s="25">
        <f>$D61*VLOOKUP($C61,原料主数据!$A:$AL, 27, FALSE())</f>
        <v/>
      </c>
      <c r="AB61" s="25">
        <f>$D61*VLOOKUP($C61,原料主数据!$A:$AL, 28, FALSE())</f>
        <v/>
      </c>
      <c r="AC61" s="25">
        <f>$D61*VLOOKUP($C61,原料主数据!$A:$AL, 29, FALSE())</f>
        <v/>
      </c>
      <c r="AD61" s="25">
        <f>$D61*VLOOKUP($C61,原料主数据!$A:$AL, 30, FALSE())</f>
        <v/>
      </c>
      <c r="AE61" s="25">
        <f>$D61*VLOOKUP($C61,原料主数据!$A:$AL, 31, FALSE())</f>
        <v/>
      </c>
      <c r="AF61" s="25">
        <f>$D61*VLOOKUP($C61,原料主数据!$A:$AL, 32, FALSE())</f>
        <v/>
      </c>
      <c r="AG61" s="25">
        <f>$D61*VLOOKUP($C61,原料主数据!$A:$AL, 33, FALSE())</f>
        <v/>
      </c>
      <c r="AH61" s="25">
        <f>$D61*VLOOKUP($C61,原料主数据!$A:$AL, 34, FALSE())</f>
        <v/>
      </c>
      <c r="AI61" s="25">
        <f>$D61*VLOOKUP($C61,原料主数据!$A:$AL, 35, FALSE())</f>
        <v/>
      </c>
      <c r="AJ61" s="25">
        <f>$D61*VLOOKUP($C61,原料主数据!$A:$AL, 36, FALSE())</f>
        <v/>
      </c>
      <c r="AK61" s="25">
        <f>$D61*VLOOKUP($C61,原料主数据!$A:$AL, 37, FALSE())</f>
        <v/>
      </c>
      <c r="AL61" s="25">
        <f>$D61*VLOOKUP($C61,原料主数据!$A:$AL, 38, FALSE())</f>
        <v/>
      </c>
    </row>
    <row r="62" ht="15" customHeight="1" s="15">
      <c r="A62" s="22" t="inlineStr">
        <is>
          <t>ORG-0002</t>
        </is>
      </c>
      <c r="B62" s="23" t="inlineStr">
        <is>
          <t>有机</t>
        </is>
      </c>
      <c r="C62" s="22" t="inlineStr">
        <is>
          <t>TM004</t>
        </is>
      </c>
      <c r="D62" s="22" t="n">
        <v>5.28</v>
      </c>
      <c r="E62" s="22">
        <f>VLOOKUP($C62,原料主数据!$A:$E,4,FALSE())</f>
        <v/>
      </c>
      <c r="F62" s="22">
        <f>VLOOKUP($C62,原料主数据!$A:$E,5,FALSE())</f>
        <v/>
      </c>
      <c r="G62" s="22">
        <f>$D62*VLOOKUP($C62,原料主数据!$A:$AL, 7, FALSE())</f>
        <v/>
      </c>
      <c r="H62" s="22">
        <f>$D62*VLOOKUP($C62,原料主数据!$A:$AL, 8, FALSE())</f>
        <v/>
      </c>
      <c r="I62" s="22">
        <f>$D62*VLOOKUP($C62,原料主数据!$A:$AL, 9, FALSE())</f>
        <v/>
      </c>
      <c r="J62" s="22">
        <f>$D62*VLOOKUP($C62,原料主数据!$A:$AL, 10, FALSE())</f>
        <v/>
      </c>
      <c r="K62" s="22">
        <f>$D62*VLOOKUP($C62,原料主数据!$A:$AL, 11, FALSE())</f>
        <v/>
      </c>
      <c r="L62" s="22">
        <f>$D62*VLOOKUP($C62,原料主数据!$A:$AL, 12, FALSE())</f>
        <v/>
      </c>
      <c r="M62" s="22">
        <f>$D62*VLOOKUP($C62,原料主数据!$A:$AL, 13, FALSE())</f>
        <v/>
      </c>
      <c r="N62" s="22">
        <f>$D62*VLOOKUP($C62,原料主数据!$A:$AL, 14, FALSE())</f>
        <v/>
      </c>
      <c r="O62" s="22">
        <f>$D62*VLOOKUP($C62,原料主数据!$A:$AL, 15, FALSE())</f>
        <v/>
      </c>
      <c r="P62" s="22">
        <f>$D62*VLOOKUP($C62,原料主数据!$A:$AL, 16, FALSE())</f>
        <v/>
      </c>
      <c r="Q62" s="22">
        <f>$D62*VLOOKUP($C62,原料主数据!$A:$AL, 17, FALSE())</f>
        <v/>
      </c>
      <c r="R62" s="22">
        <f>$D62*VLOOKUP($C62,原料主数据!$A:$AL, 18, FALSE())</f>
        <v/>
      </c>
      <c r="S62" s="22">
        <f>$D62*VLOOKUP($C62,原料主数据!$A:$AL, 19, FALSE())</f>
        <v/>
      </c>
      <c r="T62" s="22">
        <f>$D62*VLOOKUP($C62,原料主数据!$A:$AL, 20, FALSE())</f>
        <v/>
      </c>
      <c r="U62" s="22">
        <f>$D62*VLOOKUP($C62,原料主数据!$A:$AL, 21, FALSE())</f>
        <v/>
      </c>
      <c r="V62" s="22">
        <f>$D62*VLOOKUP($C62,原料主数据!$A:$AL, 22, FALSE())</f>
        <v/>
      </c>
      <c r="W62" s="22">
        <f>$D62*VLOOKUP($C62,原料主数据!$A:$AL, 23, FALSE())</f>
        <v/>
      </c>
      <c r="X62" s="22">
        <f>$D62*VLOOKUP($C62,原料主数据!$A:$AL, 24, FALSE())</f>
        <v/>
      </c>
      <c r="Y62" s="22">
        <f>$D62*VLOOKUP($C62,原料主数据!$A:$AL, 25, FALSE())</f>
        <v/>
      </c>
      <c r="Z62" s="22">
        <f>$D62*VLOOKUP($C62,原料主数据!$A:$AL, 26, FALSE())</f>
        <v/>
      </c>
      <c r="AA62" s="22">
        <f>$D62*VLOOKUP($C62,原料主数据!$A:$AL, 27, FALSE())</f>
        <v/>
      </c>
      <c r="AB62" s="22">
        <f>$D62*VLOOKUP($C62,原料主数据!$A:$AL, 28, FALSE())</f>
        <v/>
      </c>
      <c r="AC62" s="22">
        <f>$D62*VLOOKUP($C62,原料主数据!$A:$AL, 29, FALSE())</f>
        <v/>
      </c>
      <c r="AD62" s="22">
        <f>$D62*VLOOKUP($C62,原料主数据!$A:$AL, 30, FALSE())</f>
        <v/>
      </c>
      <c r="AE62" s="22">
        <f>$D62*VLOOKUP($C62,原料主数据!$A:$AL, 31, FALSE())</f>
        <v/>
      </c>
      <c r="AF62" s="22">
        <f>$D62*VLOOKUP($C62,原料主数据!$A:$AL, 32, FALSE())</f>
        <v/>
      </c>
      <c r="AG62" s="22">
        <f>$D62*VLOOKUP($C62,原料主数据!$A:$AL, 33, FALSE())</f>
        <v/>
      </c>
      <c r="AH62" s="22">
        <f>$D62*VLOOKUP($C62,原料主数据!$A:$AL, 34, FALSE())</f>
        <v/>
      </c>
      <c r="AI62" s="22">
        <f>$D62*VLOOKUP($C62,原料主数据!$A:$AL, 35, FALSE())</f>
        <v/>
      </c>
      <c r="AJ62" s="22">
        <f>$D62*VLOOKUP($C62,原料主数据!$A:$AL, 36, FALSE())</f>
        <v/>
      </c>
      <c r="AK62" s="22">
        <f>$D62*VLOOKUP($C62,原料主数据!$A:$AL, 37, FALSE())</f>
        <v/>
      </c>
      <c r="AL62" s="22">
        <f>$D62*VLOOKUP($C62,原料主数据!$A:$AL, 38, FALSE())</f>
        <v/>
      </c>
    </row>
    <row r="63" ht="15" customHeight="1" s="15">
      <c r="A63" s="25" t="inlineStr">
        <is>
          <t>ORG-0002</t>
        </is>
      </c>
      <c r="B63" s="26" t="inlineStr">
        <is>
          <t>有机</t>
        </is>
      </c>
      <c r="C63" s="25" t="inlineStr">
        <is>
          <t>AS400</t>
        </is>
      </c>
      <c r="D63" s="25" t="n">
        <v>7.368</v>
      </c>
      <c r="E63" s="25">
        <f>VLOOKUP($C63,原料主数据!$A:$E,4,FALSE())</f>
        <v/>
      </c>
      <c r="F63" s="25">
        <f>VLOOKUP($C63,原料主数据!$A:$E,5,FALSE())</f>
        <v/>
      </c>
      <c r="G63" s="25">
        <f>$D63*VLOOKUP($C63,原料主数据!$A:$AL, 7, FALSE())</f>
        <v/>
      </c>
      <c r="H63" s="25">
        <f>$D63*VLOOKUP($C63,原料主数据!$A:$AL, 8, FALSE())</f>
        <v/>
      </c>
      <c r="I63" s="25">
        <f>$D63*VLOOKUP($C63,原料主数据!$A:$AL, 9, FALSE())</f>
        <v/>
      </c>
      <c r="J63" s="25">
        <f>$D63*VLOOKUP($C63,原料主数据!$A:$AL, 10, FALSE())</f>
        <v/>
      </c>
      <c r="K63" s="25">
        <f>$D63*VLOOKUP($C63,原料主数据!$A:$AL, 11, FALSE())</f>
        <v/>
      </c>
      <c r="L63" s="25">
        <f>$D63*VLOOKUP($C63,原料主数据!$A:$AL, 12, FALSE())</f>
        <v/>
      </c>
      <c r="M63" s="25">
        <f>$D63*VLOOKUP($C63,原料主数据!$A:$AL, 13, FALSE())</f>
        <v/>
      </c>
      <c r="N63" s="25">
        <f>$D63*VLOOKUP($C63,原料主数据!$A:$AL, 14, FALSE())</f>
        <v/>
      </c>
      <c r="O63" s="25">
        <f>$D63*VLOOKUP($C63,原料主数据!$A:$AL, 15, FALSE())</f>
        <v/>
      </c>
      <c r="P63" s="25">
        <f>$D63*VLOOKUP($C63,原料主数据!$A:$AL, 16, FALSE())</f>
        <v/>
      </c>
      <c r="Q63" s="25">
        <f>$D63*VLOOKUP($C63,原料主数据!$A:$AL, 17, FALSE())</f>
        <v/>
      </c>
      <c r="R63" s="25">
        <f>$D63*VLOOKUP($C63,原料主数据!$A:$AL, 18, FALSE())</f>
        <v/>
      </c>
      <c r="S63" s="25">
        <f>$D63*VLOOKUP($C63,原料主数据!$A:$AL, 19, FALSE())</f>
        <v/>
      </c>
      <c r="T63" s="25">
        <f>$D63*VLOOKUP($C63,原料主数据!$A:$AL, 20, FALSE())</f>
        <v/>
      </c>
      <c r="U63" s="25">
        <f>$D63*VLOOKUP($C63,原料主数据!$A:$AL, 21, FALSE())</f>
        <v/>
      </c>
      <c r="V63" s="25">
        <f>$D63*VLOOKUP($C63,原料主数据!$A:$AL, 22, FALSE())</f>
        <v/>
      </c>
      <c r="W63" s="25">
        <f>$D63*VLOOKUP($C63,原料主数据!$A:$AL, 23, FALSE())</f>
        <v/>
      </c>
      <c r="X63" s="25">
        <f>$D63*VLOOKUP($C63,原料主数据!$A:$AL, 24, FALSE())</f>
        <v/>
      </c>
      <c r="Y63" s="25">
        <f>$D63*VLOOKUP($C63,原料主数据!$A:$AL, 25, FALSE())</f>
        <v/>
      </c>
      <c r="Z63" s="25">
        <f>$D63*VLOOKUP($C63,原料主数据!$A:$AL, 26, FALSE())</f>
        <v/>
      </c>
      <c r="AA63" s="25">
        <f>$D63*VLOOKUP($C63,原料主数据!$A:$AL, 27, FALSE())</f>
        <v/>
      </c>
      <c r="AB63" s="25">
        <f>$D63*VLOOKUP($C63,原料主数据!$A:$AL, 28, FALSE())</f>
        <v/>
      </c>
      <c r="AC63" s="25">
        <f>$D63*VLOOKUP($C63,原料主数据!$A:$AL, 29, FALSE())</f>
        <v/>
      </c>
      <c r="AD63" s="25">
        <f>$D63*VLOOKUP($C63,原料主数据!$A:$AL, 30, FALSE())</f>
        <v/>
      </c>
      <c r="AE63" s="25">
        <f>$D63*VLOOKUP($C63,原料主数据!$A:$AL, 31, FALSE())</f>
        <v/>
      </c>
      <c r="AF63" s="25">
        <f>$D63*VLOOKUP($C63,原料主数据!$A:$AL, 32, FALSE())</f>
        <v/>
      </c>
      <c r="AG63" s="25">
        <f>$D63*VLOOKUP($C63,原料主数据!$A:$AL, 33, FALSE())</f>
        <v/>
      </c>
      <c r="AH63" s="25">
        <f>$D63*VLOOKUP($C63,原料主数据!$A:$AL, 34, FALSE())</f>
        <v/>
      </c>
      <c r="AI63" s="25">
        <f>$D63*VLOOKUP($C63,原料主数据!$A:$AL, 35, FALSE())</f>
        <v/>
      </c>
      <c r="AJ63" s="25">
        <f>$D63*VLOOKUP($C63,原料主数据!$A:$AL, 36, FALSE())</f>
        <v/>
      </c>
      <c r="AK63" s="25">
        <f>$D63*VLOOKUP($C63,原料主数据!$A:$AL, 37, FALSE())</f>
        <v/>
      </c>
      <c r="AL63" s="25">
        <f>$D63*VLOOKUP($C63,原料主数据!$A:$AL, 38, FALSE())</f>
        <v/>
      </c>
    </row>
    <row r="64" ht="15" customHeight="1" s="15">
      <c r="A64" s="22" t="inlineStr">
        <is>
          <t>ORG-0002</t>
        </is>
      </c>
      <c r="B64" s="23" t="inlineStr">
        <is>
          <t>有机</t>
        </is>
      </c>
      <c r="C64" s="22" t="inlineStr">
        <is>
          <t>RX170-140</t>
        </is>
      </c>
      <c r="D64" s="22" t="n">
        <v>56.64</v>
      </c>
      <c r="E64" s="22">
        <f>VLOOKUP($C64,原料主数据!$A:$E,4,FALSE())</f>
        <v/>
      </c>
      <c r="F64" s="22">
        <f>VLOOKUP($C64,原料主数据!$A:$E,5,FALSE())</f>
        <v/>
      </c>
      <c r="G64" s="22">
        <f>$D64*VLOOKUP($C64,原料主数据!$A:$AL, 7, FALSE())</f>
        <v/>
      </c>
      <c r="H64" s="22">
        <f>$D64*VLOOKUP($C64,原料主数据!$A:$AL, 8, FALSE())</f>
        <v/>
      </c>
      <c r="I64" s="22">
        <f>$D64*VLOOKUP($C64,原料主数据!$A:$AL, 9, FALSE())</f>
        <v/>
      </c>
      <c r="J64" s="22">
        <f>$D64*VLOOKUP($C64,原料主数据!$A:$AL, 10, FALSE())</f>
        <v/>
      </c>
      <c r="K64" s="22">
        <f>$D64*VLOOKUP($C64,原料主数据!$A:$AL, 11, FALSE())</f>
        <v/>
      </c>
      <c r="L64" s="22">
        <f>$D64*VLOOKUP($C64,原料主数据!$A:$AL, 12, FALSE())</f>
        <v/>
      </c>
      <c r="M64" s="22">
        <f>$D64*VLOOKUP($C64,原料主数据!$A:$AL, 13, FALSE())</f>
        <v/>
      </c>
      <c r="N64" s="22">
        <f>$D64*VLOOKUP($C64,原料主数据!$A:$AL, 14, FALSE())</f>
        <v/>
      </c>
      <c r="O64" s="22">
        <f>$D64*VLOOKUP($C64,原料主数据!$A:$AL, 15, FALSE())</f>
        <v/>
      </c>
      <c r="P64" s="22">
        <f>$D64*VLOOKUP($C64,原料主数据!$A:$AL, 16, FALSE())</f>
        <v/>
      </c>
      <c r="Q64" s="22">
        <f>$D64*VLOOKUP($C64,原料主数据!$A:$AL, 17, FALSE())</f>
        <v/>
      </c>
      <c r="R64" s="22">
        <f>$D64*VLOOKUP($C64,原料主数据!$A:$AL, 18, FALSE())</f>
        <v/>
      </c>
      <c r="S64" s="22">
        <f>$D64*VLOOKUP($C64,原料主数据!$A:$AL, 19, FALSE())</f>
        <v/>
      </c>
      <c r="T64" s="22">
        <f>$D64*VLOOKUP($C64,原料主数据!$A:$AL, 20, FALSE())</f>
        <v/>
      </c>
      <c r="U64" s="22">
        <f>$D64*VLOOKUP($C64,原料主数据!$A:$AL, 21, FALSE())</f>
        <v/>
      </c>
      <c r="V64" s="22">
        <f>$D64*VLOOKUP($C64,原料主数据!$A:$AL, 22, FALSE())</f>
        <v/>
      </c>
      <c r="W64" s="22">
        <f>$D64*VLOOKUP($C64,原料主数据!$A:$AL, 23, FALSE())</f>
        <v/>
      </c>
      <c r="X64" s="22">
        <f>$D64*VLOOKUP($C64,原料主数据!$A:$AL, 24, FALSE())</f>
        <v/>
      </c>
      <c r="Y64" s="22">
        <f>$D64*VLOOKUP($C64,原料主数据!$A:$AL, 25, FALSE())</f>
        <v/>
      </c>
      <c r="Z64" s="22">
        <f>$D64*VLOOKUP($C64,原料主数据!$A:$AL, 26, FALSE())</f>
        <v/>
      </c>
      <c r="AA64" s="22">
        <f>$D64*VLOOKUP($C64,原料主数据!$A:$AL, 27, FALSE())</f>
        <v/>
      </c>
      <c r="AB64" s="22">
        <f>$D64*VLOOKUP($C64,原料主数据!$A:$AL, 28, FALSE())</f>
        <v/>
      </c>
      <c r="AC64" s="22">
        <f>$D64*VLOOKUP($C64,原料主数据!$A:$AL, 29, FALSE())</f>
        <v/>
      </c>
      <c r="AD64" s="22">
        <f>$D64*VLOOKUP($C64,原料主数据!$A:$AL, 30, FALSE())</f>
        <v/>
      </c>
      <c r="AE64" s="22">
        <f>$D64*VLOOKUP($C64,原料主数据!$A:$AL, 31, FALSE())</f>
        <v/>
      </c>
      <c r="AF64" s="22">
        <f>$D64*VLOOKUP($C64,原料主数据!$A:$AL, 32, FALSE())</f>
        <v/>
      </c>
      <c r="AG64" s="22">
        <f>$D64*VLOOKUP($C64,原料主数据!$A:$AL, 33, FALSE())</f>
        <v/>
      </c>
      <c r="AH64" s="22">
        <f>$D64*VLOOKUP($C64,原料主数据!$A:$AL, 34, FALSE())</f>
        <v/>
      </c>
      <c r="AI64" s="22">
        <f>$D64*VLOOKUP($C64,原料主数据!$A:$AL, 35, FALSE())</f>
        <v/>
      </c>
      <c r="AJ64" s="22">
        <f>$D64*VLOOKUP($C64,原料主数据!$A:$AL, 36, FALSE())</f>
        <v/>
      </c>
      <c r="AK64" s="22">
        <f>$D64*VLOOKUP($C64,原料主数据!$A:$AL, 37, FALSE())</f>
        <v/>
      </c>
      <c r="AL64" s="22">
        <f>$D64*VLOOKUP($C64,原料主数据!$A:$AL, 38, FALSE())</f>
        <v/>
      </c>
    </row>
    <row r="65" ht="15" customHeight="1" s="15">
      <c r="A65" s="25" t="inlineStr">
        <is>
          <t>ORG-0002</t>
        </is>
      </c>
      <c r="B65" s="26" t="inlineStr">
        <is>
          <t>有机</t>
        </is>
      </c>
      <c r="C65" s="25" t="inlineStr">
        <is>
          <t>40%50177</t>
        </is>
      </c>
      <c r="D65" s="25" t="n">
        <v>44.47</v>
      </c>
      <c r="E65" s="25">
        <f>VLOOKUP($C65,原料主数据!$A:$E,4,FALSE())</f>
        <v/>
      </c>
      <c r="F65" s="25">
        <f>VLOOKUP($C65,原料主数据!$A:$E,5,FALSE())</f>
        <v/>
      </c>
      <c r="G65" s="25">
        <f>$D65*VLOOKUP($C65,原料主数据!$A:$AL, 7, FALSE())</f>
        <v/>
      </c>
      <c r="H65" s="25">
        <f>$D65*VLOOKUP($C65,原料主数据!$A:$AL, 8, FALSE())</f>
        <v/>
      </c>
      <c r="I65" s="25">
        <f>$D65*VLOOKUP($C65,原料主数据!$A:$AL, 9, FALSE())</f>
        <v/>
      </c>
      <c r="J65" s="25">
        <f>$D65*VLOOKUP($C65,原料主数据!$A:$AL, 10, FALSE())</f>
        <v/>
      </c>
      <c r="K65" s="25">
        <f>$D65*VLOOKUP($C65,原料主数据!$A:$AL, 11, FALSE())</f>
        <v/>
      </c>
      <c r="L65" s="25">
        <f>$D65*VLOOKUP($C65,原料主数据!$A:$AL, 12, FALSE())</f>
        <v/>
      </c>
      <c r="M65" s="25">
        <f>$D65*VLOOKUP($C65,原料主数据!$A:$AL, 13, FALSE())</f>
        <v/>
      </c>
      <c r="N65" s="25">
        <f>$D65*VLOOKUP($C65,原料主数据!$A:$AL, 14, FALSE())</f>
        <v/>
      </c>
      <c r="O65" s="25">
        <f>$D65*VLOOKUP($C65,原料主数据!$A:$AL, 15, FALSE())</f>
        <v/>
      </c>
      <c r="P65" s="25">
        <f>$D65*VLOOKUP($C65,原料主数据!$A:$AL, 16, FALSE())</f>
        <v/>
      </c>
      <c r="Q65" s="25">
        <f>$D65*VLOOKUP($C65,原料主数据!$A:$AL, 17, FALSE())</f>
        <v/>
      </c>
      <c r="R65" s="25">
        <f>$D65*VLOOKUP($C65,原料主数据!$A:$AL, 18, FALSE())</f>
        <v/>
      </c>
      <c r="S65" s="25">
        <f>$D65*VLOOKUP($C65,原料主数据!$A:$AL, 19, FALSE())</f>
        <v/>
      </c>
      <c r="T65" s="25">
        <f>$D65*VLOOKUP($C65,原料主数据!$A:$AL, 20, FALSE())</f>
        <v/>
      </c>
      <c r="U65" s="25">
        <f>$D65*VLOOKUP($C65,原料主数据!$A:$AL, 21, FALSE())</f>
        <v/>
      </c>
      <c r="V65" s="25">
        <f>$D65*VLOOKUP($C65,原料主数据!$A:$AL, 22, FALSE())</f>
        <v/>
      </c>
      <c r="W65" s="25">
        <f>$D65*VLOOKUP($C65,原料主数据!$A:$AL, 23, FALSE())</f>
        <v/>
      </c>
      <c r="X65" s="25">
        <f>$D65*VLOOKUP($C65,原料主数据!$A:$AL, 24, FALSE())</f>
        <v/>
      </c>
      <c r="Y65" s="25">
        <f>$D65*VLOOKUP($C65,原料主数据!$A:$AL, 25, FALSE())</f>
        <v/>
      </c>
      <c r="Z65" s="25">
        <f>$D65*VLOOKUP($C65,原料主数据!$A:$AL, 26, FALSE())</f>
        <v/>
      </c>
      <c r="AA65" s="25">
        <f>$D65*VLOOKUP($C65,原料主数据!$A:$AL, 27, FALSE())</f>
        <v/>
      </c>
      <c r="AB65" s="25">
        <f>$D65*VLOOKUP($C65,原料主数据!$A:$AL, 28, FALSE())</f>
        <v/>
      </c>
      <c r="AC65" s="25">
        <f>$D65*VLOOKUP($C65,原料主数据!$A:$AL, 29, FALSE())</f>
        <v/>
      </c>
      <c r="AD65" s="25">
        <f>$D65*VLOOKUP($C65,原料主数据!$A:$AL, 30, FALSE())</f>
        <v/>
      </c>
      <c r="AE65" s="25">
        <f>$D65*VLOOKUP($C65,原料主数据!$A:$AL, 31, FALSE())</f>
        <v/>
      </c>
      <c r="AF65" s="25">
        <f>$D65*VLOOKUP($C65,原料主数据!$A:$AL, 32, FALSE())</f>
        <v/>
      </c>
      <c r="AG65" s="25">
        <f>$D65*VLOOKUP($C65,原料主数据!$A:$AL, 33, FALSE())</f>
        <v/>
      </c>
      <c r="AH65" s="25">
        <f>$D65*VLOOKUP($C65,原料主数据!$A:$AL, 34, FALSE())</f>
        <v/>
      </c>
      <c r="AI65" s="25">
        <f>$D65*VLOOKUP($C65,原料主数据!$A:$AL, 35, FALSE())</f>
        <v/>
      </c>
      <c r="AJ65" s="25">
        <f>$D65*VLOOKUP($C65,原料主数据!$A:$AL, 36, FALSE())</f>
        <v/>
      </c>
      <c r="AK65" s="25">
        <f>$D65*VLOOKUP($C65,原料主数据!$A:$AL, 37, FALSE())</f>
        <v/>
      </c>
      <c r="AL65" s="25">
        <f>$D65*VLOOKUP($C65,原料主数据!$A:$AL, 38, FALSE())</f>
        <v/>
      </c>
    </row>
    <row r="66" ht="15" customHeight="1" s="15">
      <c r="A66" s="22" t="inlineStr">
        <is>
          <t>ORG-0002</t>
        </is>
      </c>
      <c r="B66" s="23" t="inlineStr">
        <is>
          <t>有机</t>
        </is>
      </c>
      <c r="C66" s="22" t="inlineStr">
        <is>
          <t>IR877</t>
        </is>
      </c>
      <c r="D66" s="22" t="n">
        <v>37.01</v>
      </c>
      <c r="E66" s="22">
        <f>VLOOKUP($C66,原料主数据!$A:$E,4,FALSE())</f>
        <v/>
      </c>
      <c r="F66" s="22">
        <f>VLOOKUP($C66,原料主数据!$A:$E,5,FALSE())</f>
        <v/>
      </c>
      <c r="G66" s="22">
        <f>$D66*VLOOKUP($C66,原料主数据!$A:$AL, 7, FALSE())</f>
        <v/>
      </c>
      <c r="H66" s="22">
        <f>$D66*VLOOKUP($C66,原料主数据!$A:$AL, 8, FALSE())</f>
        <v/>
      </c>
      <c r="I66" s="22">
        <f>$D66*VLOOKUP($C66,原料主数据!$A:$AL, 9, FALSE())</f>
        <v/>
      </c>
      <c r="J66" s="22">
        <f>$D66*VLOOKUP($C66,原料主数据!$A:$AL, 10, FALSE())</f>
        <v/>
      </c>
      <c r="K66" s="22">
        <f>$D66*VLOOKUP($C66,原料主数据!$A:$AL, 11, FALSE())</f>
        <v/>
      </c>
      <c r="L66" s="22">
        <f>$D66*VLOOKUP($C66,原料主数据!$A:$AL, 12, FALSE())</f>
        <v/>
      </c>
      <c r="M66" s="22">
        <f>$D66*VLOOKUP($C66,原料主数据!$A:$AL, 13, FALSE())</f>
        <v/>
      </c>
      <c r="N66" s="22">
        <f>$D66*VLOOKUP($C66,原料主数据!$A:$AL, 14, FALSE())</f>
        <v/>
      </c>
      <c r="O66" s="22">
        <f>$D66*VLOOKUP($C66,原料主数据!$A:$AL, 15, FALSE())</f>
        <v/>
      </c>
      <c r="P66" s="22">
        <f>$D66*VLOOKUP($C66,原料主数据!$A:$AL, 16, FALSE())</f>
        <v/>
      </c>
      <c r="Q66" s="22">
        <f>$D66*VLOOKUP($C66,原料主数据!$A:$AL, 17, FALSE())</f>
        <v/>
      </c>
      <c r="R66" s="22">
        <f>$D66*VLOOKUP($C66,原料主数据!$A:$AL, 18, FALSE())</f>
        <v/>
      </c>
      <c r="S66" s="22">
        <f>$D66*VLOOKUP($C66,原料主数据!$A:$AL, 19, FALSE())</f>
        <v/>
      </c>
      <c r="T66" s="22">
        <f>$D66*VLOOKUP($C66,原料主数据!$A:$AL, 20, FALSE())</f>
        <v/>
      </c>
      <c r="U66" s="22">
        <f>$D66*VLOOKUP($C66,原料主数据!$A:$AL, 21, FALSE())</f>
        <v/>
      </c>
      <c r="V66" s="22">
        <f>$D66*VLOOKUP($C66,原料主数据!$A:$AL, 22, FALSE())</f>
        <v/>
      </c>
      <c r="W66" s="22">
        <f>$D66*VLOOKUP($C66,原料主数据!$A:$AL, 23, FALSE())</f>
        <v/>
      </c>
      <c r="X66" s="22">
        <f>$D66*VLOOKUP($C66,原料主数据!$A:$AL, 24, FALSE())</f>
        <v/>
      </c>
      <c r="Y66" s="22">
        <f>$D66*VLOOKUP($C66,原料主数据!$A:$AL, 25, FALSE())</f>
        <v/>
      </c>
      <c r="Z66" s="22">
        <f>$D66*VLOOKUP($C66,原料主数据!$A:$AL, 26, FALSE())</f>
        <v/>
      </c>
      <c r="AA66" s="22">
        <f>$D66*VLOOKUP($C66,原料主数据!$A:$AL, 27, FALSE())</f>
        <v/>
      </c>
      <c r="AB66" s="22">
        <f>$D66*VLOOKUP($C66,原料主数据!$A:$AL, 28, FALSE())</f>
        <v/>
      </c>
      <c r="AC66" s="22">
        <f>$D66*VLOOKUP($C66,原料主数据!$A:$AL, 29, FALSE())</f>
        <v/>
      </c>
      <c r="AD66" s="22">
        <f>$D66*VLOOKUP($C66,原料主数据!$A:$AL, 30, FALSE())</f>
        <v/>
      </c>
      <c r="AE66" s="22">
        <f>$D66*VLOOKUP($C66,原料主数据!$A:$AL, 31, FALSE())</f>
        <v/>
      </c>
      <c r="AF66" s="22">
        <f>$D66*VLOOKUP($C66,原料主数据!$A:$AL, 32, FALSE())</f>
        <v/>
      </c>
      <c r="AG66" s="22">
        <f>$D66*VLOOKUP($C66,原料主数据!$A:$AL, 33, FALSE())</f>
        <v/>
      </c>
      <c r="AH66" s="22">
        <f>$D66*VLOOKUP($C66,原料主数据!$A:$AL, 34, FALSE())</f>
        <v/>
      </c>
      <c r="AI66" s="22">
        <f>$D66*VLOOKUP($C66,原料主数据!$A:$AL, 35, FALSE())</f>
        <v/>
      </c>
      <c r="AJ66" s="22">
        <f>$D66*VLOOKUP($C66,原料主数据!$A:$AL, 36, FALSE())</f>
        <v/>
      </c>
      <c r="AK66" s="22">
        <f>$D66*VLOOKUP($C66,原料主数据!$A:$AL, 37, FALSE())</f>
        <v/>
      </c>
      <c r="AL66" s="22">
        <f>$D66*VLOOKUP($C66,原料主数据!$A:$AL, 38, FALSE())</f>
        <v/>
      </c>
    </row>
    <row r="67" ht="15" customHeight="1" s="15">
      <c r="A67" s="25" t="inlineStr">
        <is>
          <t>ORG-0003</t>
        </is>
      </c>
      <c r="B67" s="26" t="inlineStr">
        <is>
          <t>有机</t>
        </is>
      </c>
      <c r="C67" s="25" t="inlineStr">
        <is>
          <t>TF100</t>
        </is>
      </c>
      <c r="D67" s="25" t="n">
        <v>29.48</v>
      </c>
      <c r="E67" s="25">
        <f>VLOOKUP($C67,原料主数据!$A:$E,4,FALSE())</f>
        <v/>
      </c>
      <c r="F67" s="25">
        <f>VLOOKUP($C67,原料主数据!$A:$E,5,FALSE())</f>
        <v/>
      </c>
      <c r="G67" s="25">
        <f>$D67*VLOOKUP($C67,原料主数据!$A:$AL, 7, FALSE())</f>
        <v/>
      </c>
      <c r="H67" s="25">
        <f>$D67*VLOOKUP($C67,原料主数据!$A:$AL, 8, FALSE())</f>
        <v/>
      </c>
      <c r="I67" s="25">
        <f>$D67*VLOOKUP($C67,原料主数据!$A:$AL, 9, FALSE())</f>
        <v/>
      </c>
      <c r="J67" s="25">
        <f>$D67*VLOOKUP($C67,原料主数据!$A:$AL, 10, FALSE())</f>
        <v/>
      </c>
      <c r="K67" s="25">
        <f>$D67*VLOOKUP($C67,原料主数据!$A:$AL, 11, FALSE())</f>
        <v/>
      </c>
      <c r="L67" s="25">
        <f>$D67*VLOOKUP($C67,原料主数据!$A:$AL, 12, FALSE())</f>
        <v/>
      </c>
      <c r="M67" s="25">
        <f>$D67*VLOOKUP($C67,原料主数据!$A:$AL, 13, FALSE())</f>
        <v/>
      </c>
      <c r="N67" s="25">
        <f>$D67*VLOOKUP($C67,原料主数据!$A:$AL, 14, FALSE())</f>
        <v/>
      </c>
      <c r="O67" s="25">
        <f>$D67*VLOOKUP($C67,原料主数据!$A:$AL, 15, FALSE())</f>
        <v/>
      </c>
      <c r="P67" s="25">
        <f>$D67*VLOOKUP($C67,原料主数据!$A:$AL, 16, FALSE())</f>
        <v/>
      </c>
      <c r="Q67" s="25">
        <f>$D67*VLOOKUP($C67,原料主数据!$A:$AL, 17, FALSE())</f>
        <v/>
      </c>
      <c r="R67" s="25">
        <f>$D67*VLOOKUP($C67,原料主数据!$A:$AL, 18, FALSE())</f>
        <v/>
      </c>
      <c r="S67" s="25">
        <f>$D67*VLOOKUP($C67,原料主数据!$A:$AL, 19, FALSE())</f>
        <v/>
      </c>
      <c r="T67" s="25">
        <f>$D67*VLOOKUP($C67,原料主数据!$A:$AL, 20, FALSE())</f>
        <v/>
      </c>
      <c r="U67" s="25">
        <f>$D67*VLOOKUP($C67,原料主数据!$A:$AL, 21, FALSE())</f>
        <v/>
      </c>
      <c r="V67" s="25">
        <f>$D67*VLOOKUP($C67,原料主数据!$A:$AL, 22, FALSE())</f>
        <v/>
      </c>
      <c r="W67" s="25">
        <f>$D67*VLOOKUP($C67,原料主数据!$A:$AL, 23, FALSE())</f>
        <v/>
      </c>
      <c r="X67" s="25">
        <f>$D67*VLOOKUP($C67,原料主数据!$A:$AL, 24, FALSE())</f>
        <v/>
      </c>
      <c r="Y67" s="25">
        <f>$D67*VLOOKUP($C67,原料主数据!$A:$AL, 25, FALSE())</f>
        <v/>
      </c>
      <c r="Z67" s="25">
        <f>$D67*VLOOKUP($C67,原料主数据!$A:$AL, 26, FALSE())</f>
        <v/>
      </c>
      <c r="AA67" s="25">
        <f>$D67*VLOOKUP($C67,原料主数据!$A:$AL, 27, FALSE())</f>
        <v/>
      </c>
      <c r="AB67" s="25">
        <f>$D67*VLOOKUP($C67,原料主数据!$A:$AL, 28, FALSE())</f>
        <v/>
      </c>
      <c r="AC67" s="25">
        <f>$D67*VLOOKUP($C67,原料主数据!$A:$AL, 29, FALSE())</f>
        <v/>
      </c>
      <c r="AD67" s="25">
        <f>$D67*VLOOKUP($C67,原料主数据!$A:$AL, 30, FALSE())</f>
        <v/>
      </c>
      <c r="AE67" s="25">
        <f>$D67*VLOOKUP($C67,原料主数据!$A:$AL, 31, FALSE())</f>
        <v/>
      </c>
      <c r="AF67" s="25">
        <f>$D67*VLOOKUP($C67,原料主数据!$A:$AL, 32, FALSE())</f>
        <v/>
      </c>
      <c r="AG67" s="25">
        <f>$D67*VLOOKUP($C67,原料主数据!$A:$AL, 33, FALSE())</f>
        <v/>
      </c>
      <c r="AH67" s="25">
        <f>$D67*VLOOKUP($C67,原料主数据!$A:$AL, 34, FALSE())</f>
        <v/>
      </c>
      <c r="AI67" s="25">
        <f>$D67*VLOOKUP($C67,原料主数据!$A:$AL, 35, FALSE())</f>
        <v/>
      </c>
      <c r="AJ67" s="25">
        <f>$D67*VLOOKUP($C67,原料主数据!$A:$AL, 36, FALSE())</f>
        <v/>
      </c>
      <c r="AK67" s="25">
        <f>$D67*VLOOKUP($C67,原料主数据!$A:$AL, 37, FALSE())</f>
        <v/>
      </c>
      <c r="AL67" s="25">
        <f>$D67*VLOOKUP($C67,原料主数据!$A:$AL, 38, FALSE())</f>
        <v/>
      </c>
    </row>
    <row r="68" ht="15" customHeight="1" s="15">
      <c r="A68" s="22" t="inlineStr">
        <is>
          <t>ORG-0003</t>
        </is>
      </c>
      <c r="B68" s="23" t="inlineStr">
        <is>
          <t>有机</t>
        </is>
      </c>
      <c r="C68" s="22" t="inlineStr">
        <is>
          <t>TM004</t>
        </is>
      </c>
      <c r="D68" s="22" t="n">
        <v>8.119999999999999</v>
      </c>
      <c r="E68" s="22">
        <f>VLOOKUP($C68,原料主数据!$A:$E,4,FALSE())</f>
        <v/>
      </c>
      <c r="F68" s="22">
        <f>VLOOKUP($C68,原料主数据!$A:$E,5,FALSE())</f>
        <v/>
      </c>
      <c r="G68" s="22">
        <f>$D68*VLOOKUP($C68,原料主数据!$A:$AL, 7, FALSE())</f>
        <v/>
      </c>
      <c r="H68" s="22">
        <f>$D68*VLOOKUP($C68,原料主数据!$A:$AL, 8, FALSE())</f>
        <v/>
      </c>
      <c r="I68" s="22">
        <f>$D68*VLOOKUP($C68,原料主数据!$A:$AL, 9, FALSE())</f>
        <v/>
      </c>
      <c r="J68" s="22">
        <f>$D68*VLOOKUP($C68,原料主数据!$A:$AL, 10, FALSE())</f>
        <v/>
      </c>
      <c r="K68" s="22">
        <f>$D68*VLOOKUP($C68,原料主数据!$A:$AL, 11, FALSE())</f>
        <v/>
      </c>
      <c r="L68" s="22">
        <f>$D68*VLOOKUP($C68,原料主数据!$A:$AL, 12, FALSE())</f>
        <v/>
      </c>
      <c r="M68" s="22">
        <f>$D68*VLOOKUP($C68,原料主数据!$A:$AL, 13, FALSE())</f>
        <v/>
      </c>
      <c r="N68" s="22">
        <f>$D68*VLOOKUP($C68,原料主数据!$A:$AL, 14, FALSE())</f>
        <v/>
      </c>
      <c r="O68" s="22">
        <f>$D68*VLOOKUP($C68,原料主数据!$A:$AL, 15, FALSE())</f>
        <v/>
      </c>
      <c r="P68" s="22">
        <f>$D68*VLOOKUP($C68,原料主数据!$A:$AL, 16, FALSE())</f>
        <v/>
      </c>
      <c r="Q68" s="22">
        <f>$D68*VLOOKUP($C68,原料主数据!$A:$AL, 17, FALSE())</f>
        <v/>
      </c>
      <c r="R68" s="22">
        <f>$D68*VLOOKUP($C68,原料主数据!$A:$AL, 18, FALSE())</f>
        <v/>
      </c>
      <c r="S68" s="22">
        <f>$D68*VLOOKUP($C68,原料主数据!$A:$AL, 19, FALSE())</f>
        <v/>
      </c>
      <c r="T68" s="22">
        <f>$D68*VLOOKUP($C68,原料主数据!$A:$AL, 20, FALSE())</f>
        <v/>
      </c>
      <c r="U68" s="22">
        <f>$D68*VLOOKUP($C68,原料主数据!$A:$AL, 21, FALSE())</f>
        <v/>
      </c>
      <c r="V68" s="22">
        <f>$D68*VLOOKUP($C68,原料主数据!$A:$AL, 22, FALSE())</f>
        <v/>
      </c>
      <c r="W68" s="22">
        <f>$D68*VLOOKUP($C68,原料主数据!$A:$AL, 23, FALSE())</f>
        <v/>
      </c>
      <c r="X68" s="22">
        <f>$D68*VLOOKUP($C68,原料主数据!$A:$AL, 24, FALSE())</f>
        <v/>
      </c>
      <c r="Y68" s="22">
        <f>$D68*VLOOKUP($C68,原料主数据!$A:$AL, 25, FALSE())</f>
        <v/>
      </c>
      <c r="Z68" s="22">
        <f>$D68*VLOOKUP($C68,原料主数据!$A:$AL, 26, FALSE())</f>
        <v/>
      </c>
      <c r="AA68" s="22">
        <f>$D68*VLOOKUP($C68,原料主数据!$A:$AL, 27, FALSE())</f>
        <v/>
      </c>
      <c r="AB68" s="22">
        <f>$D68*VLOOKUP($C68,原料主数据!$A:$AL, 28, FALSE())</f>
        <v/>
      </c>
      <c r="AC68" s="22">
        <f>$D68*VLOOKUP($C68,原料主数据!$A:$AL, 29, FALSE())</f>
        <v/>
      </c>
      <c r="AD68" s="22">
        <f>$D68*VLOOKUP($C68,原料主数据!$A:$AL, 30, FALSE())</f>
        <v/>
      </c>
      <c r="AE68" s="22">
        <f>$D68*VLOOKUP($C68,原料主数据!$A:$AL, 31, FALSE())</f>
        <v/>
      </c>
      <c r="AF68" s="22">
        <f>$D68*VLOOKUP($C68,原料主数据!$A:$AL, 32, FALSE())</f>
        <v/>
      </c>
      <c r="AG68" s="22">
        <f>$D68*VLOOKUP($C68,原料主数据!$A:$AL, 33, FALSE())</f>
        <v/>
      </c>
      <c r="AH68" s="22">
        <f>$D68*VLOOKUP($C68,原料主数据!$A:$AL, 34, FALSE())</f>
        <v/>
      </c>
      <c r="AI68" s="22">
        <f>$D68*VLOOKUP($C68,原料主数据!$A:$AL, 35, FALSE())</f>
        <v/>
      </c>
      <c r="AJ68" s="22">
        <f>$D68*VLOOKUP($C68,原料主数据!$A:$AL, 36, FALSE())</f>
        <v/>
      </c>
      <c r="AK68" s="22">
        <f>$D68*VLOOKUP($C68,原料主数据!$A:$AL, 37, FALSE())</f>
        <v/>
      </c>
      <c r="AL68" s="22">
        <f>$D68*VLOOKUP($C68,原料主数据!$A:$AL, 38, FALSE())</f>
        <v/>
      </c>
    </row>
    <row r="69" ht="15" customHeight="1" s="15">
      <c r="A69" s="25" t="inlineStr">
        <is>
          <t>ORG-0003</t>
        </is>
      </c>
      <c r="B69" s="26" t="inlineStr">
        <is>
          <t>有机</t>
        </is>
      </c>
      <c r="C69" s="25" t="inlineStr">
        <is>
          <t>AS400</t>
        </is>
      </c>
      <c r="D69" s="25" t="n">
        <v>5.66</v>
      </c>
      <c r="E69" s="25">
        <f>VLOOKUP($C69,原料主数据!$A:$E,4,FALSE())</f>
        <v/>
      </c>
      <c r="F69" s="25">
        <f>VLOOKUP($C69,原料主数据!$A:$E,5,FALSE())</f>
        <v/>
      </c>
      <c r="G69" s="25">
        <f>$D69*VLOOKUP($C69,原料主数据!$A:$AL, 7, FALSE())</f>
        <v/>
      </c>
      <c r="H69" s="25">
        <f>$D69*VLOOKUP($C69,原料主数据!$A:$AL, 8, FALSE())</f>
        <v/>
      </c>
      <c r="I69" s="25">
        <f>$D69*VLOOKUP($C69,原料主数据!$A:$AL, 9, FALSE())</f>
        <v/>
      </c>
      <c r="J69" s="25">
        <f>$D69*VLOOKUP($C69,原料主数据!$A:$AL, 10, FALSE())</f>
        <v/>
      </c>
      <c r="K69" s="25">
        <f>$D69*VLOOKUP($C69,原料主数据!$A:$AL, 11, FALSE())</f>
        <v/>
      </c>
      <c r="L69" s="25">
        <f>$D69*VLOOKUP($C69,原料主数据!$A:$AL, 12, FALSE())</f>
        <v/>
      </c>
      <c r="M69" s="25">
        <f>$D69*VLOOKUP($C69,原料主数据!$A:$AL, 13, FALSE())</f>
        <v/>
      </c>
      <c r="N69" s="25">
        <f>$D69*VLOOKUP($C69,原料主数据!$A:$AL, 14, FALSE())</f>
        <v/>
      </c>
      <c r="O69" s="25">
        <f>$D69*VLOOKUP($C69,原料主数据!$A:$AL, 15, FALSE())</f>
        <v/>
      </c>
      <c r="P69" s="25">
        <f>$D69*VLOOKUP($C69,原料主数据!$A:$AL, 16, FALSE())</f>
        <v/>
      </c>
      <c r="Q69" s="25">
        <f>$D69*VLOOKUP($C69,原料主数据!$A:$AL, 17, FALSE())</f>
        <v/>
      </c>
      <c r="R69" s="25">
        <f>$D69*VLOOKUP($C69,原料主数据!$A:$AL, 18, FALSE())</f>
        <v/>
      </c>
      <c r="S69" s="25">
        <f>$D69*VLOOKUP($C69,原料主数据!$A:$AL, 19, FALSE())</f>
        <v/>
      </c>
      <c r="T69" s="25">
        <f>$D69*VLOOKUP($C69,原料主数据!$A:$AL, 20, FALSE())</f>
        <v/>
      </c>
      <c r="U69" s="25">
        <f>$D69*VLOOKUP($C69,原料主数据!$A:$AL, 21, FALSE())</f>
        <v/>
      </c>
      <c r="V69" s="25">
        <f>$D69*VLOOKUP($C69,原料主数据!$A:$AL, 22, FALSE())</f>
        <v/>
      </c>
      <c r="W69" s="25">
        <f>$D69*VLOOKUP($C69,原料主数据!$A:$AL, 23, FALSE())</f>
        <v/>
      </c>
      <c r="X69" s="25">
        <f>$D69*VLOOKUP($C69,原料主数据!$A:$AL, 24, FALSE())</f>
        <v/>
      </c>
      <c r="Y69" s="25">
        <f>$D69*VLOOKUP($C69,原料主数据!$A:$AL, 25, FALSE())</f>
        <v/>
      </c>
      <c r="Z69" s="25">
        <f>$D69*VLOOKUP($C69,原料主数据!$A:$AL, 26, FALSE())</f>
        <v/>
      </c>
      <c r="AA69" s="25">
        <f>$D69*VLOOKUP($C69,原料主数据!$A:$AL, 27, FALSE())</f>
        <v/>
      </c>
      <c r="AB69" s="25">
        <f>$D69*VLOOKUP($C69,原料主数据!$A:$AL, 28, FALSE())</f>
        <v/>
      </c>
      <c r="AC69" s="25">
        <f>$D69*VLOOKUP($C69,原料主数据!$A:$AL, 29, FALSE())</f>
        <v/>
      </c>
      <c r="AD69" s="25">
        <f>$D69*VLOOKUP($C69,原料主数据!$A:$AL, 30, FALSE())</f>
        <v/>
      </c>
      <c r="AE69" s="25">
        <f>$D69*VLOOKUP($C69,原料主数据!$A:$AL, 31, FALSE())</f>
        <v/>
      </c>
      <c r="AF69" s="25">
        <f>$D69*VLOOKUP($C69,原料主数据!$A:$AL, 32, FALSE())</f>
        <v/>
      </c>
      <c r="AG69" s="25">
        <f>$D69*VLOOKUP($C69,原料主数据!$A:$AL, 33, FALSE())</f>
        <v/>
      </c>
      <c r="AH69" s="25">
        <f>$D69*VLOOKUP($C69,原料主数据!$A:$AL, 34, FALSE())</f>
        <v/>
      </c>
      <c r="AI69" s="25">
        <f>$D69*VLOOKUP($C69,原料主数据!$A:$AL, 35, FALSE())</f>
        <v/>
      </c>
      <c r="AJ69" s="25">
        <f>$D69*VLOOKUP($C69,原料主数据!$A:$AL, 36, FALSE())</f>
        <v/>
      </c>
      <c r="AK69" s="25">
        <f>$D69*VLOOKUP($C69,原料主数据!$A:$AL, 37, FALSE())</f>
        <v/>
      </c>
      <c r="AL69" s="25">
        <f>$D69*VLOOKUP($C69,原料主数据!$A:$AL, 38, FALSE())</f>
        <v/>
      </c>
    </row>
    <row r="70" ht="15" customHeight="1" s="15">
      <c r="A70" s="22" t="inlineStr">
        <is>
          <t>ORG-0003</t>
        </is>
      </c>
      <c r="B70" s="23" t="inlineStr">
        <is>
          <t>有机</t>
        </is>
      </c>
      <c r="C70" s="22" t="inlineStr">
        <is>
          <t>RX170-140</t>
        </is>
      </c>
      <c r="D70" s="22" t="n">
        <v>56.64</v>
      </c>
      <c r="E70" s="22">
        <f>VLOOKUP($C70,原料主数据!$A:$E,4,FALSE())</f>
        <v/>
      </c>
      <c r="F70" s="22">
        <f>VLOOKUP($C70,原料主数据!$A:$E,5,FALSE())</f>
        <v/>
      </c>
      <c r="G70" s="22">
        <f>$D70*VLOOKUP($C70,原料主数据!$A:$AL, 7, FALSE())</f>
        <v/>
      </c>
      <c r="H70" s="22">
        <f>$D70*VLOOKUP($C70,原料主数据!$A:$AL, 8, FALSE())</f>
        <v/>
      </c>
      <c r="I70" s="22">
        <f>$D70*VLOOKUP($C70,原料主数据!$A:$AL, 9, FALSE())</f>
        <v/>
      </c>
      <c r="J70" s="22">
        <f>$D70*VLOOKUP($C70,原料主数据!$A:$AL, 10, FALSE())</f>
        <v/>
      </c>
      <c r="K70" s="22">
        <f>$D70*VLOOKUP($C70,原料主数据!$A:$AL, 11, FALSE())</f>
        <v/>
      </c>
      <c r="L70" s="22">
        <f>$D70*VLOOKUP($C70,原料主数据!$A:$AL, 12, FALSE())</f>
        <v/>
      </c>
      <c r="M70" s="22">
        <f>$D70*VLOOKUP($C70,原料主数据!$A:$AL, 13, FALSE())</f>
        <v/>
      </c>
      <c r="N70" s="22">
        <f>$D70*VLOOKUP($C70,原料主数据!$A:$AL, 14, FALSE())</f>
        <v/>
      </c>
      <c r="O70" s="22">
        <f>$D70*VLOOKUP($C70,原料主数据!$A:$AL, 15, FALSE())</f>
        <v/>
      </c>
      <c r="P70" s="22">
        <f>$D70*VLOOKUP($C70,原料主数据!$A:$AL, 16, FALSE())</f>
        <v/>
      </c>
      <c r="Q70" s="22">
        <f>$D70*VLOOKUP($C70,原料主数据!$A:$AL, 17, FALSE())</f>
        <v/>
      </c>
      <c r="R70" s="22">
        <f>$D70*VLOOKUP($C70,原料主数据!$A:$AL, 18, FALSE())</f>
        <v/>
      </c>
      <c r="S70" s="22">
        <f>$D70*VLOOKUP($C70,原料主数据!$A:$AL, 19, FALSE())</f>
        <v/>
      </c>
      <c r="T70" s="22">
        <f>$D70*VLOOKUP($C70,原料主数据!$A:$AL, 20, FALSE())</f>
        <v/>
      </c>
      <c r="U70" s="22">
        <f>$D70*VLOOKUP($C70,原料主数据!$A:$AL, 21, FALSE())</f>
        <v/>
      </c>
      <c r="V70" s="22">
        <f>$D70*VLOOKUP($C70,原料主数据!$A:$AL, 22, FALSE())</f>
        <v/>
      </c>
      <c r="W70" s="22">
        <f>$D70*VLOOKUP($C70,原料主数据!$A:$AL, 23, FALSE())</f>
        <v/>
      </c>
      <c r="X70" s="22">
        <f>$D70*VLOOKUP($C70,原料主数据!$A:$AL, 24, FALSE())</f>
        <v/>
      </c>
      <c r="Y70" s="22">
        <f>$D70*VLOOKUP($C70,原料主数据!$A:$AL, 25, FALSE())</f>
        <v/>
      </c>
      <c r="Z70" s="22">
        <f>$D70*VLOOKUP($C70,原料主数据!$A:$AL, 26, FALSE())</f>
        <v/>
      </c>
      <c r="AA70" s="22">
        <f>$D70*VLOOKUP($C70,原料主数据!$A:$AL, 27, FALSE())</f>
        <v/>
      </c>
      <c r="AB70" s="22">
        <f>$D70*VLOOKUP($C70,原料主数据!$A:$AL, 28, FALSE())</f>
        <v/>
      </c>
      <c r="AC70" s="22">
        <f>$D70*VLOOKUP($C70,原料主数据!$A:$AL, 29, FALSE())</f>
        <v/>
      </c>
      <c r="AD70" s="22">
        <f>$D70*VLOOKUP($C70,原料主数据!$A:$AL, 30, FALSE())</f>
        <v/>
      </c>
      <c r="AE70" s="22">
        <f>$D70*VLOOKUP($C70,原料主数据!$A:$AL, 31, FALSE())</f>
        <v/>
      </c>
      <c r="AF70" s="22">
        <f>$D70*VLOOKUP($C70,原料主数据!$A:$AL, 32, FALSE())</f>
        <v/>
      </c>
      <c r="AG70" s="22">
        <f>$D70*VLOOKUP($C70,原料主数据!$A:$AL, 33, FALSE())</f>
        <v/>
      </c>
      <c r="AH70" s="22">
        <f>$D70*VLOOKUP($C70,原料主数据!$A:$AL, 34, FALSE())</f>
        <v/>
      </c>
      <c r="AI70" s="22">
        <f>$D70*VLOOKUP($C70,原料主数据!$A:$AL, 35, FALSE())</f>
        <v/>
      </c>
      <c r="AJ70" s="22">
        <f>$D70*VLOOKUP($C70,原料主数据!$A:$AL, 36, FALSE())</f>
        <v/>
      </c>
      <c r="AK70" s="22">
        <f>$D70*VLOOKUP($C70,原料主数据!$A:$AL, 37, FALSE())</f>
        <v/>
      </c>
      <c r="AL70" s="22">
        <f>$D70*VLOOKUP($C70,原料主数据!$A:$AL, 38, FALSE())</f>
        <v/>
      </c>
    </row>
    <row r="71" ht="15" customHeight="1" s="15">
      <c r="A71" s="25" t="inlineStr">
        <is>
          <t>ORG-0003</t>
        </is>
      </c>
      <c r="B71" s="26" t="inlineStr">
        <is>
          <t>有机</t>
        </is>
      </c>
      <c r="C71" s="25" t="inlineStr">
        <is>
          <t>40%50177</t>
        </is>
      </c>
      <c r="D71" s="25" t="n">
        <v>44.47</v>
      </c>
      <c r="E71" s="25">
        <f>VLOOKUP($C71,原料主数据!$A:$E,4,FALSE())</f>
        <v/>
      </c>
      <c r="F71" s="25">
        <f>VLOOKUP($C71,原料主数据!$A:$E,5,FALSE())</f>
        <v/>
      </c>
      <c r="G71" s="25">
        <f>$D71*VLOOKUP($C71,原料主数据!$A:$AL, 7, FALSE())</f>
        <v/>
      </c>
      <c r="H71" s="25">
        <f>$D71*VLOOKUP($C71,原料主数据!$A:$AL, 8, FALSE())</f>
        <v/>
      </c>
      <c r="I71" s="25">
        <f>$D71*VLOOKUP($C71,原料主数据!$A:$AL, 9, FALSE())</f>
        <v/>
      </c>
      <c r="J71" s="25">
        <f>$D71*VLOOKUP($C71,原料主数据!$A:$AL, 10, FALSE())</f>
        <v/>
      </c>
      <c r="K71" s="25">
        <f>$D71*VLOOKUP($C71,原料主数据!$A:$AL, 11, FALSE())</f>
        <v/>
      </c>
      <c r="L71" s="25">
        <f>$D71*VLOOKUP($C71,原料主数据!$A:$AL, 12, FALSE())</f>
        <v/>
      </c>
      <c r="M71" s="25">
        <f>$D71*VLOOKUP($C71,原料主数据!$A:$AL, 13, FALSE())</f>
        <v/>
      </c>
      <c r="N71" s="25">
        <f>$D71*VLOOKUP($C71,原料主数据!$A:$AL, 14, FALSE())</f>
        <v/>
      </c>
      <c r="O71" s="25">
        <f>$D71*VLOOKUP($C71,原料主数据!$A:$AL, 15, FALSE())</f>
        <v/>
      </c>
      <c r="P71" s="25">
        <f>$D71*VLOOKUP($C71,原料主数据!$A:$AL, 16, FALSE())</f>
        <v/>
      </c>
      <c r="Q71" s="25">
        <f>$D71*VLOOKUP($C71,原料主数据!$A:$AL, 17, FALSE())</f>
        <v/>
      </c>
      <c r="R71" s="25">
        <f>$D71*VLOOKUP($C71,原料主数据!$A:$AL, 18, FALSE())</f>
        <v/>
      </c>
      <c r="S71" s="25">
        <f>$D71*VLOOKUP($C71,原料主数据!$A:$AL, 19, FALSE())</f>
        <v/>
      </c>
      <c r="T71" s="25">
        <f>$D71*VLOOKUP($C71,原料主数据!$A:$AL, 20, FALSE())</f>
        <v/>
      </c>
      <c r="U71" s="25">
        <f>$D71*VLOOKUP($C71,原料主数据!$A:$AL, 21, FALSE())</f>
        <v/>
      </c>
      <c r="V71" s="25">
        <f>$D71*VLOOKUP($C71,原料主数据!$A:$AL, 22, FALSE())</f>
        <v/>
      </c>
      <c r="W71" s="25">
        <f>$D71*VLOOKUP($C71,原料主数据!$A:$AL, 23, FALSE())</f>
        <v/>
      </c>
      <c r="X71" s="25">
        <f>$D71*VLOOKUP($C71,原料主数据!$A:$AL, 24, FALSE())</f>
        <v/>
      </c>
      <c r="Y71" s="25">
        <f>$D71*VLOOKUP($C71,原料主数据!$A:$AL, 25, FALSE())</f>
        <v/>
      </c>
      <c r="Z71" s="25">
        <f>$D71*VLOOKUP($C71,原料主数据!$A:$AL, 26, FALSE())</f>
        <v/>
      </c>
      <c r="AA71" s="25">
        <f>$D71*VLOOKUP($C71,原料主数据!$A:$AL, 27, FALSE())</f>
        <v/>
      </c>
      <c r="AB71" s="25">
        <f>$D71*VLOOKUP($C71,原料主数据!$A:$AL, 28, FALSE())</f>
        <v/>
      </c>
      <c r="AC71" s="25">
        <f>$D71*VLOOKUP($C71,原料主数据!$A:$AL, 29, FALSE())</f>
        <v/>
      </c>
      <c r="AD71" s="25">
        <f>$D71*VLOOKUP($C71,原料主数据!$A:$AL, 30, FALSE())</f>
        <v/>
      </c>
      <c r="AE71" s="25">
        <f>$D71*VLOOKUP($C71,原料主数据!$A:$AL, 31, FALSE())</f>
        <v/>
      </c>
      <c r="AF71" s="25">
        <f>$D71*VLOOKUP($C71,原料主数据!$A:$AL, 32, FALSE())</f>
        <v/>
      </c>
      <c r="AG71" s="25">
        <f>$D71*VLOOKUP($C71,原料主数据!$A:$AL, 33, FALSE())</f>
        <v/>
      </c>
      <c r="AH71" s="25">
        <f>$D71*VLOOKUP($C71,原料主数据!$A:$AL, 34, FALSE())</f>
        <v/>
      </c>
      <c r="AI71" s="25">
        <f>$D71*VLOOKUP($C71,原料主数据!$A:$AL, 35, FALSE())</f>
        <v/>
      </c>
      <c r="AJ71" s="25">
        <f>$D71*VLOOKUP($C71,原料主数据!$A:$AL, 36, FALSE())</f>
        <v/>
      </c>
      <c r="AK71" s="25">
        <f>$D71*VLOOKUP($C71,原料主数据!$A:$AL, 37, FALSE())</f>
        <v/>
      </c>
      <c r="AL71" s="25">
        <f>$D71*VLOOKUP($C71,原料主数据!$A:$AL, 38, FALSE())</f>
        <v/>
      </c>
    </row>
    <row r="72" ht="15" customHeight="1" s="15">
      <c r="A72" s="22" t="inlineStr">
        <is>
          <t>ORG-0003</t>
        </is>
      </c>
      <c r="B72" s="23" t="inlineStr">
        <is>
          <t>有机</t>
        </is>
      </c>
      <c r="C72" s="22" t="inlineStr">
        <is>
          <t>RJ173M</t>
        </is>
      </c>
      <c r="D72" s="22" t="n">
        <v>37.01</v>
      </c>
      <c r="E72" s="22">
        <f>VLOOKUP($C72,原料主数据!$A:$E,4,FALSE())</f>
        <v/>
      </c>
      <c r="F72" s="22">
        <f>VLOOKUP($C72,原料主数据!$A:$E,5,FALSE())</f>
        <v/>
      </c>
      <c r="G72" s="22">
        <f>$D72*VLOOKUP($C72,原料主数据!$A:$AL, 7, FALSE())</f>
        <v/>
      </c>
      <c r="H72" s="22">
        <f>$D72*VLOOKUP($C72,原料主数据!$A:$AL, 8, FALSE())</f>
        <v/>
      </c>
      <c r="I72" s="22">
        <f>$D72*VLOOKUP($C72,原料主数据!$A:$AL, 9, FALSE())</f>
        <v/>
      </c>
      <c r="J72" s="22">
        <f>$D72*VLOOKUP($C72,原料主数据!$A:$AL, 10, FALSE())</f>
        <v/>
      </c>
      <c r="K72" s="22">
        <f>$D72*VLOOKUP($C72,原料主数据!$A:$AL, 11, FALSE())</f>
        <v/>
      </c>
      <c r="L72" s="22">
        <f>$D72*VLOOKUP($C72,原料主数据!$A:$AL, 12, FALSE())</f>
        <v/>
      </c>
      <c r="M72" s="22">
        <f>$D72*VLOOKUP($C72,原料主数据!$A:$AL, 13, FALSE())</f>
        <v/>
      </c>
      <c r="N72" s="22">
        <f>$D72*VLOOKUP($C72,原料主数据!$A:$AL, 14, FALSE())</f>
        <v/>
      </c>
      <c r="O72" s="22">
        <f>$D72*VLOOKUP($C72,原料主数据!$A:$AL, 15, FALSE())</f>
        <v/>
      </c>
      <c r="P72" s="22">
        <f>$D72*VLOOKUP($C72,原料主数据!$A:$AL, 16, FALSE())</f>
        <v/>
      </c>
      <c r="Q72" s="22">
        <f>$D72*VLOOKUP($C72,原料主数据!$A:$AL, 17, FALSE())</f>
        <v/>
      </c>
      <c r="R72" s="22">
        <f>$D72*VLOOKUP($C72,原料主数据!$A:$AL, 18, FALSE())</f>
        <v/>
      </c>
      <c r="S72" s="22">
        <f>$D72*VLOOKUP($C72,原料主数据!$A:$AL, 19, FALSE())</f>
        <v/>
      </c>
      <c r="T72" s="22">
        <f>$D72*VLOOKUP($C72,原料主数据!$A:$AL, 20, FALSE())</f>
        <v/>
      </c>
      <c r="U72" s="22">
        <f>$D72*VLOOKUP($C72,原料主数据!$A:$AL, 21, FALSE())</f>
        <v/>
      </c>
      <c r="V72" s="22">
        <f>$D72*VLOOKUP($C72,原料主数据!$A:$AL, 22, FALSE())</f>
        <v/>
      </c>
      <c r="W72" s="22">
        <f>$D72*VLOOKUP($C72,原料主数据!$A:$AL, 23, FALSE())</f>
        <v/>
      </c>
      <c r="X72" s="22">
        <f>$D72*VLOOKUP($C72,原料主数据!$A:$AL, 24, FALSE())</f>
        <v/>
      </c>
      <c r="Y72" s="22">
        <f>$D72*VLOOKUP($C72,原料主数据!$A:$AL, 25, FALSE())</f>
        <v/>
      </c>
      <c r="Z72" s="22">
        <f>$D72*VLOOKUP($C72,原料主数据!$A:$AL, 26, FALSE())</f>
        <v/>
      </c>
      <c r="AA72" s="22">
        <f>$D72*VLOOKUP($C72,原料主数据!$A:$AL, 27, FALSE())</f>
        <v/>
      </c>
      <c r="AB72" s="22">
        <f>$D72*VLOOKUP($C72,原料主数据!$A:$AL, 28, FALSE())</f>
        <v/>
      </c>
      <c r="AC72" s="22">
        <f>$D72*VLOOKUP($C72,原料主数据!$A:$AL, 29, FALSE())</f>
        <v/>
      </c>
      <c r="AD72" s="22">
        <f>$D72*VLOOKUP($C72,原料主数据!$A:$AL, 30, FALSE())</f>
        <v/>
      </c>
      <c r="AE72" s="22">
        <f>$D72*VLOOKUP($C72,原料主数据!$A:$AL, 31, FALSE())</f>
        <v/>
      </c>
      <c r="AF72" s="22">
        <f>$D72*VLOOKUP($C72,原料主数据!$A:$AL, 32, FALSE())</f>
        <v/>
      </c>
      <c r="AG72" s="22">
        <f>$D72*VLOOKUP($C72,原料主数据!$A:$AL, 33, FALSE())</f>
        <v/>
      </c>
      <c r="AH72" s="22">
        <f>$D72*VLOOKUP($C72,原料主数据!$A:$AL, 34, FALSE())</f>
        <v/>
      </c>
      <c r="AI72" s="22">
        <f>$D72*VLOOKUP($C72,原料主数据!$A:$AL, 35, FALSE())</f>
        <v/>
      </c>
      <c r="AJ72" s="22">
        <f>$D72*VLOOKUP($C72,原料主数据!$A:$AL, 36, FALSE())</f>
        <v/>
      </c>
      <c r="AK72" s="22">
        <f>$D72*VLOOKUP($C72,原料主数据!$A:$AL, 37, FALSE())</f>
        <v/>
      </c>
      <c r="AL72" s="22">
        <f>$D72*VLOOKUP($C72,原料主数据!$A:$AL, 38, FALSE())</f>
        <v/>
      </c>
    </row>
    <row r="73" ht="15" customHeight="1" s="15">
      <c r="A73" s="25" t="inlineStr">
        <is>
          <t>PES-0001</t>
        </is>
      </c>
      <c r="B73" s="26" t="inlineStr">
        <is>
          <t>聚酯</t>
        </is>
      </c>
      <c r="C73" s="25" t="inlineStr">
        <is>
          <t>RJ173M</t>
        </is>
      </c>
      <c r="D73" s="25" t="n">
        <v>37.01</v>
      </c>
      <c r="E73" s="25">
        <f>VLOOKUP($C73,原料主数据!$A:$E,4,FALSE())</f>
        <v/>
      </c>
      <c r="F73" s="25">
        <f>VLOOKUP($C73,原料主数据!$A:$E,5,FALSE())</f>
        <v/>
      </c>
      <c r="G73" s="25">
        <f>$D73*VLOOKUP($C73,原料主数据!$A:$AL, 7, FALSE())</f>
        <v/>
      </c>
      <c r="H73" s="25">
        <f>$D73*VLOOKUP($C73,原料主数据!$A:$AL, 8, FALSE())</f>
        <v/>
      </c>
      <c r="I73" s="25">
        <f>$D73*VLOOKUP($C73,原料主数据!$A:$AL, 9, FALSE())</f>
        <v/>
      </c>
      <c r="J73" s="25">
        <f>$D73*VLOOKUP($C73,原料主数据!$A:$AL, 10, FALSE())</f>
        <v/>
      </c>
      <c r="K73" s="25">
        <f>$D73*VLOOKUP($C73,原料主数据!$A:$AL, 11, FALSE())</f>
        <v/>
      </c>
      <c r="L73" s="25">
        <f>$D73*VLOOKUP($C73,原料主数据!$A:$AL, 12, FALSE())</f>
        <v/>
      </c>
      <c r="M73" s="25">
        <f>$D73*VLOOKUP($C73,原料主数据!$A:$AL, 13, FALSE())</f>
        <v/>
      </c>
      <c r="N73" s="25">
        <f>$D73*VLOOKUP($C73,原料主数据!$A:$AL, 14, FALSE())</f>
        <v/>
      </c>
      <c r="O73" s="25">
        <f>$D73*VLOOKUP($C73,原料主数据!$A:$AL, 15, FALSE())</f>
        <v/>
      </c>
      <c r="P73" s="25">
        <f>$D73*VLOOKUP($C73,原料主数据!$A:$AL, 16, FALSE())</f>
        <v/>
      </c>
      <c r="Q73" s="25">
        <f>$D73*VLOOKUP($C73,原料主数据!$A:$AL, 17, FALSE())</f>
        <v/>
      </c>
      <c r="R73" s="25">
        <f>$D73*VLOOKUP($C73,原料主数据!$A:$AL, 18, FALSE())</f>
        <v/>
      </c>
      <c r="S73" s="25">
        <f>$D73*VLOOKUP($C73,原料主数据!$A:$AL, 19, FALSE())</f>
        <v/>
      </c>
      <c r="T73" s="25">
        <f>$D73*VLOOKUP($C73,原料主数据!$A:$AL, 20, FALSE())</f>
        <v/>
      </c>
      <c r="U73" s="25">
        <f>$D73*VLOOKUP($C73,原料主数据!$A:$AL, 21, FALSE())</f>
        <v/>
      </c>
      <c r="V73" s="25">
        <f>$D73*VLOOKUP($C73,原料主数据!$A:$AL, 22, FALSE())</f>
        <v/>
      </c>
      <c r="W73" s="25">
        <f>$D73*VLOOKUP($C73,原料主数据!$A:$AL, 23, FALSE())</f>
        <v/>
      </c>
      <c r="X73" s="25">
        <f>$D73*VLOOKUP($C73,原料主数据!$A:$AL, 24, FALSE())</f>
        <v/>
      </c>
      <c r="Y73" s="25">
        <f>$D73*VLOOKUP($C73,原料主数据!$A:$AL, 25, FALSE())</f>
        <v/>
      </c>
      <c r="Z73" s="25">
        <f>$D73*VLOOKUP($C73,原料主数据!$A:$AL, 26, FALSE())</f>
        <v/>
      </c>
      <c r="AA73" s="25">
        <f>$D73*VLOOKUP($C73,原料主数据!$A:$AL, 27, FALSE())</f>
        <v/>
      </c>
      <c r="AB73" s="25">
        <f>$D73*VLOOKUP($C73,原料主数据!$A:$AL, 28, FALSE())</f>
        <v/>
      </c>
      <c r="AC73" s="25">
        <f>$D73*VLOOKUP($C73,原料主数据!$A:$AL, 29, FALSE())</f>
        <v/>
      </c>
      <c r="AD73" s="25">
        <f>$D73*VLOOKUP($C73,原料主数据!$A:$AL, 30, FALSE())</f>
        <v/>
      </c>
      <c r="AE73" s="25">
        <f>$D73*VLOOKUP($C73,原料主数据!$A:$AL, 31, FALSE())</f>
        <v/>
      </c>
      <c r="AF73" s="25">
        <f>$D73*VLOOKUP($C73,原料主数据!$A:$AL, 32, FALSE())</f>
        <v/>
      </c>
      <c r="AG73" s="25">
        <f>$D73*VLOOKUP($C73,原料主数据!$A:$AL, 33, FALSE())</f>
        <v/>
      </c>
      <c r="AH73" s="25">
        <f>$D73*VLOOKUP($C73,原料主数据!$A:$AL, 34, FALSE())</f>
        <v/>
      </c>
      <c r="AI73" s="25">
        <f>$D73*VLOOKUP($C73,原料主数据!$A:$AL, 35, FALSE())</f>
        <v/>
      </c>
      <c r="AJ73" s="25">
        <f>$D73*VLOOKUP($C73,原料主数据!$A:$AL, 36, FALSE())</f>
        <v/>
      </c>
      <c r="AK73" s="25">
        <f>$D73*VLOOKUP($C73,原料主数据!$A:$AL, 37, FALSE())</f>
        <v/>
      </c>
      <c r="AL73" s="25">
        <f>$D73*VLOOKUP($C73,原料主数据!$A:$AL, 38, FALSE())</f>
        <v/>
      </c>
    </row>
    <row r="74" ht="15" customHeight="1" s="15">
      <c r="A74" s="22" t="inlineStr">
        <is>
          <t>PES-0001</t>
        </is>
      </c>
      <c r="B74" s="23" t="inlineStr">
        <is>
          <t>聚酯</t>
        </is>
      </c>
      <c r="C74" s="22" t="inlineStr">
        <is>
          <t>RJ561</t>
        </is>
      </c>
      <c r="D74" s="22" t="n">
        <v>28.2</v>
      </c>
      <c r="E74" s="22">
        <f>VLOOKUP($C74,原料主数据!$A:$E,4,FALSE())</f>
        <v/>
      </c>
      <c r="F74" s="22">
        <f>VLOOKUP($C74,原料主数据!$A:$E,5,FALSE())</f>
        <v/>
      </c>
      <c r="G74" s="22">
        <f>$D74*VLOOKUP($C74,原料主数据!$A:$AL, 7, FALSE())</f>
        <v/>
      </c>
      <c r="H74" s="22">
        <f>$D74*VLOOKUP($C74,原料主数据!$A:$AL, 8, FALSE())</f>
        <v/>
      </c>
      <c r="I74" s="22">
        <f>$D74*VLOOKUP($C74,原料主数据!$A:$AL, 9, FALSE())</f>
        <v/>
      </c>
      <c r="J74" s="22">
        <f>$D74*VLOOKUP($C74,原料主数据!$A:$AL, 10, FALSE())</f>
        <v/>
      </c>
      <c r="K74" s="22">
        <f>$D74*VLOOKUP($C74,原料主数据!$A:$AL, 11, FALSE())</f>
        <v/>
      </c>
      <c r="L74" s="22">
        <f>$D74*VLOOKUP($C74,原料主数据!$A:$AL, 12, FALSE())</f>
        <v/>
      </c>
      <c r="M74" s="22">
        <f>$D74*VLOOKUP($C74,原料主数据!$A:$AL, 13, FALSE())</f>
        <v/>
      </c>
      <c r="N74" s="22">
        <f>$D74*VLOOKUP($C74,原料主数据!$A:$AL, 14, FALSE())</f>
        <v/>
      </c>
      <c r="O74" s="22">
        <f>$D74*VLOOKUP($C74,原料主数据!$A:$AL, 15, FALSE())</f>
        <v/>
      </c>
      <c r="P74" s="22">
        <f>$D74*VLOOKUP($C74,原料主数据!$A:$AL, 16, FALSE())</f>
        <v/>
      </c>
      <c r="Q74" s="22">
        <f>$D74*VLOOKUP($C74,原料主数据!$A:$AL, 17, FALSE())</f>
        <v/>
      </c>
      <c r="R74" s="22">
        <f>$D74*VLOOKUP($C74,原料主数据!$A:$AL, 18, FALSE())</f>
        <v/>
      </c>
      <c r="S74" s="22">
        <f>$D74*VLOOKUP($C74,原料主数据!$A:$AL, 19, FALSE())</f>
        <v/>
      </c>
      <c r="T74" s="22">
        <f>$D74*VLOOKUP($C74,原料主数据!$A:$AL, 20, FALSE())</f>
        <v/>
      </c>
      <c r="U74" s="22">
        <f>$D74*VLOOKUP($C74,原料主数据!$A:$AL, 21, FALSE())</f>
        <v/>
      </c>
      <c r="V74" s="22">
        <f>$D74*VLOOKUP($C74,原料主数据!$A:$AL, 22, FALSE())</f>
        <v/>
      </c>
      <c r="W74" s="22">
        <f>$D74*VLOOKUP($C74,原料主数据!$A:$AL, 23, FALSE())</f>
        <v/>
      </c>
      <c r="X74" s="22">
        <f>$D74*VLOOKUP($C74,原料主数据!$A:$AL, 24, FALSE())</f>
        <v/>
      </c>
      <c r="Y74" s="22">
        <f>$D74*VLOOKUP($C74,原料主数据!$A:$AL, 25, FALSE())</f>
        <v/>
      </c>
      <c r="Z74" s="22">
        <f>$D74*VLOOKUP($C74,原料主数据!$A:$AL, 26, FALSE())</f>
        <v/>
      </c>
      <c r="AA74" s="22">
        <f>$D74*VLOOKUP($C74,原料主数据!$A:$AL, 27, FALSE())</f>
        <v/>
      </c>
      <c r="AB74" s="22">
        <f>$D74*VLOOKUP($C74,原料主数据!$A:$AL, 28, FALSE())</f>
        <v/>
      </c>
      <c r="AC74" s="22">
        <f>$D74*VLOOKUP($C74,原料主数据!$A:$AL, 29, FALSE())</f>
        <v/>
      </c>
      <c r="AD74" s="22">
        <f>$D74*VLOOKUP($C74,原料主数据!$A:$AL, 30, FALSE())</f>
        <v/>
      </c>
      <c r="AE74" s="22">
        <f>$D74*VLOOKUP($C74,原料主数据!$A:$AL, 31, FALSE())</f>
        <v/>
      </c>
      <c r="AF74" s="22">
        <f>$D74*VLOOKUP($C74,原料主数据!$A:$AL, 32, FALSE())</f>
        <v/>
      </c>
      <c r="AG74" s="22">
        <f>$D74*VLOOKUP($C74,原料主数据!$A:$AL, 33, FALSE())</f>
        <v/>
      </c>
      <c r="AH74" s="22">
        <f>$D74*VLOOKUP($C74,原料主数据!$A:$AL, 34, FALSE())</f>
        <v/>
      </c>
      <c r="AI74" s="22">
        <f>$D74*VLOOKUP($C74,原料主数据!$A:$AL, 35, FALSE())</f>
        <v/>
      </c>
      <c r="AJ74" s="22">
        <f>$D74*VLOOKUP($C74,原料主数据!$A:$AL, 36, FALSE())</f>
        <v/>
      </c>
      <c r="AK74" s="22">
        <f>$D74*VLOOKUP($C74,原料主数据!$A:$AL, 37, FALSE())</f>
        <v/>
      </c>
      <c r="AL74" s="22">
        <f>$D74*VLOOKUP($C74,原料主数据!$A:$AL, 38, FALSE())</f>
        <v/>
      </c>
    </row>
    <row r="75" ht="15" customHeight="1" s="15">
      <c r="A75" s="25" t="inlineStr">
        <is>
          <t>PES-0001</t>
        </is>
      </c>
      <c r="B75" s="26" t="inlineStr">
        <is>
          <t>聚酯</t>
        </is>
      </c>
      <c r="C75" s="25" t="inlineStr">
        <is>
          <t>RF950</t>
        </is>
      </c>
      <c r="D75" s="25" t="n">
        <v>5</v>
      </c>
      <c r="E75" s="25">
        <f>VLOOKUP($C75,原料主数据!$A:$E,4,FALSE())</f>
        <v/>
      </c>
      <c r="F75" s="25">
        <f>VLOOKUP($C75,原料主数据!$A:$E,5,FALSE())</f>
        <v/>
      </c>
      <c r="G75" s="25">
        <f>$D75*VLOOKUP($C75,原料主数据!$A:$AL, 7, FALSE())</f>
        <v/>
      </c>
      <c r="H75" s="25">
        <f>$D75*VLOOKUP($C75,原料主数据!$A:$AL, 8, FALSE())</f>
        <v/>
      </c>
      <c r="I75" s="25">
        <f>$D75*VLOOKUP($C75,原料主数据!$A:$AL, 9, FALSE())</f>
        <v/>
      </c>
      <c r="J75" s="25">
        <f>$D75*VLOOKUP($C75,原料主数据!$A:$AL, 10, FALSE())</f>
        <v/>
      </c>
      <c r="K75" s="25">
        <f>$D75*VLOOKUP($C75,原料主数据!$A:$AL, 11, FALSE())</f>
        <v/>
      </c>
      <c r="L75" s="25">
        <f>$D75*VLOOKUP($C75,原料主数据!$A:$AL, 12, FALSE())</f>
        <v/>
      </c>
      <c r="M75" s="25">
        <f>$D75*VLOOKUP($C75,原料主数据!$A:$AL, 13, FALSE())</f>
        <v/>
      </c>
      <c r="N75" s="25">
        <f>$D75*VLOOKUP($C75,原料主数据!$A:$AL, 14, FALSE())</f>
        <v/>
      </c>
      <c r="O75" s="25">
        <f>$D75*VLOOKUP($C75,原料主数据!$A:$AL, 15, FALSE())</f>
        <v/>
      </c>
      <c r="P75" s="25">
        <f>$D75*VLOOKUP($C75,原料主数据!$A:$AL, 16, FALSE())</f>
        <v/>
      </c>
      <c r="Q75" s="25">
        <f>$D75*VLOOKUP($C75,原料主数据!$A:$AL, 17, FALSE())</f>
        <v/>
      </c>
      <c r="R75" s="25">
        <f>$D75*VLOOKUP($C75,原料主数据!$A:$AL, 18, FALSE())</f>
        <v/>
      </c>
      <c r="S75" s="25">
        <f>$D75*VLOOKUP($C75,原料主数据!$A:$AL, 19, FALSE())</f>
        <v/>
      </c>
      <c r="T75" s="25">
        <f>$D75*VLOOKUP($C75,原料主数据!$A:$AL, 20, FALSE())</f>
        <v/>
      </c>
      <c r="U75" s="25">
        <f>$D75*VLOOKUP($C75,原料主数据!$A:$AL, 21, FALSE())</f>
        <v/>
      </c>
      <c r="V75" s="25">
        <f>$D75*VLOOKUP($C75,原料主数据!$A:$AL, 22, FALSE())</f>
        <v/>
      </c>
      <c r="W75" s="25">
        <f>$D75*VLOOKUP($C75,原料主数据!$A:$AL, 23, FALSE())</f>
        <v/>
      </c>
      <c r="X75" s="25">
        <f>$D75*VLOOKUP($C75,原料主数据!$A:$AL, 24, FALSE())</f>
        <v/>
      </c>
      <c r="Y75" s="25">
        <f>$D75*VLOOKUP($C75,原料主数据!$A:$AL, 25, FALSE())</f>
        <v/>
      </c>
      <c r="Z75" s="25">
        <f>$D75*VLOOKUP($C75,原料主数据!$A:$AL, 26, FALSE())</f>
        <v/>
      </c>
      <c r="AA75" s="25">
        <f>$D75*VLOOKUP($C75,原料主数据!$A:$AL, 27, FALSE())</f>
        <v/>
      </c>
      <c r="AB75" s="25">
        <f>$D75*VLOOKUP($C75,原料主数据!$A:$AL, 28, FALSE())</f>
        <v/>
      </c>
      <c r="AC75" s="25">
        <f>$D75*VLOOKUP($C75,原料主数据!$A:$AL, 29, FALSE())</f>
        <v/>
      </c>
      <c r="AD75" s="25">
        <f>$D75*VLOOKUP($C75,原料主数据!$A:$AL, 30, FALSE())</f>
        <v/>
      </c>
      <c r="AE75" s="25">
        <f>$D75*VLOOKUP($C75,原料主数据!$A:$AL, 31, FALSE())</f>
        <v/>
      </c>
      <c r="AF75" s="25">
        <f>$D75*VLOOKUP($C75,原料主数据!$A:$AL, 32, FALSE())</f>
        <v/>
      </c>
      <c r="AG75" s="25">
        <f>$D75*VLOOKUP($C75,原料主数据!$A:$AL, 33, FALSE())</f>
        <v/>
      </c>
      <c r="AH75" s="25">
        <f>$D75*VLOOKUP($C75,原料主数据!$A:$AL, 34, FALSE())</f>
        <v/>
      </c>
      <c r="AI75" s="25">
        <f>$D75*VLOOKUP($C75,原料主数据!$A:$AL, 35, FALSE())</f>
        <v/>
      </c>
      <c r="AJ75" s="25">
        <f>$D75*VLOOKUP($C75,原料主数据!$A:$AL, 36, FALSE())</f>
        <v/>
      </c>
      <c r="AK75" s="25">
        <f>$D75*VLOOKUP($C75,原料主数据!$A:$AL, 37, FALSE())</f>
        <v/>
      </c>
      <c r="AL75" s="25">
        <f>$D75*VLOOKUP($C75,原料主数据!$A:$AL, 38, FALSE())</f>
        <v/>
      </c>
    </row>
    <row r="76" ht="15" customHeight="1" s="15">
      <c r="A76" s="22" t="inlineStr">
        <is>
          <t>PES-0001</t>
        </is>
      </c>
      <c r="B76" s="23" t="inlineStr">
        <is>
          <t>聚酯</t>
        </is>
      </c>
      <c r="C76" s="22" t="inlineStr">
        <is>
          <t>RY460</t>
        </is>
      </c>
      <c r="D76" s="22" t="n">
        <v>5</v>
      </c>
      <c r="E76" s="22">
        <f>VLOOKUP($C76,原料主数据!$A:$E,4,FALSE())</f>
        <v/>
      </c>
      <c r="F76" s="22">
        <f>VLOOKUP($C76,原料主数据!$A:$E,5,FALSE())</f>
        <v/>
      </c>
      <c r="G76" s="22">
        <f>$D76*VLOOKUP($C76,原料主数据!$A:$AL, 7, FALSE())</f>
        <v/>
      </c>
      <c r="H76" s="22">
        <f>$D76*VLOOKUP($C76,原料主数据!$A:$AL, 8, FALSE())</f>
        <v/>
      </c>
      <c r="I76" s="22">
        <f>$D76*VLOOKUP($C76,原料主数据!$A:$AL, 9, FALSE())</f>
        <v/>
      </c>
      <c r="J76" s="22">
        <f>$D76*VLOOKUP($C76,原料主数据!$A:$AL, 10, FALSE())</f>
        <v/>
      </c>
      <c r="K76" s="22">
        <f>$D76*VLOOKUP($C76,原料主数据!$A:$AL, 11, FALSE())</f>
        <v/>
      </c>
      <c r="L76" s="22">
        <f>$D76*VLOOKUP($C76,原料主数据!$A:$AL, 12, FALSE())</f>
        <v/>
      </c>
      <c r="M76" s="22">
        <f>$D76*VLOOKUP($C76,原料主数据!$A:$AL, 13, FALSE())</f>
        <v/>
      </c>
      <c r="N76" s="22">
        <f>$D76*VLOOKUP($C76,原料主数据!$A:$AL, 14, FALSE())</f>
        <v/>
      </c>
      <c r="O76" s="22">
        <f>$D76*VLOOKUP($C76,原料主数据!$A:$AL, 15, FALSE())</f>
        <v/>
      </c>
      <c r="P76" s="22">
        <f>$D76*VLOOKUP($C76,原料主数据!$A:$AL, 16, FALSE())</f>
        <v/>
      </c>
      <c r="Q76" s="22">
        <f>$D76*VLOOKUP($C76,原料主数据!$A:$AL, 17, FALSE())</f>
        <v/>
      </c>
      <c r="R76" s="22">
        <f>$D76*VLOOKUP($C76,原料主数据!$A:$AL, 18, FALSE())</f>
        <v/>
      </c>
      <c r="S76" s="22">
        <f>$D76*VLOOKUP($C76,原料主数据!$A:$AL, 19, FALSE())</f>
        <v/>
      </c>
      <c r="T76" s="22">
        <f>$D76*VLOOKUP($C76,原料主数据!$A:$AL, 20, FALSE())</f>
        <v/>
      </c>
      <c r="U76" s="22">
        <f>$D76*VLOOKUP($C76,原料主数据!$A:$AL, 21, FALSE())</f>
        <v/>
      </c>
      <c r="V76" s="22">
        <f>$D76*VLOOKUP($C76,原料主数据!$A:$AL, 22, FALSE())</f>
        <v/>
      </c>
      <c r="W76" s="22">
        <f>$D76*VLOOKUP($C76,原料主数据!$A:$AL, 23, FALSE())</f>
        <v/>
      </c>
      <c r="X76" s="22">
        <f>$D76*VLOOKUP($C76,原料主数据!$A:$AL, 24, FALSE())</f>
        <v/>
      </c>
      <c r="Y76" s="22">
        <f>$D76*VLOOKUP($C76,原料主数据!$A:$AL, 25, FALSE())</f>
        <v/>
      </c>
      <c r="Z76" s="22">
        <f>$D76*VLOOKUP($C76,原料主数据!$A:$AL, 26, FALSE())</f>
        <v/>
      </c>
      <c r="AA76" s="22">
        <f>$D76*VLOOKUP($C76,原料主数据!$A:$AL, 27, FALSE())</f>
        <v/>
      </c>
      <c r="AB76" s="22">
        <f>$D76*VLOOKUP($C76,原料主数据!$A:$AL, 28, FALSE())</f>
        <v/>
      </c>
      <c r="AC76" s="22">
        <f>$D76*VLOOKUP($C76,原料主数据!$A:$AL, 29, FALSE())</f>
        <v/>
      </c>
      <c r="AD76" s="22">
        <f>$D76*VLOOKUP($C76,原料主数据!$A:$AL, 30, FALSE())</f>
        <v/>
      </c>
      <c r="AE76" s="22">
        <f>$D76*VLOOKUP($C76,原料主数据!$A:$AL, 31, FALSE())</f>
        <v/>
      </c>
      <c r="AF76" s="22">
        <f>$D76*VLOOKUP($C76,原料主数据!$A:$AL, 32, FALSE())</f>
        <v/>
      </c>
      <c r="AG76" s="22">
        <f>$D76*VLOOKUP($C76,原料主数据!$A:$AL, 33, FALSE())</f>
        <v/>
      </c>
      <c r="AH76" s="22">
        <f>$D76*VLOOKUP($C76,原料主数据!$A:$AL, 34, FALSE())</f>
        <v/>
      </c>
      <c r="AI76" s="22">
        <f>$D76*VLOOKUP($C76,原料主数据!$A:$AL, 35, FALSE())</f>
        <v/>
      </c>
      <c r="AJ76" s="22">
        <f>$D76*VLOOKUP($C76,原料主数据!$A:$AL, 36, FALSE())</f>
        <v/>
      </c>
      <c r="AK76" s="22">
        <f>$D76*VLOOKUP($C76,原料主数据!$A:$AL, 37, FALSE())</f>
        <v/>
      </c>
      <c r="AL76" s="22">
        <f>$D76*VLOOKUP($C76,原料主数据!$A:$AL, 38, FALSE())</f>
        <v/>
      </c>
    </row>
    <row r="77" ht="15" customHeight="1" s="15">
      <c r="A77" s="25" t="inlineStr">
        <is>
          <t>PES-0001</t>
        </is>
      </c>
      <c r="B77" s="26" t="inlineStr">
        <is>
          <t>聚酯</t>
        </is>
      </c>
      <c r="C77" s="25" t="inlineStr">
        <is>
          <t>AC040</t>
        </is>
      </c>
      <c r="D77" s="25" t="n">
        <v>0.15</v>
      </c>
      <c r="E77" s="25">
        <f>VLOOKUP($C77,原料主数据!$A:$E,4,FALSE())</f>
        <v/>
      </c>
      <c r="F77" s="25">
        <f>VLOOKUP($C77,原料主数据!$A:$E,5,FALSE())</f>
        <v/>
      </c>
      <c r="G77" s="25">
        <f>$D77*VLOOKUP($C77,原料主数据!$A:$AL, 7, FALSE())</f>
        <v/>
      </c>
      <c r="H77" s="25">
        <f>$D77*VLOOKUP($C77,原料主数据!$A:$AL, 8, FALSE())</f>
        <v/>
      </c>
      <c r="I77" s="25">
        <f>$D77*VLOOKUP($C77,原料主数据!$A:$AL, 9, FALSE())</f>
        <v/>
      </c>
      <c r="J77" s="25">
        <f>$D77*VLOOKUP($C77,原料主数据!$A:$AL, 10, FALSE())</f>
        <v/>
      </c>
      <c r="K77" s="25">
        <f>$D77*VLOOKUP($C77,原料主数据!$A:$AL, 11, FALSE())</f>
        <v/>
      </c>
      <c r="L77" s="25">
        <f>$D77*VLOOKUP($C77,原料主数据!$A:$AL, 12, FALSE())</f>
        <v/>
      </c>
      <c r="M77" s="25">
        <f>$D77*VLOOKUP($C77,原料主数据!$A:$AL, 13, FALSE())</f>
        <v/>
      </c>
      <c r="N77" s="25">
        <f>$D77*VLOOKUP($C77,原料主数据!$A:$AL, 14, FALSE())</f>
        <v/>
      </c>
      <c r="O77" s="25">
        <f>$D77*VLOOKUP($C77,原料主数据!$A:$AL, 15, FALSE())</f>
        <v/>
      </c>
      <c r="P77" s="25">
        <f>$D77*VLOOKUP($C77,原料主数据!$A:$AL, 16, FALSE())</f>
        <v/>
      </c>
      <c r="Q77" s="25">
        <f>$D77*VLOOKUP($C77,原料主数据!$A:$AL, 17, FALSE())</f>
        <v/>
      </c>
      <c r="R77" s="25">
        <f>$D77*VLOOKUP($C77,原料主数据!$A:$AL, 18, FALSE())</f>
        <v/>
      </c>
      <c r="S77" s="25">
        <f>$D77*VLOOKUP($C77,原料主数据!$A:$AL, 19, FALSE())</f>
        <v/>
      </c>
      <c r="T77" s="25">
        <f>$D77*VLOOKUP($C77,原料主数据!$A:$AL, 20, FALSE())</f>
        <v/>
      </c>
      <c r="U77" s="25">
        <f>$D77*VLOOKUP($C77,原料主数据!$A:$AL, 21, FALSE())</f>
        <v/>
      </c>
      <c r="V77" s="25">
        <f>$D77*VLOOKUP($C77,原料主数据!$A:$AL, 22, FALSE())</f>
        <v/>
      </c>
      <c r="W77" s="25">
        <f>$D77*VLOOKUP($C77,原料主数据!$A:$AL, 23, FALSE())</f>
        <v/>
      </c>
      <c r="X77" s="25">
        <f>$D77*VLOOKUP($C77,原料主数据!$A:$AL, 24, FALSE())</f>
        <v/>
      </c>
      <c r="Y77" s="25">
        <f>$D77*VLOOKUP($C77,原料主数据!$A:$AL, 25, FALSE())</f>
        <v/>
      </c>
      <c r="Z77" s="25">
        <f>$D77*VLOOKUP($C77,原料主数据!$A:$AL, 26, FALSE())</f>
        <v/>
      </c>
      <c r="AA77" s="25">
        <f>$D77*VLOOKUP($C77,原料主数据!$A:$AL, 27, FALSE())</f>
        <v/>
      </c>
      <c r="AB77" s="25">
        <f>$D77*VLOOKUP($C77,原料主数据!$A:$AL, 28, FALSE())</f>
        <v/>
      </c>
      <c r="AC77" s="25">
        <f>$D77*VLOOKUP($C77,原料主数据!$A:$AL, 29, FALSE())</f>
        <v/>
      </c>
      <c r="AD77" s="25">
        <f>$D77*VLOOKUP($C77,原料主数据!$A:$AL, 30, FALSE())</f>
        <v/>
      </c>
      <c r="AE77" s="25">
        <f>$D77*VLOOKUP($C77,原料主数据!$A:$AL, 31, FALSE())</f>
        <v/>
      </c>
      <c r="AF77" s="25">
        <f>$D77*VLOOKUP($C77,原料主数据!$A:$AL, 32, FALSE())</f>
        <v/>
      </c>
      <c r="AG77" s="25">
        <f>$D77*VLOOKUP($C77,原料主数据!$A:$AL, 33, FALSE())</f>
        <v/>
      </c>
      <c r="AH77" s="25">
        <f>$D77*VLOOKUP($C77,原料主数据!$A:$AL, 34, FALSE())</f>
        <v/>
      </c>
      <c r="AI77" s="25">
        <f>$D77*VLOOKUP($C77,原料主数据!$A:$AL, 35, FALSE())</f>
        <v/>
      </c>
      <c r="AJ77" s="25">
        <f>$D77*VLOOKUP($C77,原料主数据!$A:$AL, 36, FALSE())</f>
        <v/>
      </c>
      <c r="AK77" s="25">
        <f>$D77*VLOOKUP($C77,原料主数据!$A:$AL, 37, FALSE())</f>
        <v/>
      </c>
      <c r="AL77" s="25">
        <f>$D77*VLOOKUP($C77,原料主数据!$A:$AL, 38, FALSE())</f>
        <v/>
      </c>
    </row>
    <row r="78" ht="15" customHeight="1" s="15">
      <c r="A78" s="22" t="inlineStr">
        <is>
          <t>PES-0001</t>
        </is>
      </c>
      <c r="B78" s="23" t="inlineStr">
        <is>
          <t>聚酯</t>
        </is>
      </c>
      <c r="C78" s="22" t="inlineStr">
        <is>
          <t>TF100</t>
        </is>
      </c>
      <c r="D78" s="22" t="n">
        <v>3.35</v>
      </c>
      <c r="E78" s="22">
        <f>VLOOKUP($C78,原料主数据!$A:$E,4,FALSE())</f>
        <v/>
      </c>
      <c r="F78" s="22">
        <f>VLOOKUP($C78,原料主数据!$A:$E,5,FALSE())</f>
        <v/>
      </c>
      <c r="G78" s="22">
        <f>$D78*VLOOKUP($C78,原料主数据!$A:$AL, 7, FALSE())</f>
        <v/>
      </c>
      <c r="H78" s="22">
        <f>$D78*VLOOKUP($C78,原料主数据!$A:$AL, 8, FALSE())</f>
        <v/>
      </c>
      <c r="I78" s="22">
        <f>$D78*VLOOKUP($C78,原料主数据!$A:$AL, 9, FALSE())</f>
        <v/>
      </c>
      <c r="J78" s="22">
        <f>$D78*VLOOKUP($C78,原料主数据!$A:$AL, 10, FALSE())</f>
        <v/>
      </c>
      <c r="K78" s="22">
        <f>$D78*VLOOKUP($C78,原料主数据!$A:$AL, 11, FALSE())</f>
        <v/>
      </c>
      <c r="L78" s="22">
        <f>$D78*VLOOKUP($C78,原料主数据!$A:$AL, 12, FALSE())</f>
        <v/>
      </c>
      <c r="M78" s="22">
        <f>$D78*VLOOKUP($C78,原料主数据!$A:$AL, 13, FALSE())</f>
        <v/>
      </c>
      <c r="N78" s="22">
        <f>$D78*VLOOKUP($C78,原料主数据!$A:$AL, 14, FALSE())</f>
        <v/>
      </c>
      <c r="O78" s="22">
        <f>$D78*VLOOKUP($C78,原料主数据!$A:$AL, 15, FALSE())</f>
        <v/>
      </c>
      <c r="P78" s="22">
        <f>$D78*VLOOKUP($C78,原料主数据!$A:$AL, 16, FALSE())</f>
        <v/>
      </c>
      <c r="Q78" s="22">
        <f>$D78*VLOOKUP($C78,原料主数据!$A:$AL, 17, FALSE())</f>
        <v/>
      </c>
      <c r="R78" s="22">
        <f>$D78*VLOOKUP($C78,原料主数据!$A:$AL, 18, FALSE())</f>
        <v/>
      </c>
      <c r="S78" s="22">
        <f>$D78*VLOOKUP($C78,原料主数据!$A:$AL, 19, FALSE())</f>
        <v/>
      </c>
      <c r="T78" s="22">
        <f>$D78*VLOOKUP($C78,原料主数据!$A:$AL, 20, FALSE())</f>
        <v/>
      </c>
      <c r="U78" s="22">
        <f>$D78*VLOOKUP($C78,原料主数据!$A:$AL, 21, FALSE())</f>
        <v/>
      </c>
      <c r="V78" s="22">
        <f>$D78*VLOOKUP($C78,原料主数据!$A:$AL, 22, FALSE())</f>
        <v/>
      </c>
      <c r="W78" s="22">
        <f>$D78*VLOOKUP($C78,原料主数据!$A:$AL, 23, FALSE())</f>
        <v/>
      </c>
      <c r="X78" s="22">
        <f>$D78*VLOOKUP($C78,原料主数据!$A:$AL, 24, FALSE())</f>
        <v/>
      </c>
      <c r="Y78" s="22">
        <f>$D78*VLOOKUP($C78,原料主数据!$A:$AL, 25, FALSE())</f>
        <v/>
      </c>
      <c r="Z78" s="22">
        <f>$D78*VLOOKUP($C78,原料主数据!$A:$AL, 26, FALSE())</f>
        <v/>
      </c>
      <c r="AA78" s="22">
        <f>$D78*VLOOKUP($C78,原料主数据!$A:$AL, 27, FALSE())</f>
        <v/>
      </c>
      <c r="AB78" s="22">
        <f>$D78*VLOOKUP($C78,原料主数据!$A:$AL, 28, FALSE())</f>
        <v/>
      </c>
      <c r="AC78" s="22">
        <f>$D78*VLOOKUP($C78,原料主数据!$A:$AL, 29, FALSE())</f>
        <v/>
      </c>
      <c r="AD78" s="22">
        <f>$D78*VLOOKUP($C78,原料主数据!$A:$AL, 30, FALSE())</f>
        <v/>
      </c>
      <c r="AE78" s="22">
        <f>$D78*VLOOKUP($C78,原料主数据!$A:$AL, 31, FALSE())</f>
        <v/>
      </c>
      <c r="AF78" s="22">
        <f>$D78*VLOOKUP($C78,原料主数据!$A:$AL, 32, FALSE())</f>
        <v/>
      </c>
      <c r="AG78" s="22">
        <f>$D78*VLOOKUP($C78,原料主数据!$A:$AL, 33, FALSE())</f>
        <v/>
      </c>
      <c r="AH78" s="22">
        <f>$D78*VLOOKUP($C78,原料主数据!$A:$AL, 34, FALSE())</f>
        <v/>
      </c>
      <c r="AI78" s="22">
        <f>$D78*VLOOKUP($C78,原料主数据!$A:$AL, 35, FALSE())</f>
        <v/>
      </c>
      <c r="AJ78" s="22">
        <f>$D78*VLOOKUP($C78,原料主数据!$A:$AL, 36, FALSE())</f>
        <v/>
      </c>
      <c r="AK78" s="22">
        <f>$D78*VLOOKUP($C78,原料主数据!$A:$AL, 37, FALSE())</f>
        <v/>
      </c>
      <c r="AL78" s="22">
        <f>$D78*VLOOKUP($C78,原料主数据!$A:$AL, 38, FALSE())</f>
        <v/>
      </c>
    </row>
    <row r="79" ht="15" customHeight="1" s="15">
      <c r="A79" s="25" t="inlineStr">
        <is>
          <t>PES-0001</t>
        </is>
      </c>
      <c r="B79" s="26" t="inlineStr">
        <is>
          <t>聚酯</t>
        </is>
      </c>
      <c r="C79" s="25" t="inlineStr">
        <is>
          <t>TM004</t>
        </is>
      </c>
      <c r="D79" s="25" t="n">
        <v>1.35</v>
      </c>
      <c r="E79" s="25">
        <f>VLOOKUP($C79,原料主数据!$A:$E,4,FALSE())</f>
        <v/>
      </c>
      <c r="F79" s="25">
        <f>VLOOKUP($C79,原料主数据!$A:$E,5,FALSE())</f>
        <v/>
      </c>
      <c r="G79" s="25">
        <f>$D79*VLOOKUP($C79,原料主数据!$A:$AL, 7, FALSE())</f>
        <v/>
      </c>
      <c r="H79" s="25">
        <f>$D79*VLOOKUP($C79,原料主数据!$A:$AL, 8, FALSE())</f>
        <v/>
      </c>
      <c r="I79" s="25">
        <f>$D79*VLOOKUP($C79,原料主数据!$A:$AL, 9, FALSE())</f>
        <v/>
      </c>
      <c r="J79" s="25">
        <f>$D79*VLOOKUP($C79,原料主数据!$A:$AL, 10, FALSE())</f>
        <v/>
      </c>
      <c r="K79" s="25">
        <f>$D79*VLOOKUP($C79,原料主数据!$A:$AL, 11, FALSE())</f>
        <v/>
      </c>
      <c r="L79" s="25">
        <f>$D79*VLOOKUP($C79,原料主数据!$A:$AL, 12, FALSE())</f>
        <v/>
      </c>
      <c r="M79" s="25">
        <f>$D79*VLOOKUP($C79,原料主数据!$A:$AL, 13, FALSE())</f>
        <v/>
      </c>
      <c r="N79" s="25">
        <f>$D79*VLOOKUP($C79,原料主数据!$A:$AL, 14, FALSE())</f>
        <v/>
      </c>
      <c r="O79" s="25">
        <f>$D79*VLOOKUP($C79,原料主数据!$A:$AL, 15, FALSE())</f>
        <v/>
      </c>
      <c r="P79" s="25">
        <f>$D79*VLOOKUP($C79,原料主数据!$A:$AL, 16, FALSE())</f>
        <v/>
      </c>
      <c r="Q79" s="25">
        <f>$D79*VLOOKUP($C79,原料主数据!$A:$AL, 17, FALSE())</f>
        <v/>
      </c>
      <c r="R79" s="25">
        <f>$D79*VLOOKUP($C79,原料主数据!$A:$AL, 18, FALSE())</f>
        <v/>
      </c>
      <c r="S79" s="25">
        <f>$D79*VLOOKUP($C79,原料主数据!$A:$AL, 19, FALSE())</f>
        <v/>
      </c>
      <c r="T79" s="25">
        <f>$D79*VLOOKUP($C79,原料主数据!$A:$AL, 20, FALSE())</f>
        <v/>
      </c>
      <c r="U79" s="25">
        <f>$D79*VLOOKUP($C79,原料主数据!$A:$AL, 21, FALSE())</f>
        <v/>
      </c>
      <c r="V79" s="25">
        <f>$D79*VLOOKUP($C79,原料主数据!$A:$AL, 22, FALSE())</f>
        <v/>
      </c>
      <c r="W79" s="25">
        <f>$D79*VLOOKUP($C79,原料主数据!$A:$AL, 23, FALSE())</f>
        <v/>
      </c>
      <c r="X79" s="25">
        <f>$D79*VLOOKUP($C79,原料主数据!$A:$AL, 24, FALSE())</f>
        <v/>
      </c>
      <c r="Y79" s="25">
        <f>$D79*VLOOKUP($C79,原料主数据!$A:$AL, 25, FALSE())</f>
        <v/>
      </c>
      <c r="Z79" s="25">
        <f>$D79*VLOOKUP($C79,原料主数据!$A:$AL, 26, FALSE())</f>
        <v/>
      </c>
      <c r="AA79" s="25">
        <f>$D79*VLOOKUP($C79,原料主数据!$A:$AL, 27, FALSE())</f>
        <v/>
      </c>
      <c r="AB79" s="25">
        <f>$D79*VLOOKUP($C79,原料主数据!$A:$AL, 28, FALSE())</f>
        <v/>
      </c>
      <c r="AC79" s="25">
        <f>$D79*VLOOKUP($C79,原料主数据!$A:$AL, 29, FALSE())</f>
        <v/>
      </c>
      <c r="AD79" s="25">
        <f>$D79*VLOOKUP($C79,原料主数据!$A:$AL, 30, FALSE())</f>
        <v/>
      </c>
      <c r="AE79" s="25">
        <f>$D79*VLOOKUP($C79,原料主数据!$A:$AL, 31, FALSE())</f>
        <v/>
      </c>
      <c r="AF79" s="25">
        <f>$D79*VLOOKUP($C79,原料主数据!$A:$AL, 32, FALSE())</f>
        <v/>
      </c>
      <c r="AG79" s="25">
        <f>$D79*VLOOKUP($C79,原料主数据!$A:$AL, 33, FALSE())</f>
        <v/>
      </c>
      <c r="AH79" s="25">
        <f>$D79*VLOOKUP($C79,原料主数据!$A:$AL, 34, FALSE())</f>
        <v/>
      </c>
      <c r="AI79" s="25">
        <f>$D79*VLOOKUP($C79,原料主数据!$A:$AL, 35, FALSE())</f>
        <v/>
      </c>
      <c r="AJ79" s="25">
        <f>$D79*VLOOKUP($C79,原料主数据!$A:$AL, 36, FALSE())</f>
        <v/>
      </c>
      <c r="AK79" s="25">
        <f>$D79*VLOOKUP($C79,原料主数据!$A:$AL, 37, FALSE())</f>
        <v/>
      </c>
      <c r="AL79" s="25">
        <f>$D79*VLOOKUP($C79,原料主数据!$A:$AL, 38, FALSE())</f>
        <v/>
      </c>
    </row>
    <row r="80" ht="15" customHeight="1" s="15">
      <c r="A80" s="22" t="inlineStr">
        <is>
          <t>PES-0002</t>
        </is>
      </c>
      <c r="B80" s="23" t="inlineStr">
        <is>
          <t>聚酯</t>
        </is>
      </c>
      <c r="C80" s="22" t="inlineStr">
        <is>
          <t>IR557</t>
        </is>
      </c>
      <c r="D80" s="22" t="n">
        <v>37.01</v>
      </c>
      <c r="E80" s="22">
        <f>VLOOKUP($C80,原料主数据!$A:$E,4,FALSE())</f>
        <v/>
      </c>
      <c r="F80" s="22">
        <f>VLOOKUP($C80,原料主数据!$A:$E,5,FALSE())</f>
        <v/>
      </c>
      <c r="G80" s="22">
        <f>$D80*VLOOKUP($C80,原料主数据!$A:$AL, 7, FALSE())</f>
        <v/>
      </c>
      <c r="H80" s="22">
        <f>$D80*VLOOKUP($C80,原料主数据!$A:$AL, 8, FALSE())</f>
        <v/>
      </c>
      <c r="I80" s="22">
        <f>$D80*VLOOKUP($C80,原料主数据!$A:$AL, 9, FALSE())</f>
        <v/>
      </c>
      <c r="J80" s="22">
        <f>$D80*VLOOKUP($C80,原料主数据!$A:$AL, 10, FALSE())</f>
        <v/>
      </c>
      <c r="K80" s="22">
        <f>$D80*VLOOKUP($C80,原料主数据!$A:$AL, 11, FALSE())</f>
        <v/>
      </c>
      <c r="L80" s="22">
        <f>$D80*VLOOKUP($C80,原料主数据!$A:$AL, 12, FALSE())</f>
        <v/>
      </c>
      <c r="M80" s="22">
        <f>$D80*VLOOKUP($C80,原料主数据!$A:$AL, 13, FALSE())</f>
        <v/>
      </c>
      <c r="N80" s="22">
        <f>$D80*VLOOKUP($C80,原料主数据!$A:$AL, 14, FALSE())</f>
        <v/>
      </c>
      <c r="O80" s="22">
        <f>$D80*VLOOKUP($C80,原料主数据!$A:$AL, 15, FALSE())</f>
        <v/>
      </c>
      <c r="P80" s="22">
        <f>$D80*VLOOKUP($C80,原料主数据!$A:$AL, 16, FALSE())</f>
        <v/>
      </c>
      <c r="Q80" s="22">
        <f>$D80*VLOOKUP($C80,原料主数据!$A:$AL, 17, FALSE())</f>
        <v/>
      </c>
      <c r="R80" s="22">
        <f>$D80*VLOOKUP($C80,原料主数据!$A:$AL, 18, FALSE())</f>
        <v/>
      </c>
      <c r="S80" s="22">
        <f>$D80*VLOOKUP($C80,原料主数据!$A:$AL, 19, FALSE())</f>
        <v/>
      </c>
      <c r="T80" s="22">
        <f>$D80*VLOOKUP($C80,原料主数据!$A:$AL, 20, FALSE())</f>
        <v/>
      </c>
      <c r="U80" s="22">
        <f>$D80*VLOOKUP($C80,原料主数据!$A:$AL, 21, FALSE())</f>
        <v/>
      </c>
      <c r="V80" s="22">
        <f>$D80*VLOOKUP($C80,原料主数据!$A:$AL, 22, FALSE())</f>
        <v/>
      </c>
      <c r="W80" s="22">
        <f>$D80*VLOOKUP($C80,原料主数据!$A:$AL, 23, FALSE())</f>
        <v/>
      </c>
      <c r="X80" s="22">
        <f>$D80*VLOOKUP($C80,原料主数据!$A:$AL, 24, FALSE())</f>
        <v/>
      </c>
      <c r="Y80" s="22">
        <f>$D80*VLOOKUP($C80,原料主数据!$A:$AL, 25, FALSE())</f>
        <v/>
      </c>
      <c r="Z80" s="22">
        <f>$D80*VLOOKUP($C80,原料主数据!$A:$AL, 26, FALSE())</f>
        <v/>
      </c>
      <c r="AA80" s="22">
        <f>$D80*VLOOKUP($C80,原料主数据!$A:$AL, 27, FALSE())</f>
        <v/>
      </c>
      <c r="AB80" s="22">
        <f>$D80*VLOOKUP($C80,原料主数据!$A:$AL, 28, FALSE())</f>
        <v/>
      </c>
      <c r="AC80" s="22">
        <f>$D80*VLOOKUP($C80,原料主数据!$A:$AL, 29, FALSE())</f>
        <v/>
      </c>
      <c r="AD80" s="22">
        <f>$D80*VLOOKUP($C80,原料主数据!$A:$AL, 30, FALSE())</f>
        <v/>
      </c>
      <c r="AE80" s="22">
        <f>$D80*VLOOKUP($C80,原料主数据!$A:$AL, 31, FALSE())</f>
        <v/>
      </c>
      <c r="AF80" s="22">
        <f>$D80*VLOOKUP($C80,原料主数据!$A:$AL, 32, FALSE())</f>
        <v/>
      </c>
      <c r="AG80" s="22">
        <f>$D80*VLOOKUP($C80,原料主数据!$A:$AL, 33, FALSE())</f>
        <v/>
      </c>
      <c r="AH80" s="22">
        <f>$D80*VLOOKUP($C80,原料主数据!$A:$AL, 34, FALSE())</f>
        <v/>
      </c>
      <c r="AI80" s="22">
        <f>$D80*VLOOKUP($C80,原料主数据!$A:$AL, 35, FALSE())</f>
        <v/>
      </c>
      <c r="AJ80" s="22">
        <f>$D80*VLOOKUP($C80,原料主数据!$A:$AL, 36, FALSE())</f>
        <v/>
      </c>
      <c r="AK80" s="22">
        <f>$D80*VLOOKUP($C80,原料主数据!$A:$AL, 37, FALSE())</f>
        <v/>
      </c>
      <c r="AL80" s="22">
        <f>$D80*VLOOKUP($C80,原料主数据!$A:$AL, 38, FALSE())</f>
        <v/>
      </c>
    </row>
    <row r="81" ht="15" customHeight="1" s="15">
      <c r="A81" s="25" t="inlineStr">
        <is>
          <t>PES-0002</t>
        </is>
      </c>
      <c r="B81" s="26" t="inlineStr">
        <is>
          <t>聚酯</t>
        </is>
      </c>
      <c r="C81" s="25" t="inlineStr">
        <is>
          <t>RJ561</t>
        </is>
      </c>
      <c r="D81" s="25" t="n">
        <v>28.2</v>
      </c>
      <c r="E81" s="25">
        <f>VLOOKUP($C81,原料主数据!$A:$E,4,FALSE())</f>
        <v/>
      </c>
      <c r="F81" s="25">
        <f>VLOOKUP($C81,原料主数据!$A:$E,5,FALSE())</f>
        <v/>
      </c>
      <c r="G81" s="25">
        <f>$D81*VLOOKUP($C81,原料主数据!$A:$AL, 7, FALSE())</f>
        <v/>
      </c>
      <c r="H81" s="25">
        <f>$D81*VLOOKUP($C81,原料主数据!$A:$AL, 8, FALSE())</f>
        <v/>
      </c>
      <c r="I81" s="25">
        <f>$D81*VLOOKUP($C81,原料主数据!$A:$AL, 9, FALSE())</f>
        <v/>
      </c>
      <c r="J81" s="25">
        <f>$D81*VLOOKUP($C81,原料主数据!$A:$AL, 10, FALSE())</f>
        <v/>
      </c>
      <c r="K81" s="25">
        <f>$D81*VLOOKUP($C81,原料主数据!$A:$AL, 11, FALSE())</f>
        <v/>
      </c>
      <c r="L81" s="25">
        <f>$D81*VLOOKUP($C81,原料主数据!$A:$AL, 12, FALSE())</f>
        <v/>
      </c>
      <c r="M81" s="25">
        <f>$D81*VLOOKUP($C81,原料主数据!$A:$AL, 13, FALSE())</f>
        <v/>
      </c>
      <c r="N81" s="25">
        <f>$D81*VLOOKUP($C81,原料主数据!$A:$AL, 14, FALSE())</f>
        <v/>
      </c>
      <c r="O81" s="25">
        <f>$D81*VLOOKUP($C81,原料主数据!$A:$AL, 15, FALSE())</f>
        <v/>
      </c>
      <c r="P81" s="25">
        <f>$D81*VLOOKUP($C81,原料主数据!$A:$AL, 16, FALSE())</f>
        <v/>
      </c>
      <c r="Q81" s="25">
        <f>$D81*VLOOKUP($C81,原料主数据!$A:$AL, 17, FALSE())</f>
        <v/>
      </c>
      <c r="R81" s="25">
        <f>$D81*VLOOKUP($C81,原料主数据!$A:$AL, 18, FALSE())</f>
        <v/>
      </c>
      <c r="S81" s="25">
        <f>$D81*VLOOKUP($C81,原料主数据!$A:$AL, 19, FALSE())</f>
        <v/>
      </c>
      <c r="T81" s="25">
        <f>$D81*VLOOKUP($C81,原料主数据!$A:$AL, 20, FALSE())</f>
        <v/>
      </c>
      <c r="U81" s="25">
        <f>$D81*VLOOKUP($C81,原料主数据!$A:$AL, 21, FALSE())</f>
        <v/>
      </c>
      <c r="V81" s="25">
        <f>$D81*VLOOKUP($C81,原料主数据!$A:$AL, 22, FALSE())</f>
        <v/>
      </c>
      <c r="W81" s="25">
        <f>$D81*VLOOKUP($C81,原料主数据!$A:$AL, 23, FALSE())</f>
        <v/>
      </c>
      <c r="X81" s="25">
        <f>$D81*VLOOKUP($C81,原料主数据!$A:$AL, 24, FALSE())</f>
        <v/>
      </c>
      <c r="Y81" s="25">
        <f>$D81*VLOOKUP($C81,原料主数据!$A:$AL, 25, FALSE())</f>
        <v/>
      </c>
      <c r="Z81" s="25">
        <f>$D81*VLOOKUP($C81,原料主数据!$A:$AL, 26, FALSE())</f>
        <v/>
      </c>
      <c r="AA81" s="25">
        <f>$D81*VLOOKUP($C81,原料主数据!$A:$AL, 27, FALSE())</f>
        <v/>
      </c>
      <c r="AB81" s="25">
        <f>$D81*VLOOKUP($C81,原料主数据!$A:$AL, 28, FALSE())</f>
        <v/>
      </c>
      <c r="AC81" s="25">
        <f>$D81*VLOOKUP($C81,原料主数据!$A:$AL, 29, FALSE())</f>
        <v/>
      </c>
      <c r="AD81" s="25">
        <f>$D81*VLOOKUP($C81,原料主数据!$A:$AL, 30, FALSE())</f>
        <v/>
      </c>
      <c r="AE81" s="25">
        <f>$D81*VLOOKUP($C81,原料主数据!$A:$AL, 31, FALSE())</f>
        <v/>
      </c>
      <c r="AF81" s="25">
        <f>$D81*VLOOKUP($C81,原料主数据!$A:$AL, 32, FALSE())</f>
        <v/>
      </c>
      <c r="AG81" s="25">
        <f>$D81*VLOOKUP($C81,原料主数据!$A:$AL, 33, FALSE())</f>
        <v/>
      </c>
      <c r="AH81" s="25">
        <f>$D81*VLOOKUP($C81,原料主数据!$A:$AL, 34, FALSE())</f>
        <v/>
      </c>
      <c r="AI81" s="25">
        <f>$D81*VLOOKUP($C81,原料主数据!$A:$AL, 35, FALSE())</f>
        <v/>
      </c>
      <c r="AJ81" s="25">
        <f>$D81*VLOOKUP($C81,原料主数据!$A:$AL, 36, FALSE())</f>
        <v/>
      </c>
      <c r="AK81" s="25">
        <f>$D81*VLOOKUP($C81,原料主数据!$A:$AL, 37, FALSE())</f>
        <v/>
      </c>
      <c r="AL81" s="25">
        <f>$D81*VLOOKUP($C81,原料主数据!$A:$AL, 38, FALSE())</f>
        <v/>
      </c>
    </row>
    <row r="82" ht="15" customHeight="1" s="15">
      <c r="A82" s="22" t="inlineStr">
        <is>
          <t>PES-0002</t>
        </is>
      </c>
      <c r="B82" s="23" t="inlineStr">
        <is>
          <t>聚酯</t>
        </is>
      </c>
      <c r="C82" s="22" t="inlineStr">
        <is>
          <t>RF950</t>
        </is>
      </c>
      <c r="D82" s="22" t="n">
        <v>10</v>
      </c>
      <c r="E82" s="22">
        <f>VLOOKUP($C82,原料主数据!$A:$E,4,FALSE())</f>
        <v/>
      </c>
      <c r="F82" s="22">
        <f>VLOOKUP($C82,原料主数据!$A:$E,5,FALSE())</f>
        <v/>
      </c>
      <c r="G82" s="22">
        <f>$D82*VLOOKUP($C82,原料主数据!$A:$AL, 7, FALSE())</f>
        <v/>
      </c>
      <c r="H82" s="22">
        <f>$D82*VLOOKUP($C82,原料主数据!$A:$AL, 8, FALSE())</f>
        <v/>
      </c>
      <c r="I82" s="22">
        <f>$D82*VLOOKUP($C82,原料主数据!$A:$AL, 9, FALSE())</f>
        <v/>
      </c>
      <c r="J82" s="22">
        <f>$D82*VLOOKUP($C82,原料主数据!$A:$AL, 10, FALSE())</f>
        <v/>
      </c>
      <c r="K82" s="22">
        <f>$D82*VLOOKUP($C82,原料主数据!$A:$AL, 11, FALSE())</f>
        <v/>
      </c>
      <c r="L82" s="22">
        <f>$D82*VLOOKUP($C82,原料主数据!$A:$AL, 12, FALSE())</f>
        <v/>
      </c>
      <c r="M82" s="22">
        <f>$D82*VLOOKUP($C82,原料主数据!$A:$AL, 13, FALSE())</f>
        <v/>
      </c>
      <c r="N82" s="22">
        <f>$D82*VLOOKUP($C82,原料主数据!$A:$AL, 14, FALSE())</f>
        <v/>
      </c>
      <c r="O82" s="22">
        <f>$D82*VLOOKUP($C82,原料主数据!$A:$AL, 15, FALSE())</f>
        <v/>
      </c>
      <c r="P82" s="22">
        <f>$D82*VLOOKUP($C82,原料主数据!$A:$AL, 16, FALSE())</f>
        <v/>
      </c>
      <c r="Q82" s="22">
        <f>$D82*VLOOKUP($C82,原料主数据!$A:$AL, 17, FALSE())</f>
        <v/>
      </c>
      <c r="R82" s="22">
        <f>$D82*VLOOKUP($C82,原料主数据!$A:$AL, 18, FALSE())</f>
        <v/>
      </c>
      <c r="S82" s="22">
        <f>$D82*VLOOKUP($C82,原料主数据!$A:$AL, 19, FALSE())</f>
        <v/>
      </c>
      <c r="T82" s="22">
        <f>$D82*VLOOKUP($C82,原料主数据!$A:$AL, 20, FALSE())</f>
        <v/>
      </c>
      <c r="U82" s="22">
        <f>$D82*VLOOKUP($C82,原料主数据!$A:$AL, 21, FALSE())</f>
        <v/>
      </c>
      <c r="V82" s="22">
        <f>$D82*VLOOKUP($C82,原料主数据!$A:$AL, 22, FALSE())</f>
        <v/>
      </c>
      <c r="W82" s="22">
        <f>$D82*VLOOKUP($C82,原料主数据!$A:$AL, 23, FALSE())</f>
        <v/>
      </c>
      <c r="X82" s="22">
        <f>$D82*VLOOKUP($C82,原料主数据!$A:$AL, 24, FALSE())</f>
        <v/>
      </c>
      <c r="Y82" s="22">
        <f>$D82*VLOOKUP($C82,原料主数据!$A:$AL, 25, FALSE())</f>
        <v/>
      </c>
      <c r="Z82" s="22">
        <f>$D82*VLOOKUP($C82,原料主数据!$A:$AL, 26, FALSE())</f>
        <v/>
      </c>
      <c r="AA82" s="22">
        <f>$D82*VLOOKUP($C82,原料主数据!$A:$AL, 27, FALSE())</f>
        <v/>
      </c>
      <c r="AB82" s="22">
        <f>$D82*VLOOKUP($C82,原料主数据!$A:$AL, 28, FALSE())</f>
        <v/>
      </c>
      <c r="AC82" s="22">
        <f>$D82*VLOOKUP($C82,原料主数据!$A:$AL, 29, FALSE())</f>
        <v/>
      </c>
      <c r="AD82" s="22">
        <f>$D82*VLOOKUP($C82,原料主数据!$A:$AL, 30, FALSE())</f>
        <v/>
      </c>
      <c r="AE82" s="22">
        <f>$D82*VLOOKUP($C82,原料主数据!$A:$AL, 31, FALSE())</f>
        <v/>
      </c>
      <c r="AF82" s="22">
        <f>$D82*VLOOKUP($C82,原料主数据!$A:$AL, 32, FALSE())</f>
        <v/>
      </c>
      <c r="AG82" s="22">
        <f>$D82*VLOOKUP($C82,原料主数据!$A:$AL, 33, FALSE())</f>
        <v/>
      </c>
      <c r="AH82" s="22">
        <f>$D82*VLOOKUP($C82,原料主数据!$A:$AL, 34, FALSE())</f>
        <v/>
      </c>
      <c r="AI82" s="22">
        <f>$D82*VLOOKUP($C82,原料主数据!$A:$AL, 35, FALSE())</f>
        <v/>
      </c>
      <c r="AJ82" s="22">
        <f>$D82*VLOOKUP($C82,原料主数据!$A:$AL, 36, FALSE())</f>
        <v/>
      </c>
      <c r="AK82" s="22">
        <f>$D82*VLOOKUP($C82,原料主数据!$A:$AL, 37, FALSE())</f>
        <v/>
      </c>
      <c r="AL82" s="22">
        <f>$D82*VLOOKUP($C82,原料主数据!$A:$AL, 38, FALSE())</f>
        <v/>
      </c>
    </row>
    <row r="83" ht="15" customHeight="1" s="15">
      <c r="A83" s="25" t="inlineStr">
        <is>
          <t>PES-0002</t>
        </is>
      </c>
      <c r="B83" s="26" t="inlineStr">
        <is>
          <t>聚酯</t>
        </is>
      </c>
      <c r="C83" s="25" t="inlineStr">
        <is>
          <t>RY460</t>
        </is>
      </c>
      <c r="D83" s="25" t="n">
        <v>5</v>
      </c>
      <c r="E83" s="25">
        <f>VLOOKUP($C83,原料主数据!$A:$E,4,FALSE())</f>
        <v/>
      </c>
      <c r="F83" s="25">
        <f>VLOOKUP($C83,原料主数据!$A:$E,5,FALSE())</f>
        <v/>
      </c>
      <c r="G83" s="25">
        <f>$D83*VLOOKUP($C83,原料主数据!$A:$AL, 7, FALSE())</f>
        <v/>
      </c>
      <c r="H83" s="25">
        <f>$D83*VLOOKUP($C83,原料主数据!$A:$AL, 8, FALSE())</f>
        <v/>
      </c>
      <c r="I83" s="25">
        <f>$D83*VLOOKUP($C83,原料主数据!$A:$AL, 9, FALSE())</f>
        <v/>
      </c>
      <c r="J83" s="25">
        <f>$D83*VLOOKUP($C83,原料主数据!$A:$AL, 10, FALSE())</f>
        <v/>
      </c>
      <c r="K83" s="25">
        <f>$D83*VLOOKUP($C83,原料主数据!$A:$AL, 11, FALSE())</f>
        <v/>
      </c>
      <c r="L83" s="25">
        <f>$D83*VLOOKUP($C83,原料主数据!$A:$AL, 12, FALSE())</f>
        <v/>
      </c>
      <c r="M83" s="25">
        <f>$D83*VLOOKUP($C83,原料主数据!$A:$AL, 13, FALSE())</f>
        <v/>
      </c>
      <c r="N83" s="25">
        <f>$D83*VLOOKUP($C83,原料主数据!$A:$AL, 14, FALSE())</f>
        <v/>
      </c>
      <c r="O83" s="25">
        <f>$D83*VLOOKUP($C83,原料主数据!$A:$AL, 15, FALSE())</f>
        <v/>
      </c>
      <c r="P83" s="25">
        <f>$D83*VLOOKUP($C83,原料主数据!$A:$AL, 16, FALSE())</f>
        <v/>
      </c>
      <c r="Q83" s="25">
        <f>$D83*VLOOKUP($C83,原料主数据!$A:$AL, 17, FALSE())</f>
        <v/>
      </c>
      <c r="R83" s="25">
        <f>$D83*VLOOKUP($C83,原料主数据!$A:$AL, 18, FALSE())</f>
        <v/>
      </c>
      <c r="S83" s="25">
        <f>$D83*VLOOKUP($C83,原料主数据!$A:$AL, 19, FALSE())</f>
        <v/>
      </c>
      <c r="T83" s="25">
        <f>$D83*VLOOKUP($C83,原料主数据!$A:$AL, 20, FALSE())</f>
        <v/>
      </c>
      <c r="U83" s="25">
        <f>$D83*VLOOKUP($C83,原料主数据!$A:$AL, 21, FALSE())</f>
        <v/>
      </c>
      <c r="V83" s="25">
        <f>$D83*VLOOKUP($C83,原料主数据!$A:$AL, 22, FALSE())</f>
        <v/>
      </c>
      <c r="W83" s="25">
        <f>$D83*VLOOKUP($C83,原料主数据!$A:$AL, 23, FALSE())</f>
        <v/>
      </c>
      <c r="X83" s="25">
        <f>$D83*VLOOKUP($C83,原料主数据!$A:$AL, 24, FALSE())</f>
        <v/>
      </c>
      <c r="Y83" s="25">
        <f>$D83*VLOOKUP($C83,原料主数据!$A:$AL, 25, FALSE())</f>
        <v/>
      </c>
      <c r="Z83" s="25">
        <f>$D83*VLOOKUP($C83,原料主数据!$A:$AL, 26, FALSE())</f>
        <v/>
      </c>
      <c r="AA83" s="25">
        <f>$D83*VLOOKUP($C83,原料主数据!$A:$AL, 27, FALSE())</f>
        <v/>
      </c>
      <c r="AB83" s="25">
        <f>$D83*VLOOKUP($C83,原料主数据!$A:$AL, 28, FALSE())</f>
        <v/>
      </c>
      <c r="AC83" s="25">
        <f>$D83*VLOOKUP($C83,原料主数据!$A:$AL, 29, FALSE())</f>
        <v/>
      </c>
      <c r="AD83" s="25">
        <f>$D83*VLOOKUP($C83,原料主数据!$A:$AL, 30, FALSE())</f>
        <v/>
      </c>
      <c r="AE83" s="25">
        <f>$D83*VLOOKUP($C83,原料主数据!$A:$AL, 31, FALSE())</f>
        <v/>
      </c>
      <c r="AF83" s="25">
        <f>$D83*VLOOKUP($C83,原料主数据!$A:$AL, 32, FALSE())</f>
        <v/>
      </c>
      <c r="AG83" s="25">
        <f>$D83*VLOOKUP($C83,原料主数据!$A:$AL, 33, FALSE())</f>
        <v/>
      </c>
      <c r="AH83" s="25">
        <f>$D83*VLOOKUP($C83,原料主数据!$A:$AL, 34, FALSE())</f>
        <v/>
      </c>
      <c r="AI83" s="25">
        <f>$D83*VLOOKUP($C83,原料主数据!$A:$AL, 35, FALSE())</f>
        <v/>
      </c>
      <c r="AJ83" s="25">
        <f>$D83*VLOOKUP($C83,原料主数据!$A:$AL, 36, FALSE())</f>
        <v/>
      </c>
      <c r="AK83" s="25">
        <f>$D83*VLOOKUP($C83,原料主数据!$A:$AL, 37, FALSE())</f>
        <v/>
      </c>
      <c r="AL83" s="25">
        <f>$D83*VLOOKUP($C83,原料主数据!$A:$AL, 38, FALSE())</f>
        <v/>
      </c>
    </row>
    <row r="84" ht="15" customHeight="1" s="15">
      <c r="A84" s="22" t="inlineStr">
        <is>
          <t>PES-0002</t>
        </is>
      </c>
      <c r="B84" s="23" t="inlineStr">
        <is>
          <t>聚酯</t>
        </is>
      </c>
      <c r="C84" s="22" t="inlineStr">
        <is>
          <t>AC040</t>
        </is>
      </c>
      <c r="D84" s="22" t="n">
        <v>0.15</v>
      </c>
      <c r="E84" s="22">
        <f>VLOOKUP($C84,原料主数据!$A:$E,4,FALSE())</f>
        <v/>
      </c>
      <c r="F84" s="22">
        <f>VLOOKUP($C84,原料主数据!$A:$E,5,FALSE())</f>
        <v/>
      </c>
      <c r="G84" s="22">
        <f>$D84*VLOOKUP($C84,原料主数据!$A:$AL, 7, FALSE())</f>
        <v/>
      </c>
      <c r="H84" s="22">
        <f>$D84*VLOOKUP($C84,原料主数据!$A:$AL, 8, FALSE())</f>
        <v/>
      </c>
      <c r="I84" s="22">
        <f>$D84*VLOOKUP($C84,原料主数据!$A:$AL, 9, FALSE())</f>
        <v/>
      </c>
      <c r="J84" s="22">
        <f>$D84*VLOOKUP($C84,原料主数据!$A:$AL, 10, FALSE())</f>
        <v/>
      </c>
      <c r="K84" s="22">
        <f>$D84*VLOOKUP($C84,原料主数据!$A:$AL, 11, FALSE())</f>
        <v/>
      </c>
      <c r="L84" s="22">
        <f>$D84*VLOOKUP($C84,原料主数据!$A:$AL, 12, FALSE())</f>
        <v/>
      </c>
      <c r="M84" s="22">
        <f>$D84*VLOOKUP($C84,原料主数据!$A:$AL, 13, FALSE())</f>
        <v/>
      </c>
      <c r="N84" s="22">
        <f>$D84*VLOOKUP($C84,原料主数据!$A:$AL, 14, FALSE())</f>
        <v/>
      </c>
      <c r="O84" s="22">
        <f>$D84*VLOOKUP($C84,原料主数据!$A:$AL, 15, FALSE())</f>
        <v/>
      </c>
      <c r="P84" s="22">
        <f>$D84*VLOOKUP($C84,原料主数据!$A:$AL, 16, FALSE())</f>
        <v/>
      </c>
      <c r="Q84" s="22">
        <f>$D84*VLOOKUP($C84,原料主数据!$A:$AL, 17, FALSE())</f>
        <v/>
      </c>
      <c r="R84" s="22">
        <f>$D84*VLOOKUP($C84,原料主数据!$A:$AL, 18, FALSE())</f>
        <v/>
      </c>
      <c r="S84" s="22">
        <f>$D84*VLOOKUP($C84,原料主数据!$A:$AL, 19, FALSE())</f>
        <v/>
      </c>
      <c r="T84" s="22">
        <f>$D84*VLOOKUP($C84,原料主数据!$A:$AL, 20, FALSE())</f>
        <v/>
      </c>
      <c r="U84" s="22">
        <f>$D84*VLOOKUP($C84,原料主数据!$A:$AL, 21, FALSE())</f>
        <v/>
      </c>
      <c r="V84" s="22">
        <f>$D84*VLOOKUP($C84,原料主数据!$A:$AL, 22, FALSE())</f>
        <v/>
      </c>
      <c r="W84" s="22">
        <f>$D84*VLOOKUP($C84,原料主数据!$A:$AL, 23, FALSE())</f>
        <v/>
      </c>
      <c r="X84" s="22">
        <f>$D84*VLOOKUP($C84,原料主数据!$A:$AL, 24, FALSE())</f>
        <v/>
      </c>
      <c r="Y84" s="22">
        <f>$D84*VLOOKUP($C84,原料主数据!$A:$AL, 25, FALSE())</f>
        <v/>
      </c>
      <c r="Z84" s="22">
        <f>$D84*VLOOKUP($C84,原料主数据!$A:$AL, 26, FALSE())</f>
        <v/>
      </c>
      <c r="AA84" s="22">
        <f>$D84*VLOOKUP($C84,原料主数据!$A:$AL, 27, FALSE())</f>
        <v/>
      </c>
      <c r="AB84" s="22">
        <f>$D84*VLOOKUP($C84,原料主数据!$A:$AL, 28, FALSE())</f>
        <v/>
      </c>
      <c r="AC84" s="22">
        <f>$D84*VLOOKUP($C84,原料主数据!$A:$AL, 29, FALSE())</f>
        <v/>
      </c>
      <c r="AD84" s="22">
        <f>$D84*VLOOKUP($C84,原料主数据!$A:$AL, 30, FALSE())</f>
        <v/>
      </c>
      <c r="AE84" s="22">
        <f>$D84*VLOOKUP($C84,原料主数据!$A:$AL, 31, FALSE())</f>
        <v/>
      </c>
      <c r="AF84" s="22">
        <f>$D84*VLOOKUP($C84,原料主数据!$A:$AL, 32, FALSE())</f>
        <v/>
      </c>
      <c r="AG84" s="22">
        <f>$D84*VLOOKUP($C84,原料主数据!$A:$AL, 33, FALSE())</f>
        <v/>
      </c>
      <c r="AH84" s="22">
        <f>$D84*VLOOKUP($C84,原料主数据!$A:$AL, 34, FALSE())</f>
        <v/>
      </c>
      <c r="AI84" s="22">
        <f>$D84*VLOOKUP($C84,原料主数据!$A:$AL, 35, FALSE())</f>
        <v/>
      </c>
      <c r="AJ84" s="22">
        <f>$D84*VLOOKUP($C84,原料主数据!$A:$AL, 36, FALSE())</f>
        <v/>
      </c>
      <c r="AK84" s="22">
        <f>$D84*VLOOKUP($C84,原料主数据!$A:$AL, 37, FALSE())</f>
        <v/>
      </c>
      <c r="AL84" s="22">
        <f>$D84*VLOOKUP($C84,原料主数据!$A:$AL, 38, FALSE())</f>
        <v/>
      </c>
    </row>
    <row r="85" ht="15" customHeight="1" s="15">
      <c r="A85" s="25" t="inlineStr">
        <is>
          <t>PES-0002</t>
        </is>
      </c>
      <c r="B85" s="26" t="inlineStr">
        <is>
          <t>聚酯</t>
        </is>
      </c>
      <c r="C85" s="25" t="inlineStr">
        <is>
          <t>TF100</t>
        </is>
      </c>
      <c r="D85" s="25" t="n">
        <v>3.35</v>
      </c>
      <c r="E85" s="25">
        <f>VLOOKUP($C85,原料主数据!$A:$E,4,FALSE())</f>
        <v/>
      </c>
      <c r="F85" s="25">
        <f>VLOOKUP($C85,原料主数据!$A:$E,5,FALSE())</f>
        <v/>
      </c>
      <c r="G85" s="25">
        <f>$D85*VLOOKUP($C85,原料主数据!$A:$AL, 7, FALSE())</f>
        <v/>
      </c>
      <c r="H85" s="25">
        <f>$D85*VLOOKUP($C85,原料主数据!$A:$AL, 8, FALSE())</f>
        <v/>
      </c>
      <c r="I85" s="25">
        <f>$D85*VLOOKUP($C85,原料主数据!$A:$AL, 9, FALSE())</f>
        <v/>
      </c>
      <c r="J85" s="25">
        <f>$D85*VLOOKUP($C85,原料主数据!$A:$AL, 10, FALSE())</f>
        <v/>
      </c>
      <c r="K85" s="25">
        <f>$D85*VLOOKUP($C85,原料主数据!$A:$AL, 11, FALSE())</f>
        <v/>
      </c>
      <c r="L85" s="25">
        <f>$D85*VLOOKUP($C85,原料主数据!$A:$AL, 12, FALSE())</f>
        <v/>
      </c>
      <c r="M85" s="25">
        <f>$D85*VLOOKUP($C85,原料主数据!$A:$AL, 13, FALSE())</f>
        <v/>
      </c>
      <c r="N85" s="25">
        <f>$D85*VLOOKUP($C85,原料主数据!$A:$AL, 14, FALSE())</f>
        <v/>
      </c>
      <c r="O85" s="25">
        <f>$D85*VLOOKUP($C85,原料主数据!$A:$AL, 15, FALSE())</f>
        <v/>
      </c>
      <c r="P85" s="25">
        <f>$D85*VLOOKUP($C85,原料主数据!$A:$AL, 16, FALSE())</f>
        <v/>
      </c>
      <c r="Q85" s="25">
        <f>$D85*VLOOKUP($C85,原料主数据!$A:$AL, 17, FALSE())</f>
        <v/>
      </c>
      <c r="R85" s="25">
        <f>$D85*VLOOKUP($C85,原料主数据!$A:$AL, 18, FALSE())</f>
        <v/>
      </c>
      <c r="S85" s="25">
        <f>$D85*VLOOKUP($C85,原料主数据!$A:$AL, 19, FALSE())</f>
        <v/>
      </c>
      <c r="T85" s="25">
        <f>$D85*VLOOKUP($C85,原料主数据!$A:$AL, 20, FALSE())</f>
        <v/>
      </c>
      <c r="U85" s="25">
        <f>$D85*VLOOKUP($C85,原料主数据!$A:$AL, 21, FALSE())</f>
        <v/>
      </c>
      <c r="V85" s="25">
        <f>$D85*VLOOKUP($C85,原料主数据!$A:$AL, 22, FALSE())</f>
        <v/>
      </c>
      <c r="W85" s="25">
        <f>$D85*VLOOKUP($C85,原料主数据!$A:$AL, 23, FALSE())</f>
        <v/>
      </c>
      <c r="X85" s="25">
        <f>$D85*VLOOKUP($C85,原料主数据!$A:$AL, 24, FALSE())</f>
        <v/>
      </c>
      <c r="Y85" s="25">
        <f>$D85*VLOOKUP($C85,原料主数据!$A:$AL, 25, FALSE())</f>
        <v/>
      </c>
      <c r="Z85" s="25">
        <f>$D85*VLOOKUP($C85,原料主数据!$A:$AL, 26, FALSE())</f>
        <v/>
      </c>
      <c r="AA85" s="25">
        <f>$D85*VLOOKUP($C85,原料主数据!$A:$AL, 27, FALSE())</f>
        <v/>
      </c>
      <c r="AB85" s="25">
        <f>$D85*VLOOKUP($C85,原料主数据!$A:$AL, 28, FALSE())</f>
        <v/>
      </c>
      <c r="AC85" s="25">
        <f>$D85*VLOOKUP($C85,原料主数据!$A:$AL, 29, FALSE())</f>
        <v/>
      </c>
      <c r="AD85" s="25">
        <f>$D85*VLOOKUP($C85,原料主数据!$A:$AL, 30, FALSE())</f>
        <v/>
      </c>
      <c r="AE85" s="25">
        <f>$D85*VLOOKUP($C85,原料主数据!$A:$AL, 31, FALSE())</f>
        <v/>
      </c>
      <c r="AF85" s="25">
        <f>$D85*VLOOKUP($C85,原料主数据!$A:$AL, 32, FALSE())</f>
        <v/>
      </c>
      <c r="AG85" s="25">
        <f>$D85*VLOOKUP($C85,原料主数据!$A:$AL, 33, FALSE())</f>
        <v/>
      </c>
      <c r="AH85" s="25">
        <f>$D85*VLOOKUP($C85,原料主数据!$A:$AL, 34, FALSE())</f>
        <v/>
      </c>
      <c r="AI85" s="25">
        <f>$D85*VLOOKUP($C85,原料主数据!$A:$AL, 35, FALSE())</f>
        <v/>
      </c>
      <c r="AJ85" s="25">
        <f>$D85*VLOOKUP($C85,原料主数据!$A:$AL, 36, FALSE())</f>
        <v/>
      </c>
      <c r="AK85" s="25">
        <f>$D85*VLOOKUP($C85,原料主数据!$A:$AL, 37, FALSE())</f>
        <v/>
      </c>
      <c r="AL85" s="25">
        <f>$D85*VLOOKUP($C85,原料主数据!$A:$AL, 38, FALSE())</f>
        <v/>
      </c>
    </row>
    <row r="86" ht="15" customHeight="1" s="15">
      <c r="A86" s="22" t="inlineStr">
        <is>
          <t>PES-0002</t>
        </is>
      </c>
      <c r="B86" s="23" t="inlineStr">
        <is>
          <t>聚酯</t>
        </is>
      </c>
      <c r="C86" s="22" t="inlineStr">
        <is>
          <t>TM004</t>
        </is>
      </c>
      <c r="D86" s="22" t="n">
        <v>1.35</v>
      </c>
      <c r="E86" s="22">
        <f>VLOOKUP($C86,原料主数据!$A:$E,4,FALSE())</f>
        <v/>
      </c>
      <c r="F86" s="22">
        <f>VLOOKUP($C86,原料主数据!$A:$E,5,FALSE())</f>
        <v/>
      </c>
      <c r="G86" s="22">
        <f>$D86*VLOOKUP($C86,原料主数据!$A:$AL, 7, FALSE())</f>
        <v/>
      </c>
      <c r="H86" s="22">
        <f>$D86*VLOOKUP($C86,原料主数据!$A:$AL, 8, FALSE())</f>
        <v/>
      </c>
      <c r="I86" s="22">
        <f>$D86*VLOOKUP($C86,原料主数据!$A:$AL, 9, FALSE())</f>
        <v/>
      </c>
      <c r="J86" s="22">
        <f>$D86*VLOOKUP($C86,原料主数据!$A:$AL, 10, FALSE())</f>
        <v/>
      </c>
      <c r="K86" s="22">
        <f>$D86*VLOOKUP($C86,原料主数据!$A:$AL, 11, FALSE())</f>
        <v/>
      </c>
      <c r="L86" s="22">
        <f>$D86*VLOOKUP($C86,原料主数据!$A:$AL, 12, FALSE())</f>
        <v/>
      </c>
      <c r="M86" s="22">
        <f>$D86*VLOOKUP($C86,原料主数据!$A:$AL, 13, FALSE())</f>
        <v/>
      </c>
      <c r="N86" s="22">
        <f>$D86*VLOOKUP($C86,原料主数据!$A:$AL, 14, FALSE())</f>
        <v/>
      </c>
      <c r="O86" s="22">
        <f>$D86*VLOOKUP($C86,原料主数据!$A:$AL, 15, FALSE())</f>
        <v/>
      </c>
      <c r="P86" s="22">
        <f>$D86*VLOOKUP($C86,原料主数据!$A:$AL, 16, FALSE())</f>
        <v/>
      </c>
      <c r="Q86" s="22">
        <f>$D86*VLOOKUP($C86,原料主数据!$A:$AL, 17, FALSE())</f>
        <v/>
      </c>
      <c r="R86" s="22">
        <f>$D86*VLOOKUP($C86,原料主数据!$A:$AL, 18, FALSE())</f>
        <v/>
      </c>
      <c r="S86" s="22">
        <f>$D86*VLOOKUP($C86,原料主数据!$A:$AL, 19, FALSE())</f>
        <v/>
      </c>
      <c r="T86" s="22">
        <f>$D86*VLOOKUP($C86,原料主数据!$A:$AL, 20, FALSE())</f>
        <v/>
      </c>
      <c r="U86" s="22">
        <f>$D86*VLOOKUP($C86,原料主数据!$A:$AL, 21, FALSE())</f>
        <v/>
      </c>
      <c r="V86" s="22">
        <f>$D86*VLOOKUP($C86,原料主数据!$A:$AL, 22, FALSE())</f>
        <v/>
      </c>
      <c r="W86" s="22">
        <f>$D86*VLOOKUP($C86,原料主数据!$A:$AL, 23, FALSE())</f>
        <v/>
      </c>
      <c r="X86" s="22">
        <f>$D86*VLOOKUP($C86,原料主数据!$A:$AL, 24, FALSE())</f>
        <v/>
      </c>
      <c r="Y86" s="22">
        <f>$D86*VLOOKUP($C86,原料主数据!$A:$AL, 25, FALSE())</f>
        <v/>
      </c>
      <c r="Z86" s="22">
        <f>$D86*VLOOKUP($C86,原料主数据!$A:$AL, 26, FALSE())</f>
        <v/>
      </c>
      <c r="AA86" s="22">
        <f>$D86*VLOOKUP($C86,原料主数据!$A:$AL, 27, FALSE())</f>
        <v/>
      </c>
      <c r="AB86" s="22">
        <f>$D86*VLOOKUP($C86,原料主数据!$A:$AL, 28, FALSE())</f>
        <v/>
      </c>
      <c r="AC86" s="22">
        <f>$D86*VLOOKUP($C86,原料主数据!$A:$AL, 29, FALSE())</f>
        <v/>
      </c>
      <c r="AD86" s="22">
        <f>$D86*VLOOKUP($C86,原料主数据!$A:$AL, 30, FALSE())</f>
        <v/>
      </c>
      <c r="AE86" s="22">
        <f>$D86*VLOOKUP($C86,原料主数据!$A:$AL, 31, FALSE())</f>
        <v/>
      </c>
      <c r="AF86" s="22">
        <f>$D86*VLOOKUP($C86,原料主数据!$A:$AL, 32, FALSE())</f>
        <v/>
      </c>
      <c r="AG86" s="22">
        <f>$D86*VLOOKUP($C86,原料主数据!$A:$AL, 33, FALSE())</f>
        <v/>
      </c>
      <c r="AH86" s="22">
        <f>$D86*VLOOKUP($C86,原料主数据!$A:$AL, 34, FALSE())</f>
        <v/>
      </c>
      <c r="AI86" s="22">
        <f>$D86*VLOOKUP($C86,原料主数据!$A:$AL, 35, FALSE())</f>
        <v/>
      </c>
      <c r="AJ86" s="22">
        <f>$D86*VLOOKUP($C86,原料主数据!$A:$AL, 36, FALSE())</f>
        <v/>
      </c>
      <c r="AK86" s="22">
        <f>$D86*VLOOKUP($C86,原料主数据!$A:$AL, 37, FALSE())</f>
        <v/>
      </c>
      <c r="AL86" s="22">
        <f>$D86*VLOOKUP($C86,原料主数据!$A:$AL, 38, FALSE())</f>
        <v/>
      </c>
    </row>
    <row r="87" ht="15" customHeight="1" s="15">
      <c r="A87" s="25" t="inlineStr">
        <is>
          <t>PES-0003</t>
        </is>
      </c>
      <c r="B87" s="26" t="inlineStr">
        <is>
          <t>聚酯</t>
        </is>
      </c>
      <c r="C87" s="25" t="inlineStr">
        <is>
          <t>IR909</t>
        </is>
      </c>
      <c r="D87" s="25" t="n">
        <v>37.01</v>
      </c>
      <c r="E87" s="25">
        <f>VLOOKUP($C87,原料主数据!$A:$E,4,FALSE())</f>
        <v/>
      </c>
      <c r="F87" s="25">
        <f>VLOOKUP($C87,原料主数据!$A:$E,5,FALSE())</f>
        <v/>
      </c>
      <c r="G87" s="25">
        <f>$D87*VLOOKUP($C87,原料主数据!$A:$AL, 7, FALSE())</f>
        <v/>
      </c>
      <c r="H87" s="25">
        <f>$D87*VLOOKUP($C87,原料主数据!$A:$AL, 8, FALSE())</f>
        <v/>
      </c>
      <c r="I87" s="25">
        <f>$D87*VLOOKUP($C87,原料主数据!$A:$AL, 9, FALSE())</f>
        <v/>
      </c>
      <c r="J87" s="25">
        <f>$D87*VLOOKUP($C87,原料主数据!$A:$AL, 10, FALSE())</f>
        <v/>
      </c>
      <c r="K87" s="25">
        <f>$D87*VLOOKUP($C87,原料主数据!$A:$AL, 11, FALSE())</f>
        <v/>
      </c>
      <c r="L87" s="25">
        <f>$D87*VLOOKUP($C87,原料主数据!$A:$AL, 12, FALSE())</f>
        <v/>
      </c>
      <c r="M87" s="25">
        <f>$D87*VLOOKUP($C87,原料主数据!$A:$AL, 13, FALSE())</f>
        <v/>
      </c>
      <c r="N87" s="25">
        <f>$D87*VLOOKUP($C87,原料主数据!$A:$AL, 14, FALSE())</f>
        <v/>
      </c>
      <c r="O87" s="25">
        <f>$D87*VLOOKUP($C87,原料主数据!$A:$AL, 15, FALSE())</f>
        <v/>
      </c>
      <c r="P87" s="25">
        <f>$D87*VLOOKUP($C87,原料主数据!$A:$AL, 16, FALSE())</f>
        <v/>
      </c>
      <c r="Q87" s="25">
        <f>$D87*VLOOKUP($C87,原料主数据!$A:$AL, 17, FALSE())</f>
        <v/>
      </c>
      <c r="R87" s="25">
        <f>$D87*VLOOKUP($C87,原料主数据!$A:$AL, 18, FALSE())</f>
        <v/>
      </c>
      <c r="S87" s="25">
        <f>$D87*VLOOKUP($C87,原料主数据!$A:$AL, 19, FALSE())</f>
        <v/>
      </c>
      <c r="T87" s="25">
        <f>$D87*VLOOKUP($C87,原料主数据!$A:$AL, 20, FALSE())</f>
        <v/>
      </c>
      <c r="U87" s="25">
        <f>$D87*VLOOKUP($C87,原料主数据!$A:$AL, 21, FALSE())</f>
        <v/>
      </c>
      <c r="V87" s="25">
        <f>$D87*VLOOKUP($C87,原料主数据!$A:$AL, 22, FALSE())</f>
        <v/>
      </c>
      <c r="W87" s="25">
        <f>$D87*VLOOKUP($C87,原料主数据!$A:$AL, 23, FALSE())</f>
        <v/>
      </c>
      <c r="X87" s="25">
        <f>$D87*VLOOKUP($C87,原料主数据!$A:$AL, 24, FALSE())</f>
        <v/>
      </c>
      <c r="Y87" s="25">
        <f>$D87*VLOOKUP($C87,原料主数据!$A:$AL, 25, FALSE())</f>
        <v/>
      </c>
      <c r="Z87" s="25">
        <f>$D87*VLOOKUP($C87,原料主数据!$A:$AL, 26, FALSE())</f>
        <v/>
      </c>
      <c r="AA87" s="25">
        <f>$D87*VLOOKUP($C87,原料主数据!$A:$AL, 27, FALSE())</f>
        <v/>
      </c>
      <c r="AB87" s="25">
        <f>$D87*VLOOKUP($C87,原料主数据!$A:$AL, 28, FALSE())</f>
        <v/>
      </c>
      <c r="AC87" s="25">
        <f>$D87*VLOOKUP($C87,原料主数据!$A:$AL, 29, FALSE())</f>
        <v/>
      </c>
      <c r="AD87" s="25">
        <f>$D87*VLOOKUP($C87,原料主数据!$A:$AL, 30, FALSE())</f>
        <v/>
      </c>
      <c r="AE87" s="25">
        <f>$D87*VLOOKUP($C87,原料主数据!$A:$AL, 31, FALSE())</f>
        <v/>
      </c>
      <c r="AF87" s="25">
        <f>$D87*VLOOKUP($C87,原料主数据!$A:$AL, 32, FALSE())</f>
        <v/>
      </c>
      <c r="AG87" s="25">
        <f>$D87*VLOOKUP($C87,原料主数据!$A:$AL, 33, FALSE())</f>
        <v/>
      </c>
      <c r="AH87" s="25">
        <f>$D87*VLOOKUP($C87,原料主数据!$A:$AL, 34, FALSE())</f>
        <v/>
      </c>
      <c r="AI87" s="25">
        <f>$D87*VLOOKUP($C87,原料主数据!$A:$AL, 35, FALSE())</f>
        <v/>
      </c>
      <c r="AJ87" s="25">
        <f>$D87*VLOOKUP($C87,原料主数据!$A:$AL, 36, FALSE())</f>
        <v/>
      </c>
      <c r="AK87" s="25">
        <f>$D87*VLOOKUP($C87,原料主数据!$A:$AL, 37, FALSE())</f>
        <v/>
      </c>
      <c r="AL87" s="25">
        <f>$D87*VLOOKUP($C87,原料主数据!$A:$AL, 38, FALSE())</f>
        <v/>
      </c>
    </row>
    <row r="88" ht="15" customHeight="1" s="15">
      <c r="A88" s="22" t="inlineStr">
        <is>
          <t>PES-0003</t>
        </is>
      </c>
      <c r="B88" s="23" t="inlineStr">
        <is>
          <t>聚酯</t>
        </is>
      </c>
      <c r="C88" s="22" t="inlineStr">
        <is>
          <t>RJ561</t>
        </is>
      </c>
      <c r="D88" s="22" t="n">
        <v>28.2</v>
      </c>
      <c r="E88" s="22">
        <f>VLOOKUP($C88,原料主数据!$A:$E,4,FALSE())</f>
        <v/>
      </c>
      <c r="F88" s="22">
        <f>VLOOKUP($C88,原料主数据!$A:$E,5,FALSE())</f>
        <v/>
      </c>
      <c r="G88" s="22">
        <f>$D88*VLOOKUP($C88,原料主数据!$A:$AL, 7, FALSE())</f>
        <v/>
      </c>
      <c r="H88" s="22">
        <f>$D88*VLOOKUP($C88,原料主数据!$A:$AL, 8, FALSE())</f>
        <v/>
      </c>
      <c r="I88" s="22">
        <f>$D88*VLOOKUP($C88,原料主数据!$A:$AL, 9, FALSE())</f>
        <v/>
      </c>
      <c r="J88" s="22">
        <f>$D88*VLOOKUP($C88,原料主数据!$A:$AL, 10, FALSE())</f>
        <v/>
      </c>
      <c r="K88" s="22">
        <f>$D88*VLOOKUP($C88,原料主数据!$A:$AL, 11, FALSE())</f>
        <v/>
      </c>
      <c r="L88" s="22">
        <f>$D88*VLOOKUP($C88,原料主数据!$A:$AL, 12, FALSE())</f>
        <v/>
      </c>
      <c r="M88" s="22">
        <f>$D88*VLOOKUP($C88,原料主数据!$A:$AL, 13, FALSE())</f>
        <v/>
      </c>
      <c r="N88" s="22">
        <f>$D88*VLOOKUP($C88,原料主数据!$A:$AL, 14, FALSE())</f>
        <v/>
      </c>
      <c r="O88" s="22">
        <f>$D88*VLOOKUP($C88,原料主数据!$A:$AL, 15, FALSE())</f>
        <v/>
      </c>
      <c r="P88" s="22">
        <f>$D88*VLOOKUP($C88,原料主数据!$A:$AL, 16, FALSE())</f>
        <v/>
      </c>
      <c r="Q88" s="22">
        <f>$D88*VLOOKUP($C88,原料主数据!$A:$AL, 17, FALSE())</f>
        <v/>
      </c>
      <c r="R88" s="22">
        <f>$D88*VLOOKUP($C88,原料主数据!$A:$AL, 18, FALSE())</f>
        <v/>
      </c>
      <c r="S88" s="22">
        <f>$D88*VLOOKUP($C88,原料主数据!$A:$AL, 19, FALSE())</f>
        <v/>
      </c>
      <c r="T88" s="22">
        <f>$D88*VLOOKUP($C88,原料主数据!$A:$AL, 20, FALSE())</f>
        <v/>
      </c>
      <c r="U88" s="22">
        <f>$D88*VLOOKUP($C88,原料主数据!$A:$AL, 21, FALSE())</f>
        <v/>
      </c>
      <c r="V88" s="22">
        <f>$D88*VLOOKUP($C88,原料主数据!$A:$AL, 22, FALSE())</f>
        <v/>
      </c>
      <c r="W88" s="22">
        <f>$D88*VLOOKUP($C88,原料主数据!$A:$AL, 23, FALSE())</f>
        <v/>
      </c>
      <c r="X88" s="22">
        <f>$D88*VLOOKUP($C88,原料主数据!$A:$AL, 24, FALSE())</f>
        <v/>
      </c>
      <c r="Y88" s="22">
        <f>$D88*VLOOKUP($C88,原料主数据!$A:$AL, 25, FALSE())</f>
        <v/>
      </c>
      <c r="Z88" s="22">
        <f>$D88*VLOOKUP($C88,原料主数据!$A:$AL, 26, FALSE())</f>
        <v/>
      </c>
      <c r="AA88" s="22">
        <f>$D88*VLOOKUP($C88,原料主数据!$A:$AL, 27, FALSE())</f>
        <v/>
      </c>
      <c r="AB88" s="22">
        <f>$D88*VLOOKUP($C88,原料主数据!$A:$AL, 28, FALSE())</f>
        <v/>
      </c>
      <c r="AC88" s="22">
        <f>$D88*VLOOKUP($C88,原料主数据!$A:$AL, 29, FALSE())</f>
        <v/>
      </c>
      <c r="AD88" s="22">
        <f>$D88*VLOOKUP($C88,原料主数据!$A:$AL, 30, FALSE())</f>
        <v/>
      </c>
      <c r="AE88" s="22">
        <f>$D88*VLOOKUP($C88,原料主数据!$A:$AL, 31, FALSE())</f>
        <v/>
      </c>
      <c r="AF88" s="22">
        <f>$D88*VLOOKUP($C88,原料主数据!$A:$AL, 32, FALSE())</f>
        <v/>
      </c>
      <c r="AG88" s="22">
        <f>$D88*VLOOKUP($C88,原料主数据!$A:$AL, 33, FALSE())</f>
        <v/>
      </c>
      <c r="AH88" s="22">
        <f>$D88*VLOOKUP($C88,原料主数据!$A:$AL, 34, FALSE())</f>
        <v/>
      </c>
      <c r="AI88" s="22">
        <f>$D88*VLOOKUP($C88,原料主数据!$A:$AL, 35, FALSE())</f>
        <v/>
      </c>
      <c r="AJ88" s="22">
        <f>$D88*VLOOKUP($C88,原料主数据!$A:$AL, 36, FALSE())</f>
        <v/>
      </c>
      <c r="AK88" s="22">
        <f>$D88*VLOOKUP($C88,原料主数据!$A:$AL, 37, FALSE())</f>
        <v/>
      </c>
      <c r="AL88" s="22">
        <f>$D88*VLOOKUP($C88,原料主数据!$A:$AL, 38, FALSE())</f>
        <v/>
      </c>
    </row>
    <row r="89" ht="15" customHeight="1" s="15">
      <c r="A89" s="25" t="inlineStr">
        <is>
          <t>PES-0003</t>
        </is>
      </c>
      <c r="B89" s="26" t="inlineStr">
        <is>
          <t>聚酯</t>
        </is>
      </c>
      <c r="C89" s="25" t="inlineStr">
        <is>
          <t>RF516</t>
        </is>
      </c>
      <c r="D89" s="25" t="n">
        <v>10</v>
      </c>
      <c r="E89" s="25">
        <f>VLOOKUP($C89,原料主数据!$A:$E,4,FALSE())</f>
        <v/>
      </c>
      <c r="F89" s="25">
        <f>VLOOKUP($C89,原料主数据!$A:$E,5,FALSE())</f>
        <v/>
      </c>
      <c r="G89" s="25">
        <f>$D89*VLOOKUP($C89,原料主数据!$A:$AL, 7, FALSE())</f>
        <v/>
      </c>
      <c r="H89" s="25">
        <f>$D89*VLOOKUP($C89,原料主数据!$A:$AL, 8, FALSE())</f>
        <v/>
      </c>
      <c r="I89" s="25">
        <f>$D89*VLOOKUP($C89,原料主数据!$A:$AL, 9, FALSE())</f>
        <v/>
      </c>
      <c r="J89" s="25">
        <f>$D89*VLOOKUP($C89,原料主数据!$A:$AL, 10, FALSE())</f>
        <v/>
      </c>
      <c r="K89" s="25">
        <f>$D89*VLOOKUP($C89,原料主数据!$A:$AL, 11, FALSE())</f>
        <v/>
      </c>
      <c r="L89" s="25">
        <f>$D89*VLOOKUP($C89,原料主数据!$A:$AL, 12, FALSE())</f>
        <v/>
      </c>
      <c r="M89" s="25">
        <f>$D89*VLOOKUP($C89,原料主数据!$A:$AL, 13, FALSE())</f>
        <v/>
      </c>
      <c r="N89" s="25">
        <f>$D89*VLOOKUP($C89,原料主数据!$A:$AL, 14, FALSE())</f>
        <v/>
      </c>
      <c r="O89" s="25">
        <f>$D89*VLOOKUP($C89,原料主数据!$A:$AL, 15, FALSE())</f>
        <v/>
      </c>
      <c r="P89" s="25">
        <f>$D89*VLOOKUP($C89,原料主数据!$A:$AL, 16, FALSE())</f>
        <v/>
      </c>
      <c r="Q89" s="25">
        <f>$D89*VLOOKUP($C89,原料主数据!$A:$AL, 17, FALSE())</f>
        <v/>
      </c>
      <c r="R89" s="25">
        <f>$D89*VLOOKUP($C89,原料主数据!$A:$AL, 18, FALSE())</f>
        <v/>
      </c>
      <c r="S89" s="25">
        <f>$D89*VLOOKUP($C89,原料主数据!$A:$AL, 19, FALSE())</f>
        <v/>
      </c>
      <c r="T89" s="25">
        <f>$D89*VLOOKUP($C89,原料主数据!$A:$AL, 20, FALSE())</f>
        <v/>
      </c>
      <c r="U89" s="25">
        <f>$D89*VLOOKUP($C89,原料主数据!$A:$AL, 21, FALSE())</f>
        <v/>
      </c>
      <c r="V89" s="25">
        <f>$D89*VLOOKUP($C89,原料主数据!$A:$AL, 22, FALSE())</f>
        <v/>
      </c>
      <c r="W89" s="25">
        <f>$D89*VLOOKUP($C89,原料主数据!$A:$AL, 23, FALSE())</f>
        <v/>
      </c>
      <c r="X89" s="25">
        <f>$D89*VLOOKUP($C89,原料主数据!$A:$AL, 24, FALSE())</f>
        <v/>
      </c>
      <c r="Y89" s="25">
        <f>$D89*VLOOKUP($C89,原料主数据!$A:$AL, 25, FALSE())</f>
        <v/>
      </c>
      <c r="Z89" s="25">
        <f>$D89*VLOOKUP($C89,原料主数据!$A:$AL, 26, FALSE())</f>
        <v/>
      </c>
      <c r="AA89" s="25">
        <f>$D89*VLOOKUP($C89,原料主数据!$A:$AL, 27, FALSE())</f>
        <v/>
      </c>
      <c r="AB89" s="25">
        <f>$D89*VLOOKUP($C89,原料主数据!$A:$AL, 28, FALSE())</f>
        <v/>
      </c>
      <c r="AC89" s="25">
        <f>$D89*VLOOKUP($C89,原料主数据!$A:$AL, 29, FALSE())</f>
        <v/>
      </c>
      <c r="AD89" s="25">
        <f>$D89*VLOOKUP($C89,原料主数据!$A:$AL, 30, FALSE())</f>
        <v/>
      </c>
      <c r="AE89" s="25">
        <f>$D89*VLOOKUP($C89,原料主数据!$A:$AL, 31, FALSE())</f>
        <v/>
      </c>
      <c r="AF89" s="25">
        <f>$D89*VLOOKUP($C89,原料主数据!$A:$AL, 32, FALSE())</f>
        <v/>
      </c>
      <c r="AG89" s="25">
        <f>$D89*VLOOKUP($C89,原料主数据!$A:$AL, 33, FALSE())</f>
        <v/>
      </c>
      <c r="AH89" s="25">
        <f>$D89*VLOOKUP($C89,原料主数据!$A:$AL, 34, FALSE())</f>
        <v/>
      </c>
      <c r="AI89" s="25">
        <f>$D89*VLOOKUP($C89,原料主数据!$A:$AL, 35, FALSE())</f>
        <v/>
      </c>
      <c r="AJ89" s="25">
        <f>$D89*VLOOKUP($C89,原料主数据!$A:$AL, 36, FALSE())</f>
        <v/>
      </c>
      <c r="AK89" s="25">
        <f>$D89*VLOOKUP($C89,原料主数据!$A:$AL, 37, FALSE())</f>
        <v/>
      </c>
      <c r="AL89" s="25">
        <f>$D89*VLOOKUP($C89,原料主数据!$A:$AL, 38, FALSE())</f>
        <v/>
      </c>
    </row>
    <row r="90" ht="15" customHeight="1" s="15">
      <c r="A90" s="22" t="inlineStr">
        <is>
          <t>PES-0003</t>
        </is>
      </c>
      <c r="B90" s="23" t="inlineStr">
        <is>
          <t>聚酯</t>
        </is>
      </c>
      <c r="C90" s="22" t="inlineStr">
        <is>
          <t>RY460</t>
        </is>
      </c>
      <c r="D90" s="22" t="n">
        <v>5</v>
      </c>
      <c r="E90" s="22">
        <f>VLOOKUP($C90,原料主数据!$A:$E,4,FALSE())</f>
        <v/>
      </c>
      <c r="F90" s="22">
        <f>VLOOKUP($C90,原料主数据!$A:$E,5,FALSE())</f>
        <v/>
      </c>
      <c r="G90" s="22">
        <f>$D90*VLOOKUP($C90,原料主数据!$A:$AL, 7, FALSE())</f>
        <v/>
      </c>
      <c r="H90" s="22">
        <f>$D90*VLOOKUP($C90,原料主数据!$A:$AL, 8, FALSE())</f>
        <v/>
      </c>
      <c r="I90" s="22">
        <f>$D90*VLOOKUP($C90,原料主数据!$A:$AL, 9, FALSE())</f>
        <v/>
      </c>
      <c r="J90" s="22">
        <f>$D90*VLOOKUP($C90,原料主数据!$A:$AL, 10, FALSE())</f>
        <v/>
      </c>
      <c r="K90" s="22">
        <f>$D90*VLOOKUP($C90,原料主数据!$A:$AL, 11, FALSE())</f>
        <v/>
      </c>
      <c r="L90" s="22">
        <f>$D90*VLOOKUP($C90,原料主数据!$A:$AL, 12, FALSE())</f>
        <v/>
      </c>
      <c r="M90" s="22">
        <f>$D90*VLOOKUP($C90,原料主数据!$A:$AL, 13, FALSE())</f>
        <v/>
      </c>
      <c r="N90" s="22">
        <f>$D90*VLOOKUP($C90,原料主数据!$A:$AL, 14, FALSE())</f>
        <v/>
      </c>
      <c r="O90" s="22">
        <f>$D90*VLOOKUP($C90,原料主数据!$A:$AL, 15, FALSE())</f>
        <v/>
      </c>
      <c r="P90" s="22">
        <f>$D90*VLOOKUP($C90,原料主数据!$A:$AL, 16, FALSE())</f>
        <v/>
      </c>
      <c r="Q90" s="22">
        <f>$D90*VLOOKUP($C90,原料主数据!$A:$AL, 17, FALSE())</f>
        <v/>
      </c>
      <c r="R90" s="22">
        <f>$D90*VLOOKUP($C90,原料主数据!$A:$AL, 18, FALSE())</f>
        <v/>
      </c>
      <c r="S90" s="22">
        <f>$D90*VLOOKUP($C90,原料主数据!$A:$AL, 19, FALSE())</f>
        <v/>
      </c>
      <c r="T90" s="22">
        <f>$D90*VLOOKUP($C90,原料主数据!$A:$AL, 20, FALSE())</f>
        <v/>
      </c>
      <c r="U90" s="22">
        <f>$D90*VLOOKUP($C90,原料主数据!$A:$AL, 21, FALSE())</f>
        <v/>
      </c>
      <c r="V90" s="22">
        <f>$D90*VLOOKUP($C90,原料主数据!$A:$AL, 22, FALSE())</f>
        <v/>
      </c>
      <c r="W90" s="22">
        <f>$D90*VLOOKUP($C90,原料主数据!$A:$AL, 23, FALSE())</f>
        <v/>
      </c>
      <c r="X90" s="22">
        <f>$D90*VLOOKUP($C90,原料主数据!$A:$AL, 24, FALSE())</f>
        <v/>
      </c>
      <c r="Y90" s="22">
        <f>$D90*VLOOKUP($C90,原料主数据!$A:$AL, 25, FALSE())</f>
        <v/>
      </c>
      <c r="Z90" s="22">
        <f>$D90*VLOOKUP($C90,原料主数据!$A:$AL, 26, FALSE())</f>
        <v/>
      </c>
      <c r="AA90" s="22">
        <f>$D90*VLOOKUP($C90,原料主数据!$A:$AL, 27, FALSE())</f>
        <v/>
      </c>
      <c r="AB90" s="22">
        <f>$D90*VLOOKUP($C90,原料主数据!$A:$AL, 28, FALSE())</f>
        <v/>
      </c>
      <c r="AC90" s="22">
        <f>$D90*VLOOKUP($C90,原料主数据!$A:$AL, 29, FALSE())</f>
        <v/>
      </c>
      <c r="AD90" s="22">
        <f>$D90*VLOOKUP($C90,原料主数据!$A:$AL, 30, FALSE())</f>
        <v/>
      </c>
      <c r="AE90" s="22">
        <f>$D90*VLOOKUP($C90,原料主数据!$A:$AL, 31, FALSE())</f>
        <v/>
      </c>
      <c r="AF90" s="22">
        <f>$D90*VLOOKUP($C90,原料主数据!$A:$AL, 32, FALSE())</f>
        <v/>
      </c>
      <c r="AG90" s="22">
        <f>$D90*VLOOKUP($C90,原料主数据!$A:$AL, 33, FALSE())</f>
        <v/>
      </c>
      <c r="AH90" s="22">
        <f>$D90*VLOOKUP($C90,原料主数据!$A:$AL, 34, FALSE())</f>
        <v/>
      </c>
      <c r="AI90" s="22">
        <f>$D90*VLOOKUP($C90,原料主数据!$A:$AL, 35, FALSE())</f>
        <v/>
      </c>
      <c r="AJ90" s="22">
        <f>$D90*VLOOKUP($C90,原料主数据!$A:$AL, 36, FALSE())</f>
        <v/>
      </c>
      <c r="AK90" s="22">
        <f>$D90*VLOOKUP($C90,原料主数据!$A:$AL, 37, FALSE())</f>
        <v/>
      </c>
      <c r="AL90" s="22">
        <f>$D90*VLOOKUP($C90,原料主数据!$A:$AL, 38, FALSE())</f>
        <v/>
      </c>
    </row>
    <row r="91" ht="15" customHeight="1" s="15">
      <c r="A91" s="25" t="inlineStr">
        <is>
          <t>PES-0003</t>
        </is>
      </c>
      <c r="B91" s="26" t="inlineStr">
        <is>
          <t>聚酯</t>
        </is>
      </c>
      <c r="C91" s="25" t="inlineStr">
        <is>
          <t>AC040</t>
        </is>
      </c>
      <c r="D91" s="25" t="n">
        <v>0.15</v>
      </c>
      <c r="E91" s="25">
        <f>VLOOKUP($C91,原料主数据!$A:$E,4,FALSE())</f>
        <v/>
      </c>
      <c r="F91" s="25">
        <f>VLOOKUP($C91,原料主数据!$A:$E,5,FALSE())</f>
        <v/>
      </c>
      <c r="G91" s="25">
        <f>$D91*VLOOKUP($C91,原料主数据!$A:$AL, 7, FALSE())</f>
        <v/>
      </c>
      <c r="H91" s="25">
        <f>$D91*VLOOKUP($C91,原料主数据!$A:$AL, 8, FALSE())</f>
        <v/>
      </c>
      <c r="I91" s="25">
        <f>$D91*VLOOKUP($C91,原料主数据!$A:$AL, 9, FALSE())</f>
        <v/>
      </c>
      <c r="J91" s="25">
        <f>$D91*VLOOKUP($C91,原料主数据!$A:$AL, 10, FALSE())</f>
        <v/>
      </c>
      <c r="K91" s="25">
        <f>$D91*VLOOKUP($C91,原料主数据!$A:$AL, 11, FALSE())</f>
        <v/>
      </c>
      <c r="L91" s="25">
        <f>$D91*VLOOKUP($C91,原料主数据!$A:$AL, 12, FALSE())</f>
        <v/>
      </c>
      <c r="M91" s="25">
        <f>$D91*VLOOKUP($C91,原料主数据!$A:$AL, 13, FALSE())</f>
        <v/>
      </c>
      <c r="N91" s="25">
        <f>$D91*VLOOKUP($C91,原料主数据!$A:$AL, 14, FALSE())</f>
        <v/>
      </c>
      <c r="O91" s="25">
        <f>$D91*VLOOKUP($C91,原料主数据!$A:$AL, 15, FALSE())</f>
        <v/>
      </c>
      <c r="P91" s="25">
        <f>$D91*VLOOKUP($C91,原料主数据!$A:$AL, 16, FALSE())</f>
        <v/>
      </c>
      <c r="Q91" s="25">
        <f>$D91*VLOOKUP($C91,原料主数据!$A:$AL, 17, FALSE())</f>
        <v/>
      </c>
      <c r="R91" s="25">
        <f>$D91*VLOOKUP($C91,原料主数据!$A:$AL, 18, FALSE())</f>
        <v/>
      </c>
      <c r="S91" s="25">
        <f>$D91*VLOOKUP($C91,原料主数据!$A:$AL, 19, FALSE())</f>
        <v/>
      </c>
      <c r="T91" s="25">
        <f>$D91*VLOOKUP($C91,原料主数据!$A:$AL, 20, FALSE())</f>
        <v/>
      </c>
      <c r="U91" s="25">
        <f>$D91*VLOOKUP($C91,原料主数据!$A:$AL, 21, FALSE())</f>
        <v/>
      </c>
      <c r="V91" s="25">
        <f>$D91*VLOOKUP($C91,原料主数据!$A:$AL, 22, FALSE())</f>
        <v/>
      </c>
      <c r="W91" s="25">
        <f>$D91*VLOOKUP($C91,原料主数据!$A:$AL, 23, FALSE())</f>
        <v/>
      </c>
      <c r="X91" s="25">
        <f>$D91*VLOOKUP($C91,原料主数据!$A:$AL, 24, FALSE())</f>
        <v/>
      </c>
      <c r="Y91" s="25">
        <f>$D91*VLOOKUP($C91,原料主数据!$A:$AL, 25, FALSE())</f>
        <v/>
      </c>
      <c r="Z91" s="25">
        <f>$D91*VLOOKUP($C91,原料主数据!$A:$AL, 26, FALSE())</f>
        <v/>
      </c>
      <c r="AA91" s="25">
        <f>$D91*VLOOKUP($C91,原料主数据!$A:$AL, 27, FALSE())</f>
        <v/>
      </c>
      <c r="AB91" s="25">
        <f>$D91*VLOOKUP($C91,原料主数据!$A:$AL, 28, FALSE())</f>
        <v/>
      </c>
      <c r="AC91" s="25">
        <f>$D91*VLOOKUP($C91,原料主数据!$A:$AL, 29, FALSE())</f>
        <v/>
      </c>
      <c r="AD91" s="25">
        <f>$D91*VLOOKUP($C91,原料主数据!$A:$AL, 30, FALSE())</f>
        <v/>
      </c>
      <c r="AE91" s="25">
        <f>$D91*VLOOKUP($C91,原料主数据!$A:$AL, 31, FALSE())</f>
        <v/>
      </c>
      <c r="AF91" s="25">
        <f>$D91*VLOOKUP($C91,原料主数据!$A:$AL, 32, FALSE())</f>
        <v/>
      </c>
      <c r="AG91" s="25">
        <f>$D91*VLOOKUP($C91,原料主数据!$A:$AL, 33, FALSE())</f>
        <v/>
      </c>
      <c r="AH91" s="25">
        <f>$D91*VLOOKUP($C91,原料主数据!$A:$AL, 34, FALSE())</f>
        <v/>
      </c>
      <c r="AI91" s="25">
        <f>$D91*VLOOKUP($C91,原料主数据!$A:$AL, 35, FALSE())</f>
        <v/>
      </c>
      <c r="AJ91" s="25">
        <f>$D91*VLOOKUP($C91,原料主数据!$A:$AL, 36, FALSE())</f>
        <v/>
      </c>
      <c r="AK91" s="25">
        <f>$D91*VLOOKUP($C91,原料主数据!$A:$AL, 37, FALSE())</f>
        <v/>
      </c>
      <c r="AL91" s="25">
        <f>$D91*VLOOKUP($C91,原料主数据!$A:$AL, 38, FALSE())</f>
        <v/>
      </c>
    </row>
    <row r="92" ht="15" customHeight="1" s="15">
      <c r="A92" s="22" t="inlineStr">
        <is>
          <t>PES-0003</t>
        </is>
      </c>
      <c r="B92" s="23" t="inlineStr">
        <is>
          <t>聚酯</t>
        </is>
      </c>
      <c r="C92" s="22" t="inlineStr">
        <is>
          <t>TF100</t>
        </is>
      </c>
      <c r="D92" s="22" t="n">
        <v>3.35</v>
      </c>
      <c r="E92" s="22">
        <f>VLOOKUP($C92,原料主数据!$A:$E,4,FALSE())</f>
        <v/>
      </c>
      <c r="F92" s="22">
        <f>VLOOKUP($C92,原料主数据!$A:$E,5,FALSE())</f>
        <v/>
      </c>
      <c r="G92" s="22">
        <f>$D92*VLOOKUP($C92,原料主数据!$A:$AL, 7, FALSE())</f>
        <v/>
      </c>
      <c r="H92" s="22">
        <f>$D92*VLOOKUP($C92,原料主数据!$A:$AL, 8, FALSE())</f>
        <v/>
      </c>
      <c r="I92" s="22">
        <f>$D92*VLOOKUP($C92,原料主数据!$A:$AL, 9, FALSE())</f>
        <v/>
      </c>
      <c r="J92" s="22">
        <f>$D92*VLOOKUP($C92,原料主数据!$A:$AL, 10, FALSE())</f>
        <v/>
      </c>
      <c r="K92" s="22">
        <f>$D92*VLOOKUP($C92,原料主数据!$A:$AL, 11, FALSE())</f>
        <v/>
      </c>
      <c r="L92" s="22">
        <f>$D92*VLOOKUP($C92,原料主数据!$A:$AL, 12, FALSE())</f>
        <v/>
      </c>
      <c r="M92" s="22">
        <f>$D92*VLOOKUP($C92,原料主数据!$A:$AL, 13, FALSE())</f>
        <v/>
      </c>
      <c r="N92" s="22">
        <f>$D92*VLOOKUP($C92,原料主数据!$A:$AL, 14, FALSE())</f>
        <v/>
      </c>
      <c r="O92" s="22">
        <f>$D92*VLOOKUP($C92,原料主数据!$A:$AL, 15, FALSE())</f>
        <v/>
      </c>
      <c r="P92" s="22">
        <f>$D92*VLOOKUP($C92,原料主数据!$A:$AL, 16, FALSE())</f>
        <v/>
      </c>
      <c r="Q92" s="22">
        <f>$D92*VLOOKUP($C92,原料主数据!$A:$AL, 17, FALSE())</f>
        <v/>
      </c>
      <c r="R92" s="22">
        <f>$D92*VLOOKUP($C92,原料主数据!$A:$AL, 18, FALSE())</f>
        <v/>
      </c>
      <c r="S92" s="22">
        <f>$D92*VLOOKUP($C92,原料主数据!$A:$AL, 19, FALSE())</f>
        <v/>
      </c>
      <c r="T92" s="22">
        <f>$D92*VLOOKUP($C92,原料主数据!$A:$AL, 20, FALSE())</f>
        <v/>
      </c>
      <c r="U92" s="22">
        <f>$D92*VLOOKUP($C92,原料主数据!$A:$AL, 21, FALSE())</f>
        <v/>
      </c>
      <c r="V92" s="22">
        <f>$D92*VLOOKUP($C92,原料主数据!$A:$AL, 22, FALSE())</f>
        <v/>
      </c>
      <c r="W92" s="22">
        <f>$D92*VLOOKUP($C92,原料主数据!$A:$AL, 23, FALSE())</f>
        <v/>
      </c>
      <c r="X92" s="22">
        <f>$D92*VLOOKUP($C92,原料主数据!$A:$AL, 24, FALSE())</f>
        <v/>
      </c>
      <c r="Y92" s="22">
        <f>$D92*VLOOKUP($C92,原料主数据!$A:$AL, 25, FALSE())</f>
        <v/>
      </c>
      <c r="Z92" s="22">
        <f>$D92*VLOOKUP($C92,原料主数据!$A:$AL, 26, FALSE())</f>
        <v/>
      </c>
      <c r="AA92" s="22">
        <f>$D92*VLOOKUP($C92,原料主数据!$A:$AL, 27, FALSE())</f>
        <v/>
      </c>
      <c r="AB92" s="22">
        <f>$D92*VLOOKUP($C92,原料主数据!$A:$AL, 28, FALSE())</f>
        <v/>
      </c>
      <c r="AC92" s="22">
        <f>$D92*VLOOKUP($C92,原料主数据!$A:$AL, 29, FALSE())</f>
        <v/>
      </c>
      <c r="AD92" s="22">
        <f>$D92*VLOOKUP($C92,原料主数据!$A:$AL, 30, FALSE())</f>
        <v/>
      </c>
      <c r="AE92" s="22">
        <f>$D92*VLOOKUP($C92,原料主数据!$A:$AL, 31, FALSE())</f>
        <v/>
      </c>
      <c r="AF92" s="22">
        <f>$D92*VLOOKUP($C92,原料主数据!$A:$AL, 32, FALSE())</f>
        <v/>
      </c>
      <c r="AG92" s="22">
        <f>$D92*VLOOKUP($C92,原料主数据!$A:$AL, 33, FALSE())</f>
        <v/>
      </c>
      <c r="AH92" s="22">
        <f>$D92*VLOOKUP($C92,原料主数据!$A:$AL, 34, FALSE())</f>
        <v/>
      </c>
      <c r="AI92" s="22">
        <f>$D92*VLOOKUP($C92,原料主数据!$A:$AL, 35, FALSE())</f>
        <v/>
      </c>
      <c r="AJ92" s="22">
        <f>$D92*VLOOKUP($C92,原料主数据!$A:$AL, 36, FALSE())</f>
        <v/>
      </c>
      <c r="AK92" s="22">
        <f>$D92*VLOOKUP($C92,原料主数据!$A:$AL, 37, FALSE())</f>
        <v/>
      </c>
      <c r="AL92" s="22">
        <f>$D92*VLOOKUP($C92,原料主数据!$A:$AL, 38, FALSE())</f>
        <v/>
      </c>
    </row>
    <row r="93" ht="15" customHeight="1" s="15">
      <c r="A93" s="25" t="inlineStr">
        <is>
          <t>PES-0003</t>
        </is>
      </c>
      <c r="B93" s="26" t="inlineStr">
        <is>
          <t>聚酯</t>
        </is>
      </c>
      <c r="C93" s="25" t="inlineStr">
        <is>
          <t>TM004</t>
        </is>
      </c>
      <c r="D93" s="25" t="n">
        <v>1.35</v>
      </c>
      <c r="E93" s="25">
        <f>VLOOKUP($C93,原料主数据!$A:$E,4,FALSE())</f>
        <v/>
      </c>
      <c r="F93" s="25">
        <f>VLOOKUP($C93,原料主数据!$A:$E,5,FALSE())</f>
        <v/>
      </c>
      <c r="G93" s="25">
        <f>$D93*VLOOKUP($C93,原料主数据!$A:$AL, 7, FALSE())</f>
        <v/>
      </c>
      <c r="H93" s="25">
        <f>$D93*VLOOKUP($C93,原料主数据!$A:$AL, 8, FALSE())</f>
        <v/>
      </c>
      <c r="I93" s="25">
        <f>$D93*VLOOKUP($C93,原料主数据!$A:$AL, 9, FALSE())</f>
        <v/>
      </c>
      <c r="J93" s="25">
        <f>$D93*VLOOKUP($C93,原料主数据!$A:$AL, 10, FALSE())</f>
        <v/>
      </c>
      <c r="K93" s="25">
        <f>$D93*VLOOKUP($C93,原料主数据!$A:$AL, 11, FALSE())</f>
        <v/>
      </c>
      <c r="L93" s="25">
        <f>$D93*VLOOKUP($C93,原料主数据!$A:$AL, 12, FALSE())</f>
        <v/>
      </c>
      <c r="M93" s="25">
        <f>$D93*VLOOKUP($C93,原料主数据!$A:$AL, 13, FALSE())</f>
        <v/>
      </c>
      <c r="N93" s="25">
        <f>$D93*VLOOKUP($C93,原料主数据!$A:$AL, 14, FALSE())</f>
        <v/>
      </c>
      <c r="O93" s="25">
        <f>$D93*VLOOKUP($C93,原料主数据!$A:$AL, 15, FALSE())</f>
        <v/>
      </c>
      <c r="P93" s="25">
        <f>$D93*VLOOKUP($C93,原料主数据!$A:$AL, 16, FALSE())</f>
        <v/>
      </c>
      <c r="Q93" s="25">
        <f>$D93*VLOOKUP($C93,原料主数据!$A:$AL, 17, FALSE())</f>
        <v/>
      </c>
      <c r="R93" s="25">
        <f>$D93*VLOOKUP($C93,原料主数据!$A:$AL, 18, FALSE())</f>
        <v/>
      </c>
      <c r="S93" s="25">
        <f>$D93*VLOOKUP($C93,原料主数据!$A:$AL, 19, FALSE())</f>
        <v/>
      </c>
      <c r="T93" s="25">
        <f>$D93*VLOOKUP($C93,原料主数据!$A:$AL, 20, FALSE())</f>
        <v/>
      </c>
      <c r="U93" s="25">
        <f>$D93*VLOOKUP($C93,原料主数据!$A:$AL, 21, FALSE())</f>
        <v/>
      </c>
      <c r="V93" s="25">
        <f>$D93*VLOOKUP($C93,原料主数据!$A:$AL, 22, FALSE())</f>
        <v/>
      </c>
      <c r="W93" s="25">
        <f>$D93*VLOOKUP($C93,原料主数据!$A:$AL, 23, FALSE())</f>
        <v/>
      </c>
      <c r="X93" s="25">
        <f>$D93*VLOOKUP($C93,原料主数据!$A:$AL, 24, FALSE())</f>
        <v/>
      </c>
      <c r="Y93" s="25">
        <f>$D93*VLOOKUP($C93,原料主数据!$A:$AL, 25, FALSE())</f>
        <v/>
      </c>
      <c r="Z93" s="25">
        <f>$D93*VLOOKUP($C93,原料主数据!$A:$AL, 26, FALSE())</f>
        <v/>
      </c>
      <c r="AA93" s="25">
        <f>$D93*VLOOKUP($C93,原料主数据!$A:$AL, 27, FALSE())</f>
        <v/>
      </c>
      <c r="AB93" s="25">
        <f>$D93*VLOOKUP($C93,原料主数据!$A:$AL, 28, FALSE())</f>
        <v/>
      </c>
      <c r="AC93" s="25">
        <f>$D93*VLOOKUP($C93,原料主数据!$A:$AL, 29, FALSE())</f>
        <v/>
      </c>
      <c r="AD93" s="25">
        <f>$D93*VLOOKUP($C93,原料主数据!$A:$AL, 30, FALSE())</f>
        <v/>
      </c>
      <c r="AE93" s="25">
        <f>$D93*VLOOKUP($C93,原料主数据!$A:$AL, 31, FALSE())</f>
        <v/>
      </c>
      <c r="AF93" s="25">
        <f>$D93*VLOOKUP($C93,原料主数据!$A:$AL, 32, FALSE())</f>
        <v/>
      </c>
      <c r="AG93" s="25">
        <f>$D93*VLOOKUP($C93,原料主数据!$A:$AL, 33, FALSE())</f>
        <v/>
      </c>
      <c r="AH93" s="25">
        <f>$D93*VLOOKUP($C93,原料主数据!$A:$AL, 34, FALSE())</f>
        <v/>
      </c>
      <c r="AI93" s="25">
        <f>$D93*VLOOKUP($C93,原料主数据!$A:$AL, 35, FALSE())</f>
        <v/>
      </c>
      <c r="AJ93" s="25">
        <f>$D93*VLOOKUP($C93,原料主数据!$A:$AL, 36, FALSE())</f>
        <v/>
      </c>
      <c r="AK93" s="25">
        <f>$D93*VLOOKUP($C93,原料主数据!$A:$AL, 37, FALSE())</f>
        <v/>
      </c>
      <c r="AL93" s="25">
        <f>$D93*VLOOKUP($C93,原料主数据!$A:$AL, 38, FALSE())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K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2" customWidth="1" style="14" min="1" max="1"/>
    <col width="10" customWidth="1" style="14" min="2" max="2"/>
    <col width="12" customWidth="1" style="14" min="3" max="3"/>
    <col width="10" customWidth="1" style="14" min="4" max="4"/>
    <col width="8" customWidth="1" style="14" min="5" max="5"/>
    <col width="10" customWidth="1" style="14" min="6" max="6"/>
    <col width="12" customWidth="1" style="14" min="7" max="7"/>
    <col width="10" customWidth="1" style="14" min="8" max="8"/>
    <col width="22" customWidth="1" style="14" min="9" max="9"/>
    <col width="12" customWidth="1" style="14" min="10" max="10"/>
    <col width="14" customWidth="1" style="14" min="11" max="11"/>
  </cols>
  <sheetData>
    <row r="1" ht="15" customHeight="1" s="15">
      <c r="A1" s="20" t="inlineStr">
        <is>
          <t>样本ID</t>
        </is>
      </c>
      <c r="B1" s="20" t="inlineStr">
        <is>
          <t>体系</t>
        </is>
      </c>
      <c r="C1" s="20" t="inlineStr">
        <is>
          <t>目标属性</t>
        </is>
      </c>
      <c r="D1" s="20" t="inlineStr">
        <is>
          <t>测试值</t>
        </is>
      </c>
      <c r="E1" s="20" t="inlineStr">
        <is>
          <t>单位</t>
        </is>
      </c>
      <c r="F1" s="20" t="inlineStr">
        <is>
          <t>标签状态</t>
        </is>
      </c>
      <c r="G1" s="20" t="inlineStr">
        <is>
          <t>标签来源</t>
        </is>
      </c>
      <c r="H1" s="20" t="inlineStr">
        <is>
          <t>不确定性</t>
        </is>
      </c>
      <c r="I1" s="20" t="inlineStr">
        <is>
          <t>测试条件</t>
        </is>
      </c>
      <c r="J1" s="20" t="inlineStr">
        <is>
          <t>测试日期</t>
        </is>
      </c>
      <c r="K1" s="20" t="inlineStr">
        <is>
          <t>备注</t>
        </is>
      </c>
    </row>
    <row r="2" ht="15" customHeight="1" s="15">
      <c r="A2" s="22" t="inlineStr">
        <is>
          <t>EP-0001</t>
        </is>
      </c>
      <c r="B2" s="23" t="inlineStr">
        <is>
          <t>环氧酚醛</t>
        </is>
      </c>
      <c r="C2" s="22" t="inlineStr">
        <is>
          <t>T弯</t>
        </is>
      </c>
      <c r="D2" s="22" t="n">
        <v>17.415</v>
      </c>
      <c r="E2" s="22" t="inlineStr">
        <is>
          <t>mm</t>
        </is>
      </c>
      <c r="F2" s="27" t="inlineStr">
        <is>
          <t>实测</t>
        </is>
      </c>
      <c r="G2" s="23" t="inlineStr">
        <is>
          <t>实验室</t>
        </is>
      </c>
      <c r="H2" s="22" t="n"/>
      <c r="I2" s="22" t="inlineStr">
        <is>
          <t>205℃ 17min</t>
        </is>
      </c>
      <c r="J2" s="22" t="inlineStr">
        <is>
          <t>2026-08-06</t>
        </is>
      </c>
      <c r="K2" s="22" t="n"/>
    </row>
    <row r="3" ht="15" customHeight="1" s="15">
      <c r="A3" s="25" t="inlineStr">
        <is>
          <t>EP-0001</t>
        </is>
      </c>
      <c r="B3" s="26" t="inlineStr">
        <is>
          <t>环氧酚醛</t>
        </is>
      </c>
      <c r="C3" s="25" t="inlineStr">
        <is>
          <t>MEK擦拭</t>
        </is>
      </c>
      <c r="D3" s="25" t="n">
        <v>9</v>
      </c>
      <c r="E3" s="26" t="inlineStr">
        <is>
          <t>次</t>
        </is>
      </c>
      <c r="F3" s="27" t="inlineStr">
        <is>
          <t>实测</t>
        </is>
      </c>
      <c r="G3" s="26" t="inlineStr">
        <is>
          <t>实验室</t>
        </is>
      </c>
      <c r="H3" s="25" t="n"/>
      <c r="I3" s="25" t="inlineStr">
        <is>
          <t>205℃ 17min</t>
        </is>
      </c>
      <c r="J3" s="25" t="inlineStr">
        <is>
          <t>2026-08-06</t>
        </is>
      </c>
      <c r="K3" s="25" t="n"/>
    </row>
    <row r="4" ht="15" customHeight="1" s="15">
      <c r="A4" s="22" t="inlineStr">
        <is>
          <t>EP-0001</t>
        </is>
      </c>
      <c r="B4" s="23" t="inlineStr">
        <is>
          <t>环氧酚醛</t>
        </is>
      </c>
      <c r="C4" s="23" t="inlineStr">
        <is>
          <t>水煮等级</t>
        </is>
      </c>
      <c r="D4" s="22" t="n">
        <v>4</v>
      </c>
      <c r="E4" s="23" t="inlineStr">
        <is>
          <t>级</t>
        </is>
      </c>
      <c r="F4" s="27" t="inlineStr">
        <is>
          <t>实测</t>
        </is>
      </c>
      <c r="G4" s="23" t="inlineStr">
        <is>
          <t>实验室</t>
        </is>
      </c>
      <c r="H4" s="22" t="n"/>
      <c r="I4" s="22" t="inlineStr">
        <is>
          <t>205℃ 17min</t>
        </is>
      </c>
      <c r="J4" s="22" t="inlineStr">
        <is>
          <t>2026-08-06</t>
        </is>
      </c>
      <c r="K4" s="22" t="n"/>
    </row>
    <row r="5" ht="15" customHeight="1" s="15">
      <c r="A5" s="25" t="inlineStr">
        <is>
          <t>EP-0002</t>
        </is>
      </c>
      <c r="B5" s="26" t="inlineStr">
        <is>
          <t>环氧酚醛</t>
        </is>
      </c>
      <c r="C5" s="25" t="inlineStr">
        <is>
          <t>T弯</t>
        </is>
      </c>
      <c r="D5" s="25" t="n">
        <v>19.22</v>
      </c>
      <c r="E5" s="25" t="inlineStr">
        <is>
          <t>mm</t>
        </is>
      </c>
      <c r="F5" s="27" t="inlineStr">
        <is>
          <t>实测</t>
        </is>
      </c>
      <c r="G5" s="26" t="inlineStr">
        <is>
          <t>实验室</t>
        </is>
      </c>
      <c r="H5" s="25" t="n"/>
      <c r="I5" s="25" t="inlineStr">
        <is>
          <t>205℃ 17min</t>
        </is>
      </c>
      <c r="J5" s="25" t="inlineStr">
        <is>
          <t>2026-08-06</t>
        </is>
      </c>
      <c r="K5" s="25" t="n"/>
    </row>
    <row r="6" ht="15" customHeight="1" s="15">
      <c r="A6" s="22" t="inlineStr">
        <is>
          <t>EP-0002</t>
        </is>
      </c>
      <c r="B6" s="23" t="inlineStr">
        <is>
          <t>环氧酚醛</t>
        </is>
      </c>
      <c r="C6" s="22" t="inlineStr">
        <is>
          <t>MEK擦拭</t>
        </is>
      </c>
      <c r="D6" s="22" t="n">
        <v>161</v>
      </c>
      <c r="E6" s="23" t="inlineStr">
        <is>
          <t>次</t>
        </is>
      </c>
      <c r="F6" s="27" t="inlineStr">
        <is>
          <t>实测</t>
        </is>
      </c>
      <c r="G6" s="23" t="inlineStr">
        <is>
          <t>实验室</t>
        </is>
      </c>
      <c r="H6" s="22" t="n"/>
      <c r="I6" s="22" t="inlineStr">
        <is>
          <t>205℃ 17min</t>
        </is>
      </c>
      <c r="J6" s="22" t="inlineStr">
        <is>
          <t>2026-08-06</t>
        </is>
      </c>
      <c r="K6" s="22" t="n"/>
    </row>
    <row r="7" ht="15" customHeight="1" s="15">
      <c r="A7" s="25" t="inlineStr">
        <is>
          <t>EP-0003</t>
        </is>
      </c>
      <c r="B7" s="26" t="inlineStr">
        <is>
          <t>环氧酚醛</t>
        </is>
      </c>
      <c r="C7" s="25" t="inlineStr">
        <is>
          <t>T弯</t>
        </is>
      </c>
      <c r="D7" s="25" t="n">
        <v>18.05</v>
      </c>
      <c r="E7" s="25" t="inlineStr">
        <is>
          <t>mm</t>
        </is>
      </c>
      <c r="F7" s="27" t="inlineStr">
        <is>
          <t>实测</t>
        </is>
      </c>
      <c r="G7" s="26" t="inlineStr">
        <is>
          <t>实验室</t>
        </is>
      </c>
      <c r="H7" s="25" t="n"/>
      <c r="I7" s="25" t="inlineStr">
        <is>
          <t>205℃ 17min</t>
        </is>
      </c>
      <c r="J7" s="25" t="inlineStr">
        <is>
          <t>2026-08-06</t>
        </is>
      </c>
      <c r="K7" s="25" t="n"/>
    </row>
    <row r="8" ht="15" customHeight="1" s="15">
      <c r="A8" s="22" t="inlineStr">
        <is>
          <t>EP-0004</t>
        </is>
      </c>
      <c r="B8" s="23" t="inlineStr">
        <is>
          <t>环氧酚醛</t>
        </is>
      </c>
      <c r="C8" s="22" t="inlineStr">
        <is>
          <t>T弯</t>
        </is>
      </c>
      <c r="D8" s="22" t="n">
        <v>20.8</v>
      </c>
      <c r="E8" s="22" t="inlineStr">
        <is>
          <t>mm</t>
        </is>
      </c>
      <c r="F8" s="27" t="inlineStr">
        <is>
          <t>实测</t>
        </is>
      </c>
      <c r="G8" s="23" t="inlineStr">
        <is>
          <t>实验室</t>
        </is>
      </c>
      <c r="H8" s="22" t="n"/>
      <c r="I8" s="22" t="inlineStr">
        <is>
          <t>205℃ 17min</t>
        </is>
      </c>
      <c r="J8" s="22" t="inlineStr">
        <is>
          <t>2026-08-06</t>
        </is>
      </c>
      <c r="K8" s="22" t="n"/>
    </row>
    <row r="9" ht="15" customHeight="1" s="15">
      <c r="A9" s="25" t="inlineStr">
        <is>
          <t>EP-0004</t>
        </is>
      </c>
      <c r="B9" s="26" t="inlineStr">
        <is>
          <t>环氧酚醛</t>
        </is>
      </c>
      <c r="C9" s="25" t="inlineStr">
        <is>
          <t>MEK擦拭</t>
        </is>
      </c>
      <c r="D9" s="25" t="n">
        <v>300</v>
      </c>
      <c r="E9" s="26" t="inlineStr">
        <is>
          <t>次</t>
        </is>
      </c>
      <c r="F9" s="27" t="inlineStr">
        <is>
          <t>实测</t>
        </is>
      </c>
      <c r="G9" s="26" t="inlineStr">
        <is>
          <t>实验室</t>
        </is>
      </c>
      <c r="H9" s="25" t="n"/>
      <c r="I9" s="25" t="inlineStr">
        <is>
          <t>205℃ 17min</t>
        </is>
      </c>
      <c r="J9" s="25" t="inlineStr">
        <is>
          <t>2026-08-06</t>
        </is>
      </c>
      <c r="K9" s="26" t="inlineStr">
        <is>
          <t>超量程按300计</t>
        </is>
      </c>
    </row>
    <row r="10" ht="15" customHeight="1" s="15">
      <c r="A10" s="22" t="inlineStr">
        <is>
          <t>ORG-0001</t>
        </is>
      </c>
      <c r="B10" s="23" t="inlineStr">
        <is>
          <t>有机</t>
        </is>
      </c>
      <c r="C10" s="22" t="inlineStr">
        <is>
          <t>T弯</t>
        </is>
      </c>
      <c r="D10" s="22" t="n"/>
      <c r="E10" s="22" t="inlineStr">
        <is>
          <t>mm</t>
        </is>
      </c>
      <c r="F10" s="28" t="inlineStr">
        <is>
          <t>推荐测试</t>
        </is>
      </c>
      <c r="G10" s="23" t="inlineStr">
        <is>
          <t>主动学习</t>
        </is>
      </c>
      <c r="H10" s="22" t="inlineStr">
        <is>
          <t>0.42</t>
        </is>
      </c>
      <c r="I10" s="23" t="inlineStr">
        <is>
          <t>双涂双烘190+205℃*12min</t>
        </is>
      </c>
      <c r="J10" s="22" t="inlineStr">
        <is>
          <t>2026-08-06</t>
        </is>
      </c>
      <c r="K10" s="22" t="n"/>
    </row>
    <row r="11" ht="15" customHeight="1" s="15">
      <c r="A11" s="25" t="inlineStr">
        <is>
          <t>ORG-0002</t>
        </is>
      </c>
      <c r="B11" s="26" t="inlineStr">
        <is>
          <t>有机</t>
        </is>
      </c>
      <c r="C11" s="25" t="inlineStr">
        <is>
          <t>T弯</t>
        </is>
      </c>
      <c r="D11" s="25" t="n"/>
      <c r="E11" s="25" t="inlineStr">
        <is>
          <t>mm</t>
        </is>
      </c>
      <c r="F11" s="29" t="inlineStr">
        <is>
          <t>伪标签</t>
        </is>
      </c>
      <c r="G11" s="26" t="inlineStr">
        <is>
          <t>模型预测</t>
        </is>
      </c>
      <c r="H11" s="25" t="inlineStr">
        <is>
          <t>0.31</t>
        </is>
      </c>
      <c r="I11" s="26" t="inlineStr">
        <is>
          <t>双涂双烘190+205℃*12min</t>
        </is>
      </c>
      <c r="J11" s="25" t="inlineStr">
        <is>
          <t>2026-08-06</t>
        </is>
      </c>
      <c r="K11" s="25" t="n"/>
    </row>
    <row r="12" ht="15" customHeight="1" s="15">
      <c r="A12" s="22" t="inlineStr">
        <is>
          <t>PES-0001</t>
        </is>
      </c>
      <c r="B12" s="23" t="inlineStr">
        <is>
          <t>聚酯</t>
        </is>
      </c>
      <c r="C12" s="22" t="inlineStr">
        <is>
          <t>T弯</t>
        </is>
      </c>
      <c r="D12" s="22" t="n"/>
      <c r="E12" s="22" t="inlineStr">
        <is>
          <t>mm</t>
        </is>
      </c>
      <c r="F12" s="23" t="inlineStr">
        <is>
          <t>人工复核</t>
        </is>
      </c>
      <c r="G12" s="23" t="inlineStr">
        <is>
          <t>模型预测</t>
        </is>
      </c>
      <c r="H12" s="22" t="inlineStr">
        <is>
          <t>0.68</t>
        </is>
      </c>
      <c r="I12" s="23" t="inlineStr">
        <is>
          <t>待定</t>
        </is>
      </c>
      <c r="J12" s="22" t="inlineStr">
        <is>
          <t>2026-08-06</t>
        </is>
      </c>
      <c r="K12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2" customWidth="1" style="14" min="1" max="1"/>
    <col width="10" customWidth="1" style="14" min="2" max="2"/>
    <col width="12" customWidth="1" style="14" min="3" max="4"/>
    <col width="10" customWidth="1" style="14" min="5" max="7"/>
    <col width="8" customWidth="1" style="14" min="8" max="8"/>
    <col width="14" customWidth="1" style="14" min="9" max="9"/>
  </cols>
  <sheetData>
    <row r="1" ht="15" customHeight="1" s="15">
      <c r="A1" s="20" t="inlineStr">
        <is>
          <t>样本ID</t>
        </is>
      </c>
      <c r="B1" s="20" t="inlineStr">
        <is>
          <t>体系</t>
        </is>
      </c>
      <c r="C1" s="20" t="inlineStr">
        <is>
          <t>烘烤温度(℃)</t>
        </is>
      </c>
      <c r="D1" s="20" t="inlineStr">
        <is>
          <t>烘烤时间(min)</t>
        </is>
      </c>
      <c r="E1" s="20" t="inlineStr">
        <is>
          <t>膜厚(g/m²)</t>
        </is>
      </c>
      <c r="F1" s="20" t="inlineStr">
        <is>
          <t>基材</t>
        </is>
      </c>
      <c r="G1" s="20" t="inlineStr">
        <is>
          <t>批次</t>
        </is>
      </c>
      <c r="H1" s="20" t="inlineStr">
        <is>
          <t>线棒号</t>
        </is>
      </c>
      <c r="I1" s="20" t="inlineStr">
        <is>
          <t>备注</t>
        </is>
      </c>
    </row>
    <row r="2" ht="15" customHeight="1" s="15">
      <c r="A2" s="22" t="inlineStr">
        <is>
          <t>EP-0001</t>
        </is>
      </c>
      <c r="B2" s="23" t="inlineStr">
        <is>
          <t>环氧酚醛</t>
        </is>
      </c>
      <c r="C2" s="22" t="n">
        <v>205</v>
      </c>
      <c r="D2" s="22" t="n">
        <v>17</v>
      </c>
      <c r="E2" s="22" t="n"/>
      <c r="F2" s="23" t="inlineStr">
        <is>
          <t>镀铬铁</t>
        </is>
      </c>
      <c r="G2" s="22" t="inlineStr">
        <is>
          <t>8.6</t>
        </is>
      </c>
      <c r="H2" s="22" t="inlineStr">
        <is>
          <t>14#</t>
        </is>
      </c>
      <c r="I2" s="22" t="n"/>
    </row>
    <row r="3" ht="15" customHeight="1" s="15">
      <c r="A3" s="25" t="inlineStr">
        <is>
          <t>EP-0002</t>
        </is>
      </c>
      <c r="B3" s="26" t="inlineStr">
        <is>
          <t>环氧酚醛</t>
        </is>
      </c>
      <c r="C3" s="25" t="n">
        <v>205</v>
      </c>
      <c r="D3" s="25" t="n">
        <v>17</v>
      </c>
      <c r="E3" s="25" t="n"/>
      <c r="F3" s="26" t="inlineStr">
        <is>
          <t>镀铬铁</t>
        </is>
      </c>
      <c r="G3" s="25" t="inlineStr">
        <is>
          <t>8.6</t>
        </is>
      </c>
      <c r="H3" s="25" t="inlineStr">
        <is>
          <t>14#</t>
        </is>
      </c>
      <c r="I3" s="25" t="n"/>
    </row>
    <row r="4" ht="15" customHeight="1" s="15">
      <c r="A4" s="22" t="inlineStr">
        <is>
          <t>EP-0003</t>
        </is>
      </c>
      <c r="B4" s="23" t="inlineStr">
        <is>
          <t>环氧酚醛</t>
        </is>
      </c>
      <c r="C4" s="22" t="n">
        <v>205</v>
      </c>
      <c r="D4" s="22" t="n">
        <v>17</v>
      </c>
      <c r="E4" s="22" t="n"/>
      <c r="F4" s="23" t="inlineStr">
        <is>
          <t>镀铬铁</t>
        </is>
      </c>
      <c r="G4" s="22" t="inlineStr">
        <is>
          <t>8.6</t>
        </is>
      </c>
      <c r="H4" s="22" t="inlineStr">
        <is>
          <t>14#</t>
        </is>
      </c>
      <c r="I4" s="22" t="n"/>
    </row>
    <row r="5" ht="15" customHeight="1" s="15">
      <c r="A5" s="25" t="inlineStr">
        <is>
          <t>EP-0004</t>
        </is>
      </c>
      <c r="B5" s="26" t="inlineStr">
        <is>
          <t>环氧酚醛</t>
        </is>
      </c>
      <c r="C5" s="25" t="n">
        <v>205</v>
      </c>
      <c r="D5" s="25" t="n">
        <v>17</v>
      </c>
      <c r="E5" s="25" t="n"/>
      <c r="F5" s="26" t="inlineStr">
        <is>
          <t>镀铬铁</t>
        </is>
      </c>
      <c r="G5" s="25" t="inlineStr">
        <is>
          <t>8.6</t>
        </is>
      </c>
      <c r="H5" s="25" t="inlineStr">
        <is>
          <t>14#</t>
        </is>
      </c>
      <c r="I5" s="25" t="n"/>
    </row>
    <row r="6" ht="15" customHeight="1" s="15">
      <c r="A6" s="22" t="inlineStr">
        <is>
          <t>EP-0005</t>
        </is>
      </c>
      <c r="B6" s="23" t="inlineStr">
        <is>
          <t>环氧酚醛</t>
        </is>
      </c>
      <c r="C6" s="22" t="n">
        <v>205</v>
      </c>
      <c r="D6" s="22" t="n">
        <v>17</v>
      </c>
      <c r="E6" s="22" t="n"/>
      <c r="F6" s="23" t="inlineStr">
        <is>
          <t>镀铬铁</t>
        </is>
      </c>
      <c r="G6" s="22" t="inlineStr">
        <is>
          <t>8.6</t>
        </is>
      </c>
      <c r="H6" s="22" t="inlineStr">
        <is>
          <t>14#</t>
        </is>
      </c>
      <c r="I6" s="22" t="n"/>
    </row>
    <row r="7" ht="15" customHeight="1" s="15">
      <c r="A7" s="25" t="inlineStr">
        <is>
          <t>ORG-0001</t>
        </is>
      </c>
      <c r="B7" s="26" t="inlineStr">
        <is>
          <t>有机</t>
        </is>
      </c>
      <c r="C7" s="25" t="n">
        <v>205</v>
      </c>
      <c r="D7" s="25" t="n">
        <v>12</v>
      </c>
      <c r="E7" s="25" t="n"/>
      <c r="F7" s="26" t="inlineStr">
        <is>
          <t>镀铬铁</t>
        </is>
      </c>
      <c r="G7" s="25" t="inlineStr">
        <is>
          <t>25.8.28</t>
        </is>
      </c>
      <c r="H7" s="25" t="n"/>
      <c r="I7" s="26" t="inlineStr">
        <is>
          <t>双涂双烘190+205</t>
        </is>
      </c>
    </row>
    <row r="8" ht="15" customHeight="1" s="15">
      <c r="A8" s="22" t="inlineStr">
        <is>
          <t>ORG-0002</t>
        </is>
      </c>
      <c r="B8" s="23" t="inlineStr">
        <is>
          <t>有机</t>
        </is>
      </c>
      <c r="C8" s="22" t="n">
        <v>205</v>
      </c>
      <c r="D8" s="22" t="n">
        <v>12</v>
      </c>
      <c r="E8" s="22" t="n"/>
      <c r="F8" s="23" t="inlineStr">
        <is>
          <t>镀铬铁</t>
        </is>
      </c>
      <c r="G8" s="22" t="inlineStr">
        <is>
          <t>25.9.16</t>
        </is>
      </c>
      <c r="H8" s="22" t="n"/>
      <c r="I8" s="22" t="n"/>
    </row>
    <row r="9" ht="15" customHeight="1" s="15">
      <c r="A9" s="25" t="inlineStr">
        <is>
          <t>ORG-0003</t>
        </is>
      </c>
      <c r="B9" s="26" t="inlineStr">
        <is>
          <t>有机</t>
        </is>
      </c>
      <c r="C9" s="25" t="n">
        <v>205</v>
      </c>
      <c r="D9" s="25" t="n">
        <v>12</v>
      </c>
      <c r="E9" s="25" t="n"/>
      <c r="F9" s="26" t="inlineStr">
        <is>
          <t>镀铬铁</t>
        </is>
      </c>
      <c r="G9" s="25" t="inlineStr">
        <is>
          <t>25.9.18</t>
        </is>
      </c>
      <c r="H9" s="25" t="n"/>
      <c r="I9" s="25" t="n"/>
    </row>
    <row r="10" ht="15" customHeight="1" s="15">
      <c r="A10" s="22" t="inlineStr">
        <is>
          <t>PES-0001</t>
        </is>
      </c>
      <c r="B10" s="23" t="inlineStr">
        <is>
          <t>聚酯</t>
        </is>
      </c>
      <c r="C10" s="22" t="n"/>
      <c r="D10" s="22" t="n"/>
      <c r="E10" s="22" t="n"/>
      <c r="F10" s="23" t="inlineStr">
        <is>
          <t>镀铬铁</t>
        </is>
      </c>
      <c r="G10" s="22" t="inlineStr">
        <is>
          <t>25.8.20</t>
        </is>
      </c>
      <c r="H10" s="22" t="n"/>
      <c r="I10" s="22" t="n"/>
    </row>
    <row r="11" ht="15" customHeight="1" s="15">
      <c r="A11" s="25" t="inlineStr">
        <is>
          <t>PES-0002</t>
        </is>
      </c>
      <c r="B11" s="26" t="inlineStr">
        <is>
          <t>聚酯</t>
        </is>
      </c>
      <c r="C11" s="25" t="n"/>
      <c r="D11" s="25" t="n"/>
      <c r="E11" s="25" t="n"/>
      <c r="F11" s="26" t="inlineStr">
        <is>
          <t>镀铬铁</t>
        </is>
      </c>
      <c r="G11" s="25" t="inlineStr">
        <is>
          <t>25.8.28</t>
        </is>
      </c>
      <c r="H11" s="25" t="n"/>
      <c r="I11" s="25" t="n"/>
    </row>
    <row r="12" ht="15" customHeight="1" s="15">
      <c r="A12" s="22" t="inlineStr">
        <is>
          <t>PES-0003</t>
        </is>
      </c>
      <c r="B12" s="23" t="inlineStr">
        <is>
          <t>聚酯</t>
        </is>
      </c>
      <c r="C12" s="22" t="n"/>
      <c r="D12" s="22" t="n"/>
      <c r="E12" s="22" t="n"/>
      <c r="F12" s="23" t="inlineStr">
        <is>
          <t>镀铬铁</t>
        </is>
      </c>
      <c r="G12" s="22" t="inlineStr">
        <is>
          <t>25.9.18</t>
        </is>
      </c>
      <c r="H12" s="22" t="n"/>
      <c r="I12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V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2" customWidth="1" style="14" min="1" max="1"/>
    <col width="10" customWidth="1" style="14" min="2" max="3"/>
    <col width="9" customWidth="1" style="14" min="4" max="9"/>
    <col width="11" customWidth="1" style="14" min="10" max="10"/>
    <col width="10" customWidth="1" style="14" min="11" max="13"/>
    <col width="11" customWidth="1" style="14" min="14" max="16"/>
    <col width="10" customWidth="1" style="14" min="17" max="47"/>
  </cols>
  <sheetData>
    <row r="1" ht="15" customHeight="1" s="15">
      <c r="A1" s="20" t="inlineStr">
        <is>
          <t>样本ID</t>
        </is>
      </c>
      <c r="B1" s="20" t="inlineStr">
        <is>
          <t>体系</t>
        </is>
      </c>
      <c r="C1" s="20" t="inlineStr">
        <is>
          <t>总用量(g)</t>
        </is>
      </c>
      <c r="D1" s="20" t="inlineStr">
        <is>
          <t>组分数量</t>
        </is>
      </c>
      <c r="E1" s="20" t="inlineStr">
        <is>
          <t>树脂占比</t>
        </is>
      </c>
      <c r="F1" s="20" t="inlineStr">
        <is>
          <t>固化剂占比</t>
        </is>
      </c>
      <c r="G1" s="20" t="inlineStr">
        <is>
          <t>溶剂占比</t>
        </is>
      </c>
      <c r="H1" s="20" t="inlineStr">
        <is>
          <t>助剂占比</t>
        </is>
      </c>
      <c r="I1" s="20" t="inlineStr">
        <is>
          <t>颜料占比</t>
        </is>
      </c>
      <c r="J1" s="20" t="inlineStr">
        <is>
          <t>固化剂/树脂比</t>
        </is>
      </c>
      <c r="K1" s="20" t="inlineStr">
        <is>
          <t>环氧树脂占比</t>
        </is>
      </c>
      <c r="L1" s="20" t="inlineStr">
        <is>
          <t>酚醛树脂占比</t>
        </is>
      </c>
      <c r="M1" s="20" t="inlineStr">
        <is>
          <t>聚酯树脂占比</t>
        </is>
      </c>
      <c r="N1" s="20" t="inlineStr">
        <is>
          <t>乙烯基树脂占比</t>
        </is>
      </c>
      <c r="O1" s="20" t="inlineStr">
        <is>
          <t>丙烯酸树脂占比</t>
        </is>
      </c>
      <c r="P1" s="20" t="inlineStr">
        <is>
          <t>聚氨酯树脂占比</t>
        </is>
      </c>
      <c r="Q1" s="20" t="inlineStr">
        <is>
          <t>加权固含(%)</t>
        </is>
      </c>
      <c r="R1" s="20" t="inlineStr">
        <is>
          <t>加权密度</t>
        </is>
      </c>
      <c r="S1" s="20" t="inlineStr">
        <is>
          <t>加权分子量</t>
        </is>
      </c>
      <c r="T1" s="20" t="inlineStr">
        <is>
          <t>加权EEW</t>
        </is>
      </c>
      <c r="U1" s="20" t="inlineStr">
        <is>
          <t>加权酸值</t>
        </is>
      </c>
      <c r="V1" s="20" t="inlineStr">
        <is>
          <t>加权羟值</t>
        </is>
      </c>
      <c r="W1" s="20" t="inlineStr">
        <is>
          <t>加权胺值</t>
        </is>
      </c>
      <c r="X1" s="20" t="inlineStr">
        <is>
          <t>加权Tg</t>
        </is>
      </c>
      <c r="Y1" s="20" t="inlineStr">
        <is>
          <t>加权沸点</t>
        </is>
      </c>
      <c r="Z1" s="20" t="inlineStr">
        <is>
          <t>加权闪点</t>
        </is>
      </c>
      <c r="AA1" s="20" t="inlineStr">
        <is>
          <t>加权δD</t>
        </is>
      </c>
      <c r="AB1" s="20" t="inlineStr">
        <is>
          <t>加权δP</t>
        </is>
      </c>
      <c r="AC1" s="20" t="inlineStr">
        <is>
          <t>加权δH</t>
        </is>
      </c>
      <c r="AD1" s="20" t="inlineStr">
        <is>
          <t>加权极性</t>
        </is>
      </c>
      <c r="AE1" s="20" t="inlineStr">
        <is>
          <t>加权挥发速率</t>
        </is>
      </c>
      <c r="AF1" s="20" t="inlineStr">
        <is>
          <t>加权C(%)</t>
        </is>
      </c>
      <c r="AG1" s="20" t="inlineStr">
        <is>
          <t>加权H(%)</t>
        </is>
      </c>
      <c r="AH1" s="20" t="inlineStr">
        <is>
          <t>加权O(%)</t>
        </is>
      </c>
      <c r="AI1" s="20" t="inlineStr">
        <is>
          <t>加权N(%)</t>
        </is>
      </c>
      <c r="AJ1" s="20" t="inlineStr">
        <is>
          <t>加权S(%)</t>
        </is>
      </c>
      <c r="AK1" s="20" t="inlineStr">
        <is>
          <t>加权Cl(%)</t>
        </is>
      </c>
      <c r="AL1" s="20" t="inlineStr">
        <is>
          <t>环氧基密度(mol/100g)</t>
        </is>
      </c>
      <c r="AM1" s="20" t="inlineStr">
        <is>
          <t>羟基密度</t>
        </is>
      </c>
      <c r="AN1" s="20" t="inlineStr">
        <is>
          <t>羧基密度</t>
        </is>
      </c>
      <c r="AO1" s="20" t="inlineStr">
        <is>
          <t>酯基密度</t>
        </is>
      </c>
      <c r="AP1" s="20" t="inlineStr">
        <is>
          <t>胺基密度</t>
        </is>
      </c>
      <c r="AQ1" s="20" t="inlineStr">
        <is>
          <t>酰胺密度</t>
        </is>
      </c>
      <c r="AR1" s="20" t="inlineStr">
        <is>
          <t>芳香环密度</t>
        </is>
      </c>
      <c r="AS1" s="20" t="inlineStr">
        <is>
          <t>醚键密度</t>
        </is>
      </c>
      <c r="AT1" s="20" t="inlineStr">
        <is>
          <t>蜡含量(%)</t>
        </is>
      </c>
      <c r="AU1" s="20" t="inlineStr">
        <is>
          <t>颜料含量(%)</t>
        </is>
      </c>
    </row>
    <row r="2" ht="15" customHeight="1" s="15">
      <c r="A2" s="22" t="inlineStr">
        <is>
          <t>EP-0001</t>
        </is>
      </c>
      <c r="B2" s="23" t="inlineStr">
        <is>
          <t>环氧酚醛</t>
        </is>
      </c>
      <c r="C2" s="24">
        <f>SUMIF(配方明细!$A$2:$A$93,$A2,配方明细!$D$2:$D$93)</f>
        <v/>
      </c>
      <c r="D2" s="22">
        <f>COUNTIF(配方明细!$A$2:$A$93,$A2)</f>
        <v/>
      </c>
      <c r="E2" s="24">
        <f>SUMIFS(配方明细!$D$2:$D$93,配方明细!$A$2:$A$93,$A2,配方明细!$E$2:$E$93,"树脂")/$C2</f>
        <v/>
      </c>
      <c r="F2" s="24">
        <f>SUMIFS(配方明细!$D$2:$D$93,配方明细!$A$2:$A$93,$A2,配方明细!$E$2:$E$93,"固化剂")/$C2</f>
        <v/>
      </c>
      <c r="G2" s="22">
        <f>SUMIFS(配方明细!$D$2:$D$93,配方明细!$A$2:$A$93,$A2,配方明细!$E$2:$E$93,"溶剂")/$C2</f>
        <v/>
      </c>
      <c r="H2" s="22">
        <f>SUMIFS(配方明细!$D$2:$D$93,配方明细!$A$2:$A$93,$A2,配方明细!$E$2:$E$93,"助剂")/$C2</f>
        <v/>
      </c>
      <c r="I2" s="22">
        <f>SUMIFS(配方明细!$D$2:$D$93,配方明细!$A$2:$A$93,$A2,配方明细!$E$2:$E$93,"颜料")/$C2</f>
        <v/>
      </c>
      <c r="J2" s="22">
        <f>IF($E2&gt;0,$F2/$E2,0)</f>
        <v/>
      </c>
      <c r="K2" s="22">
        <f>SUMIFS(配方明细!$D$2:$D$93,配方明细!$A$2:$A$93,$A2,配方明细!$F$2:$F$93,"环氧")/$C2</f>
        <v/>
      </c>
      <c r="L2" s="22">
        <f>SUMIFS(配方明细!$D$2:$D$93,配方明细!$A$2:$A$93,$A2,配方明细!$F$2:$F$93,"酚醛")/$C2</f>
        <v/>
      </c>
      <c r="M2" s="22">
        <f>SUMIFS(配方明细!$D$2:$D$93,配方明细!$A$2:$A$93,$A2,配方明细!$F$2:$F$93,"聚酯")/$C2</f>
        <v/>
      </c>
      <c r="N2" s="22">
        <f>SUMIFS(配方明细!$D$2:$D$93,配方明细!$A$2:$A$93,$A2,配方明细!$F$2:$F$93,"乙烯基")/$C2</f>
        <v/>
      </c>
      <c r="O2" s="22">
        <f>SUMIFS(配方明细!$D$2:$D$93,配方明细!$A$2:$A$93,$A2,配方明细!$F$2:$F$93,"丙烯酸")/$C2</f>
        <v/>
      </c>
      <c r="P2" s="22">
        <f>SUMIFS(配方明细!$D$2:$D$93,配方明细!$A$2:$A$93,$A2,配方明细!$F$2:$F$93,"聚氨酯")/$C2</f>
        <v/>
      </c>
      <c r="Q2" s="24">
        <f>SUMPRODUCT((配方明细!$A$2:$A$93=$A2)*配方明细!$G$2:$G$93)/$C2</f>
        <v/>
      </c>
      <c r="R2" s="22">
        <f>SUMPRODUCT((配方明细!$A$2:$A$93=$A2)*配方明细!$H$2:$H$93)/$C2</f>
        <v/>
      </c>
      <c r="S2" s="22">
        <f>SUMPRODUCT((配方明细!$A$2:$A$93=$A2)*配方明细!$I$2:$I$93)/$C2</f>
        <v/>
      </c>
      <c r="T2" s="24">
        <f>SUMPRODUCT((配方明细!$A$2:$A$93=$A2)*配方明细!$J$2:$J$93)/$C2</f>
        <v/>
      </c>
      <c r="U2" s="24">
        <f>SUMPRODUCT((配方明细!$A$2:$A$93=$A2)*配方明细!$K$2:$K$93)/$C2</f>
        <v/>
      </c>
      <c r="V2" s="24">
        <f>SUMPRODUCT((配方明细!$A$2:$A$93=$A2)*配方明细!$L$2:$L$93)/$C2</f>
        <v/>
      </c>
      <c r="W2" s="22">
        <f>SUMPRODUCT((配方明细!$A$2:$A$93=$A2)*配方明细!$M$2:$M$93)/$C2</f>
        <v/>
      </c>
      <c r="X2" s="22">
        <f>SUMPRODUCT((配方明细!$A$2:$A$93=$A2)*配方明细!$N$2:$N$93)/$C2</f>
        <v/>
      </c>
      <c r="Y2" s="22">
        <f>SUMPRODUCT((配方明细!$A$2:$A$93=$A2)*配方明细!$O$2:$O$93)/$C2</f>
        <v/>
      </c>
      <c r="Z2" s="22">
        <f>SUMPRODUCT((配方明细!$A$2:$A$93=$A2)*配方明细!$P$2:$P$93)/$C2</f>
        <v/>
      </c>
      <c r="AA2" s="22">
        <f>SUMPRODUCT((配方明细!$A$2:$A$93=$A2)*配方明细!$Q$2:$Q$93)/$C2</f>
        <v/>
      </c>
      <c r="AB2" s="22">
        <f>SUMPRODUCT((配方明细!$A$2:$A$93=$A2)*配方明细!$R$2:$R$93)/$C2</f>
        <v/>
      </c>
      <c r="AC2" s="22">
        <f>SUMPRODUCT((配方明细!$A$2:$A$93=$A2)*配方明细!$S$2:$S$93)/$C2</f>
        <v/>
      </c>
      <c r="AD2" s="22">
        <f>SUMPRODUCT((配方明细!$A$2:$A$93=$A2)*配方明细!$T$2:$T$93)/$C2</f>
        <v/>
      </c>
      <c r="AE2" s="22">
        <f>SUMPRODUCT((配方明细!$A$2:$A$93=$A2)*配方明细!$U$2:$U$93)/$C2</f>
        <v/>
      </c>
      <c r="AF2" s="22">
        <f>SUMPRODUCT((配方明细!$A$2:$A$93=$A2)*配方明细!$V$2:$V$93)/$C2</f>
        <v/>
      </c>
      <c r="AG2" s="22">
        <f>SUMPRODUCT((配方明细!$A$2:$A$93=$A2)*配方明细!$W$2:$W$93)/$C2</f>
        <v/>
      </c>
      <c r="AH2" s="22">
        <f>SUMPRODUCT((配方明细!$A$2:$A$93=$A2)*配方明细!$X$2:$X$93)/$C2</f>
        <v/>
      </c>
      <c r="AI2" s="22">
        <f>SUMPRODUCT((配方明细!$A$2:$A$93=$A2)*配方明细!$Y$2:$Y$93)/$C2</f>
        <v/>
      </c>
      <c r="AJ2" s="22">
        <f>SUMPRODUCT((配方明细!$A$2:$A$93=$A2)*配方明细!$Z$2:$Z$93)/$C2</f>
        <v/>
      </c>
      <c r="AK2" s="22">
        <f>SUMPRODUCT((配方明细!$A$2:$A$93=$A2)*配方明细!$AA$2:$AA$93)/$C2</f>
        <v/>
      </c>
      <c r="AL2" s="24">
        <f>SUMPRODUCT((配方明细!$A$2:$A$93=$A2)*配方明细!$AB$2:$AB$93)/$C2</f>
        <v/>
      </c>
      <c r="AM2" s="24">
        <f>SUMPRODUCT((配方明细!$A$2:$A$93=$A2)*配方明细!$AC$2:$AC$93)/100</f>
        <v/>
      </c>
      <c r="AN2" s="24">
        <f>SUMPRODUCT((配方明细!$A$2:$A$93=$A2)*配方明细!$AD$2:$AD$93)/100</f>
        <v/>
      </c>
      <c r="AO2" s="24">
        <f>SUMPRODUCT((配方明细!$A$2:$A$93=$A2)*配方明细!$AE$2:$AE$93)/100</f>
        <v/>
      </c>
      <c r="AP2" s="22">
        <f>SUMPRODUCT((配方明细!$A$2:$A$93=$A2)*配方明细!$AF$2:$AF$93)/100</f>
        <v/>
      </c>
      <c r="AQ2" s="22">
        <f>SUMPRODUCT((配方明细!$A$2:$A$93=$A2)*配方明细!$AG$2:$AG$93)/100</f>
        <v/>
      </c>
      <c r="AR2" s="22">
        <f>SUMPRODUCT((配方明细!$A$2:$A$93=$A2)*配方明细!$AH$2:$AH$93)/100</f>
        <v/>
      </c>
      <c r="AS2" s="22">
        <f>SUMPRODUCT((配方明细!$A$2:$A$93=$A2)*配方明细!$AI$2:$AI$93)/100</f>
        <v/>
      </c>
      <c r="AT2" s="22">
        <f>SUMPRODUCT((配方明细!$A$2:$A$93=$A2)*配方明细!$AJ$2:$AJ$93)/100</f>
        <v/>
      </c>
      <c r="AU2" s="22">
        <f>SUMPRODUCT((配方明细!$A$2:$A$93=$A2)*配方明细!$AK$2:$AK$93)/$C2</f>
        <v/>
      </c>
      <c r="AV2" s="14">
        <f>SUMPRODUCT((配方明细!$A$2:$A$93=$A2)*配方明细!$AL$2:$AL$93)/$C2</f>
        <v/>
      </c>
    </row>
    <row r="3" ht="15" customHeight="1" s="15">
      <c r="A3" s="25" t="inlineStr">
        <is>
          <t>EP-0002</t>
        </is>
      </c>
      <c r="B3" s="26" t="inlineStr">
        <is>
          <t>环氧酚醛</t>
        </is>
      </c>
      <c r="C3" s="24">
        <f>SUMIF(配方明细!$A$2:$A$93,$A3,配方明细!$D$2:$D$93)</f>
        <v/>
      </c>
      <c r="D3" s="25">
        <f>COUNTIF(配方明细!$A$2:$A$93,$A3)</f>
        <v/>
      </c>
      <c r="E3" s="24">
        <f>SUMIFS(配方明细!$D$2:$D$93,配方明细!$A$2:$A$93,$A3,配方明细!$E$2:$E$93,"树脂")/$C3</f>
        <v/>
      </c>
      <c r="F3" s="24">
        <f>SUMIFS(配方明细!$D$2:$D$93,配方明细!$A$2:$A$93,$A3,配方明细!$E$2:$E$93,"固化剂")/$C3</f>
        <v/>
      </c>
      <c r="G3" s="25">
        <f>SUMIFS(配方明细!$D$2:$D$93,配方明细!$A$2:$A$93,$A3,配方明细!$E$2:$E$93,"溶剂")/$C3</f>
        <v/>
      </c>
      <c r="H3" s="25">
        <f>SUMIFS(配方明细!$D$2:$D$93,配方明细!$A$2:$A$93,$A3,配方明细!$E$2:$E$93,"助剂")/$C3</f>
        <v/>
      </c>
      <c r="I3" s="25">
        <f>SUMIFS(配方明细!$D$2:$D$93,配方明细!$A$2:$A$93,$A3,配方明细!$E$2:$E$93,"颜料")/$C3</f>
        <v/>
      </c>
      <c r="J3" s="25">
        <f>IF($E3&gt;0,$F3/$E3,0)</f>
        <v/>
      </c>
      <c r="K3" s="25">
        <f>SUMIFS(配方明细!$D$2:$D$93,配方明细!$A$2:$A$93,$A3,配方明细!$F$2:$F$93,"环氧")/$C3</f>
        <v/>
      </c>
      <c r="L3" s="25">
        <f>SUMIFS(配方明细!$D$2:$D$93,配方明细!$A$2:$A$93,$A3,配方明细!$F$2:$F$93,"酚醛")/$C3</f>
        <v/>
      </c>
      <c r="M3" s="25">
        <f>SUMIFS(配方明细!$D$2:$D$93,配方明细!$A$2:$A$93,$A3,配方明细!$F$2:$F$93,"聚酯")/$C3</f>
        <v/>
      </c>
      <c r="N3" s="25">
        <f>SUMIFS(配方明细!$D$2:$D$93,配方明细!$A$2:$A$93,$A3,配方明细!$F$2:$F$93,"乙烯基")/$C3</f>
        <v/>
      </c>
      <c r="O3" s="25">
        <f>SUMIFS(配方明细!$D$2:$D$93,配方明细!$A$2:$A$93,$A3,配方明细!$F$2:$F$93,"丙烯酸")/$C3</f>
        <v/>
      </c>
      <c r="P3" s="25">
        <f>SUMIFS(配方明细!$D$2:$D$93,配方明细!$A$2:$A$93,$A3,配方明细!$F$2:$F$93,"聚氨酯")/$C3</f>
        <v/>
      </c>
      <c r="Q3" s="24">
        <f>SUMPRODUCT((配方明细!$A$2:$A$93=$A3)*配方明细!$G$2:$G$93)/$C3</f>
        <v/>
      </c>
      <c r="R3" s="25">
        <f>SUMPRODUCT((配方明细!$A$2:$A$93=$A3)*配方明细!$H$2:$H$93)/$C3</f>
        <v/>
      </c>
      <c r="S3" s="25">
        <f>SUMPRODUCT((配方明细!$A$2:$A$93=$A3)*配方明细!$I$2:$I$93)/$C3</f>
        <v/>
      </c>
      <c r="T3" s="24">
        <f>SUMPRODUCT((配方明细!$A$2:$A$93=$A3)*配方明细!$J$2:$J$93)/$C3</f>
        <v/>
      </c>
      <c r="U3" s="24">
        <f>SUMPRODUCT((配方明细!$A$2:$A$93=$A3)*配方明细!$K$2:$K$93)/$C3</f>
        <v/>
      </c>
      <c r="V3" s="24">
        <f>SUMPRODUCT((配方明细!$A$2:$A$93=$A3)*配方明细!$L$2:$L$93)/$C3</f>
        <v/>
      </c>
      <c r="W3" s="25">
        <f>SUMPRODUCT((配方明细!$A$2:$A$93=$A3)*配方明细!$M$2:$M$93)/$C3</f>
        <v/>
      </c>
      <c r="X3" s="25">
        <f>SUMPRODUCT((配方明细!$A$2:$A$93=$A3)*配方明细!$N$2:$N$93)/$C3</f>
        <v/>
      </c>
      <c r="Y3" s="25">
        <f>SUMPRODUCT((配方明细!$A$2:$A$93=$A3)*配方明细!$O$2:$O$93)/$C3</f>
        <v/>
      </c>
      <c r="Z3" s="25">
        <f>SUMPRODUCT((配方明细!$A$2:$A$93=$A3)*配方明细!$P$2:$P$93)/$C3</f>
        <v/>
      </c>
      <c r="AA3" s="25">
        <f>SUMPRODUCT((配方明细!$A$2:$A$93=$A3)*配方明细!$Q$2:$Q$93)/$C3</f>
        <v/>
      </c>
      <c r="AB3" s="25">
        <f>SUMPRODUCT((配方明细!$A$2:$A$93=$A3)*配方明细!$R$2:$R$93)/$C3</f>
        <v/>
      </c>
      <c r="AC3" s="25">
        <f>SUMPRODUCT((配方明细!$A$2:$A$93=$A3)*配方明细!$S$2:$S$93)/$C3</f>
        <v/>
      </c>
      <c r="AD3" s="25">
        <f>SUMPRODUCT((配方明细!$A$2:$A$93=$A3)*配方明细!$T$2:$T$93)/$C3</f>
        <v/>
      </c>
      <c r="AE3" s="25">
        <f>SUMPRODUCT((配方明细!$A$2:$A$93=$A3)*配方明细!$U$2:$U$93)/$C3</f>
        <v/>
      </c>
      <c r="AF3" s="25">
        <f>SUMPRODUCT((配方明细!$A$2:$A$93=$A3)*配方明细!$V$2:$V$93)/$C3</f>
        <v/>
      </c>
      <c r="AG3" s="25">
        <f>SUMPRODUCT((配方明细!$A$2:$A$93=$A3)*配方明细!$W$2:$W$93)/$C3</f>
        <v/>
      </c>
      <c r="AH3" s="25">
        <f>SUMPRODUCT((配方明细!$A$2:$A$93=$A3)*配方明细!$X$2:$X$93)/$C3</f>
        <v/>
      </c>
      <c r="AI3" s="25">
        <f>SUMPRODUCT((配方明细!$A$2:$A$93=$A3)*配方明细!$Y$2:$Y$93)/$C3</f>
        <v/>
      </c>
      <c r="AJ3" s="25">
        <f>SUMPRODUCT((配方明细!$A$2:$A$93=$A3)*配方明细!$Z$2:$Z$93)/$C3</f>
        <v/>
      </c>
      <c r="AK3" s="25">
        <f>SUMPRODUCT((配方明细!$A$2:$A$93=$A3)*配方明细!$AA$2:$AA$93)/$C3</f>
        <v/>
      </c>
      <c r="AL3" s="24">
        <f>SUMPRODUCT((配方明细!$A$2:$A$93=$A3)*配方明细!$AB$2:$AB$93)/$C3</f>
        <v/>
      </c>
      <c r="AM3" s="24">
        <f>SUMPRODUCT((配方明细!$A$2:$A$93=$A3)*配方明细!$AC$2:$AC$93)/100</f>
        <v/>
      </c>
      <c r="AN3" s="24">
        <f>SUMPRODUCT((配方明细!$A$2:$A$93=$A3)*配方明细!$AD$2:$AD$93)/100</f>
        <v/>
      </c>
      <c r="AO3" s="24">
        <f>SUMPRODUCT((配方明细!$A$2:$A$93=$A3)*配方明细!$AE$2:$AE$93)/100</f>
        <v/>
      </c>
      <c r="AP3" s="25">
        <f>SUMPRODUCT((配方明细!$A$2:$A$93=$A3)*配方明细!$AF$2:$AF$93)/100</f>
        <v/>
      </c>
      <c r="AQ3" s="25">
        <f>SUMPRODUCT((配方明细!$A$2:$A$93=$A3)*配方明细!$AG$2:$AG$93)/100</f>
        <v/>
      </c>
      <c r="AR3" s="25">
        <f>SUMPRODUCT((配方明细!$A$2:$A$93=$A3)*配方明细!$AH$2:$AH$93)/100</f>
        <v/>
      </c>
      <c r="AS3" s="25">
        <f>SUMPRODUCT((配方明细!$A$2:$A$93=$A3)*配方明细!$AI$2:$AI$93)/100</f>
        <v/>
      </c>
      <c r="AT3" s="25">
        <f>SUMPRODUCT((配方明细!$A$2:$A$93=$A3)*配方明细!$AJ$2:$AJ$93)/100</f>
        <v/>
      </c>
      <c r="AU3" s="25">
        <f>SUMPRODUCT((配方明细!$A$2:$A$93=$A3)*配方明细!$AK$2:$AK$93)/$C3</f>
        <v/>
      </c>
      <c r="AV3" s="14">
        <f>SUMPRODUCT((配方明细!$A$2:$A$93=$A3)*配方明细!$AL$2:$AL$93)/$C3</f>
        <v/>
      </c>
    </row>
    <row r="4" ht="15" customHeight="1" s="15">
      <c r="A4" s="22" t="inlineStr">
        <is>
          <t>EP-0003</t>
        </is>
      </c>
      <c r="B4" s="23" t="inlineStr">
        <is>
          <t>环氧酚醛</t>
        </is>
      </c>
      <c r="C4" s="24">
        <f>SUMIF(配方明细!$A$2:$A$93,$A4,配方明细!$D$2:$D$93)</f>
        <v/>
      </c>
      <c r="D4" s="22">
        <f>COUNTIF(配方明细!$A$2:$A$93,$A4)</f>
        <v/>
      </c>
      <c r="E4" s="24">
        <f>SUMIFS(配方明细!$D$2:$D$93,配方明细!$A$2:$A$93,$A4,配方明细!$E$2:$E$93,"树脂")/$C4</f>
        <v/>
      </c>
      <c r="F4" s="24">
        <f>SUMIFS(配方明细!$D$2:$D$93,配方明细!$A$2:$A$93,$A4,配方明细!$E$2:$E$93,"固化剂")/$C4</f>
        <v/>
      </c>
      <c r="G4" s="22">
        <f>SUMIFS(配方明细!$D$2:$D$93,配方明细!$A$2:$A$93,$A4,配方明细!$E$2:$E$93,"溶剂")/$C4</f>
        <v/>
      </c>
      <c r="H4" s="22">
        <f>SUMIFS(配方明细!$D$2:$D$93,配方明细!$A$2:$A$93,$A4,配方明细!$E$2:$E$93,"助剂")/$C4</f>
        <v/>
      </c>
      <c r="I4" s="22">
        <f>SUMIFS(配方明细!$D$2:$D$93,配方明细!$A$2:$A$93,$A4,配方明细!$E$2:$E$93,"颜料")/$C4</f>
        <v/>
      </c>
      <c r="J4" s="22">
        <f>IF($E4&gt;0,$F4/$E4,0)</f>
        <v/>
      </c>
      <c r="K4" s="22">
        <f>SUMIFS(配方明细!$D$2:$D$93,配方明细!$A$2:$A$93,$A4,配方明细!$F$2:$F$93,"环氧")/$C4</f>
        <v/>
      </c>
      <c r="L4" s="22">
        <f>SUMIFS(配方明细!$D$2:$D$93,配方明细!$A$2:$A$93,$A4,配方明细!$F$2:$F$93,"酚醛")/$C4</f>
        <v/>
      </c>
      <c r="M4" s="22">
        <f>SUMIFS(配方明细!$D$2:$D$93,配方明细!$A$2:$A$93,$A4,配方明细!$F$2:$F$93,"聚酯")/$C4</f>
        <v/>
      </c>
      <c r="N4" s="22">
        <f>SUMIFS(配方明细!$D$2:$D$93,配方明细!$A$2:$A$93,$A4,配方明细!$F$2:$F$93,"乙烯基")/$C4</f>
        <v/>
      </c>
      <c r="O4" s="22">
        <f>SUMIFS(配方明细!$D$2:$D$93,配方明细!$A$2:$A$93,$A4,配方明细!$F$2:$F$93,"丙烯酸")/$C4</f>
        <v/>
      </c>
      <c r="P4" s="22">
        <f>SUMIFS(配方明细!$D$2:$D$93,配方明细!$A$2:$A$93,$A4,配方明细!$F$2:$F$93,"聚氨酯")/$C4</f>
        <v/>
      </c>
      <c r="Q4" s="24">
        <f>SUMPRODUCT((配方明细!$A$2:$A$93=$A4)*配方明细!$G$2:$G$93)/$C4</f>
        <v/>
      </c>
      <c r="R4" s="22">
        <f>SUMPRODUCT((配方明细!$A$2:$A$93=$A4)*配方明细!$H$2:$H$93)/$C4</f>
        <v/>
      </c>
      <c r="S4" s="22">
        <f>SUMPRODUCT((配方明细!$A$2:$A$93=$A4)*配方明细!$I$2:$I$93)/$C4</f>
        <v/>
      </c>
      <c r="T4" s="24">
        <f>SUMPRODUCT((配方明细!$A$2:$A$93=$A4)*配方明细!$J$2:$J$93)/$C4</f>
        <v/>
      </c>
      <c r="U4" s="24">
        <f>SUMPRODUCT((配方明细!$A$2:$A$93=$A4)*配方明细!$K$2:$K$93)/$C4</f>
        <v/>
      </c>
      <c r="V4" s="24">
        <f>SUMPRODUCT((配方明细!$A$2:$A$93=$A4)*配方明细!$L$2:$L$93)/$C4</f>
        <v/>
      </c>
      <c r="W4" s="22">
        <f>SUMPRODUCT((配方明细!$A$2:$A$93=$A4)*配方明细!$M$2:$M$93)/$C4</f>
        <v/>
      </c>
      <c r="X4" s="22">
        <f>SUMPRODUCT((配方明细!$A$2:$A$93=$A4)*配方明细!$N$2:$N$93)/$C4</f>
        <v/>
      </c>
      <c r="Y4" s="22">
        <f>SUMPRODUCT((配方明细!$A$2:$A$93=$A4)*配方明细!$O$2:$O$93)/$C4</f>
        <v/>
      </c>
      <c r="Z4" s="22">
        <f>SUMPRODUCT((配方明细!$A$2:$A$93=$A4)*配方明细!$P$2:$P$93)/$C4</f>
        <v/>
      </c>
      <c r="AA4" s="22">
        <f>SUMPRODUCT((配方明细!$A$2:$A$93=$A4)*配方明细!$Q$2:$Q$93)/$C4</f>
        <v/>
      </c>
      <c r="AB4" s="22">
        <f>SUMPRODUCT((配方明细!$A$2:$A$93=$A4)*配方明细!$R$2:$R$93)/$C4</f>
        <v/>
      </c>
      <c r="AC4" s="22">
        <f>SUMPRODUCT((配方明细!$A$2:$A$93=$A4)*配方明细!$S$2:$S$93)/$C4</f>
        <v/>
      </c>
      <c r="AD4" s="22">
        <f>SUMPRODUCT((配方明细!$A$2:$A$93=$A4)*配方明细!$T$2:$T$93)/$C4</f>
        <v/>
      </c>
      <c r="AE4" s="22">
        <f>SUMPRODUCT((配方明细!$A$2:$A$93=$A4)*配方明细!$U$2:$U$93)/$C4</f>
        <v/>
      </c>
      <c r="AF4" s="22">
        <f>SUMPRODUCT((配方明细!$A$2:$A$93=$A4)*配方明细!$V$2:$V$93)/$C4</f>
        <v/>
      </c>
      <c r="AG4" s="22">
        <f>SUMPRODUCT((配方明细!$A$2:$A$93=$A4)*配方明细!$W$2:$W$93)/$C4</f>
        <v/>
      </c>
      <c r="AH4" s="22">
        <f>SUMPRODUCT((配方明细!$A$2:$A$93=$A4)*配方明细!$X$2:$X$93)/$C4</f>
        <v/>
      </c>
      <c r="AI4" s="22">
        <f>SUMPRODUCT((配方明细!$A$2:$A$93=$A4)*配方明细!$Y$2:$Y$93)/$C4</f>
        <v/>
      </c>
      <c r="AJ4" s="22">
        <f>SUMPRODUCT((配方明细!$A$2:$A$93=$A4)*配方明细!$Z$2:$Z$93)/$C4</f>
        <v/>
      </c>
      <c r="AK4" s="22">
        <f>SUMPRODUCT((配方明细!$A$2:$A$93=$A4)*配方明细!$AA$2:$AA$93)/$C4</f>
        <v/>
      </c>
      <c r="AL4" s="24">
        <f>SUMPRODUCT((配方明细!$A$2:$A$93=$A4)*配方明细!$AB$2:$AB$93)/$C4</f>
        <v/>
      </c>
      <c r="AM4" s="24">
        <f>SUMPRODUCT((配方明细!$A$2:$A$93=$A4)*配方明细!$AC$2:$AC$93)/100</f>
        <v/>
      </c>
      <c r="AN4" s="24">
        <f>SUMPRODUCT((配方明细!$A$2:$A$93=$A4)*配方明细!$AD$2:$AD$93)/100</f>
        <v/>
      </c>
      <c r="AO4" s="24">
        <f>SUMPRODUCT((配方明细!$A$2:$A$93=$A4)*配方明细!$AE$2:$AE$93)/100</f>
        <v/>
      </c>
      <c r="AP4" s="22">
        <f>SUMPRODUCT((配方明细!$A$2:$A$93=$A4)*配方明细!$AF$2:$AF$93)/100</f>
        <v/>
      </c>
      <c r="AQ4" s="22">
        <f>SUMPRODUCT((配方明细!$A$2:$A$93=$A4)*配方明细!$AG$2:$AG$93)/100</f>
        <v/>
      </c>
      <c r="AR4" s="22">
        <f>SUMPRODUCT((配方明细!$A$2:$A$93=$A4)*配方明细!$AH$2:$AH$93)/100</f>
        <v/>
      </c>
      <c r="AS4" s="22">
        <f>SUMPRODUCT((配方明细!$A$2:$A$93=$A4)*配方明细!$AI$2:$AI$93)/100</f>
        <v/>
      </c>
      <c r="AT4" s="22">
        <f>SUMPRODUCT((配方明细!$A$2:$A$93=$A4)*配方明细!$AJ$2:$AJ$93)/100</f>
        <v/>
      </c>
      <c r="AU4" s="22">
        <f>SUMPRODUCT((配方明细!$A$2:$A$93=$A4)*配方明细!$AK$2:$AK$93)/$C4</f>
        <v/>
      </c>
      <c r="AV4" s="14">
        <f>SUMPRODUCT((配方明细!$A$2:$A$93=$A4)*配方明细!$AL$2:$AL$93)/$C4</f>
        <v/>
      </c>
    </row>
    <row r="5" ht="15" customHeight="1" s="15">
      <c r="A5" s="25" t="inlineStr">
        <is>
          <t>EP-0004</t>
        </is>
      </c>
      <c r="B5" s="26" t="inlineStr">
        <is>
          <t>环氧酚醛</t>
        </is>
      </c>
      <c r="C5" s="24">
        <f>SUMIF(配方明细!$A$2:$A$93,$A5,配方明细!$D$2:$D$93)</f>
        <v/>
      </c>
      <c r="D5" s="25">
        <f>COUNTIF(配方明细!$A$2:$A$93,$A5)</f>
        <v/>
      </c>
      <c r="E5" s="24">
        <f>SUMIFS(配方明细!$D$2:$D$93,配方明细!$A$2:$A$93,$A5,配方明细!$E$2:$E$93,"树脂")/$C5</f>
        <v/>
      </c>
      <c r="F5" s="24">
        <f>SUMIFS(配方明细!$D$2:$D$93,配方明细!$A$2:$A$93,$A5,配方明细!$E$2:$E$93,"固化剂")/$C5</f>
        <v/>
      </c>
      <c r="G5" s="25">
        <f>SUMIFS(配方明细!$D$2:$D$93,配方明细!$A$2:$A$93,$A5,配方明细!$E$2:$E$93,"溶剂")/$C5</f>
        <v/>
      </c>
      <c r="H5" s="25">
        <f>SUMIFS(配方明细!$D$2:$D$93,配方明细!$A$2:$A$93,$A5,配方明细!$E$2:$E$93,"助剂")/$C5</f>
        <v/>
      </c>
      <c r="I5" s="25">
        <f>SUMIFS(配方明细!$D$2:$D$93,配方明细!$A$2:$A$93,$A5,配方明细!$E$2:$E$93,"颜料")/$C5</f>
        <v/>
      </c>
      <c r="J5" s="25">
        <f>IF($E5&gt;0,$F5/$E5,0)</f>
        <v/>
      </c>
      <c r="K5" s="25">
        <f>SUMIFS(配方明细!$D$2:$D$93,配方明细!$A$2:$A$93,$A5,配方明细!$F$2:$F$93,"环氧")/$C5</f>
        <v/>
      </c>
      <c r="L5" s="25">
        <f>SUMIFS(配方明细!$D$2:$D$93,配方明细!$A$2:$A$93,$A5,配方明细!$F$2:$F$93,"酚醛")/$C5</f>
        <v/>
      </c>
      <c r="M5" s="25">
        <f>SUMIFS(配方明细!$D$2:$D$93,配方明细!$A$2:$A$93,$A5,配方明细!$F$2:$F$93,"聚酯")/$C5</f>
        <v/>
      </c>
      <c r="N5" s="25">
        <f>SUMIFS(配方明细!$D$2:$D$93,配方明细!$A$2:$A$93,$A5,配方明细!$F$2:$F$93,"乙烯基")/$C5</f>
        <v/>
      </c>
      <c r="O5" s="25">
        <f>SUMIFS(配方明细!$D$2:$D$93,配方明细!$A$2:$A$93,$A5,配方明细!$F$2:$F$93,"丙烯酸")/$C5</f>
        <v/>
      </c>
      <c r="P5" s="25">
        <f>SUMIFS(配方明细!$D$2:$D$93,配方明细!$A$2:$A$93,$A5,配方明细!$F$2:$F$93,"聚氨酯")/$C5</f>
        <v/>
      </c>
      <c r="Q5" s="24">
        <f>SUMPRODUCT((配方明细!$A$2:$A$93=$A5)*配方明细!$G$2:$G$93)/$C5</f>
        <v/>
      </c>
      <c r="R5" s="25">
        <f>SUMPRODUCT((配方明细!$A$2:$A$93=$A5)*配方明细!$H$2:$H$93)/$C5</f>
        <v/>
      </c>
      <c r="S5" s="25">
        <f>SUMPRODUCT((配方明细!$A$2:$A$93=$A5)*配方明细!$I$2:$I$93)/$C5</f>
        <v/>
      </c>
      <c r="T5" s="24">
        <f>SUMPRODUCT((配方明细!$A$2:$A$93=$A5)*配方明细!$J$2:$J$93)/$C5</f>
        <v/>
      </c>
      <c r="U5" s="24">
        <f>SUMPRODUCT((配方明细!$A$2:$A$93=$A5)*配方明细!$K$2:$K$93)/$C5</f>
        <v/>
      </c>
      <c r="V5" s="24">
        <f>SUMPRODUCT((配方明细!$A$2:$A$93=$A5)*配方明细!$L$2:$L$93)/$C5</f>
        <v/>
      </c>
      <c r="W5" s="25">
        <f>SUMPRODUCT((配方明细!$A$2:$A$93=$A5)*配方明细!$M$2:$M$93)/$C5</f>
        <v/>
      </c>
      <c r="X5" s="25">
        <f>SUMPRODUCT((配方明细!$A$2:$A$93=$A5)*配方明细!$N$2:$N$93)/$C5</f>
        <v/>
      </c>
      <c r="Y5" s="25">
        <f>SUMPRODUCT((配方明细!$A$2:$A$93=$A5)*配方明细!$O$2:$O$93)/$C5</f>
        <v/>
      </c>
      <c r="Z5" s="25">
        <f>SUMPRODUCT((配方明细!$A$2:$A$93=$A5)*配方明细!$P$2:$P$93)/$C5</f>
        <v/>
      </c>
      <c r="AA5" s="25">
        <f>SUMPRODUCT((配方明细!$A$2:$A$93=$A5)*配方明细!$Q$2:$Q$93)/$C5</f>
        <v/>
      </c>
      <c r="AB5" s="25">
        <f>SUMPRODUCT((配方明细!$A$2:$A$93=$A5)*配方明细!$R$2:$R$93)/$C5</f>
        <v/>
      </c>
      <c r="AC5" s="25">
        <f>SUMPRODUCT((配方明细!$A$2:$A$93=$A5)*配方明细!$S$2:$S$93)/$C5</f>
        <v/>
      </c>
      <c r="AD5" s="25">
        <f>SUMPRODUCT((配方明细!$A$2:$A$93=$A5)*配方明细!$T$2:$T$93)/$C5</f>
        <v/>
      </c>
      <c r="AE5" s="25">
        <f>SUMPRODUCT((配方明细!$A$2:$A$93=$A5)*配方明细!$U$2:$U$93)/$C5</f>
        <v/>
      </c>
      <c r="AF5" s="25">
        <f>SUMPRODUCT((配方明细!$A$2:$A$93=$A5)*配方明细!$V$2:$V$93)/$C5</f>
        <v/>
      </c>
      <c r="AG5" s="25">
        <f>SUMPRODUCT((配方明细!$A$2:$A$93=$A5)*配方明细!$W$2:$W$93)/$C5</f>
        <v/>
      </c>
      <c r="AH5" s="25">
        <f>SUMPRODUCT((配方明细!$A$2:$A$93=$A5)*配方明细!$X$2:$X$93)/$C5</f>
        <v/>
      </c>
      <c r="AI5" s="25">
        <f>SUMPRODUCT((配方明细!$A$2:$A$93=$A5)*配方明细!$Y$2:$Y$93)/$C5</f>
        <v/>
      </c>
      <c r="AJ5" s="25">
        <f>SUMPRODUCT((配方明细!$A$2:$A$93=$A5)*配方明细!$Z$2:$Z$93)/$C5</f>
        <v/>
      </c>
      <c r="AK5" s="25">
        <f>SUMPRODUCT((配方明细!$A$2:$A$93=$A5)*配方明细!$AA$2:$AA$93)/$C5</f>
        <v/>
      </c>
      <c r="AL5" s="24">
        <f>SUMPRODUCT((配方明细!$A$2:$A$93=$A5)*配方明细!$AB$2:$AB$93)/$C5</f>
        <v/>
      </c>
      <c r="AM5" s="24">
        <f>SUMPRODUCT((配方明细!$A$2:$A$93=$A5)*配方明细!$AC$2:$AC$93)/100</f>
        <v/>
      </c>
      <c r="AN5" s="24">
        <f>SUMPRODUCT((配方明细!$A$2:$A$93=$A5)*配方明细!$AD$2:$AD$93)/100</f>
        <v/>
      </c>
      <c r="AO5" s="24">
        <f>SUMPRODUCT((配方明细!$A$2:$A$93=$A5)*配方明细!$AE$2:$AE$93)/100</f>
        <v/>
      </c>
      <c r="AP5" s="25">
        <f>SUMPRODUCT((配方明细!$A$2:$A$93=$A5)*配方明细!$AF$2:$AF$93)/100</f>
        <v/>
      </c>
      <c r="AQ5" s="25">
        <f>SUMPRODUCT((配方明细!$A$2:$A$93=$A5)*配方明细!$AG$2:$AG$93)/100</f>
        <v/>
      </c>
      <c r="AR5" s="25">
        <f>SUMPRODUCT((配方明细!$A$2:$A$93=$A5)*配方明细!$AH$2:$AH$93)/100</f>
        <v/>
      </c>
      <c r="AS5" s="25">
        <f>SUMPRODUCT((配方明细!$A$2:$A$93=$A5)*配方明细!$AI$2:$AI$93)/100</f>
        <v/>
      </c>
      <c r="AT5" s="25">
        <f>SUMPRODUCT((配方明细!$A$2:$A$93=$A5)*配方明细!$AJ$2:$AJ$93)/100</f>
        <v/>
      </c>
      <c r="AU5" s="25">
        <f>SUMPRODUCT((配方明细!$A$2:$A$93=$A5)*配方明细!$AK$2:$AK$93)/$C5</f>
        <v/>
      </c>
      <c r="AV5" s="14">
        <f>SUMPRODUCT((配方明细!$A$2:$A$93=$A5)*配方明细!$AL$2:$AL$93)/$C5</f>
        <v/>
      </c>
    </row>
    <row r="6" ht="15" customHeight="1" s="15">
      <c r="A6" s="22" t="inlineStr">
        <is>
          <t>EP-0005</t>
        </is>
      </c>
      <c r="B6" s="23" t="inlineStr">
        <is>
          <t>环氧酚醛</t>
        </is>
      </c>
      <c r="C6" s="24">
        <f>SUMIF(配方明细!$A$2:$A$93,$A6,配方明细!$D$2:$D$93)</f>
        <v/>
      </c>
      <c r="D6" s="22">
        <f>COUNTIF(配方明细!$A$2:$A$93,$A6)</f>
        <v/>
      </c>
      <c r="E6" s="24">
        <f>SUMIFS(配方明细!$D$2:$D$93,配方明细!$A$2:$A$93,$A6,配方明细!$E$2:$E$93,"树脂")/$C6</f>
        <v/>
      </c>
      <c r="F6" s="24">
        <f>SUMIFS(配方明细!$D$2:$D$93,配方明细!$A$2:$A$93,$A6,配方明细!$E$2:$E$93,"固化剂")/$C6</f>
        <v/>
      </c>
      <c r="G6" s="22">
        <f>SUMIFS(配方明细!$D$2:$D$93,配方明细!$A$2:$A$93,$A6,配方明细!$E$2:$E$93,"溶剂")/$C6</f>
        <v/>
      </c>
      <c r="H6" s="22">
        <f>SUMIFS(配方明细!$D$2:$D$93,配方明细!$A$2:$A$93,$A6,配方明细!$E$2:$E$93,"助剂")/$C6</f>
        <v/>
      </c>
      <c r="I6" s="22">
        <f>SUMIFS(配方明细!$D$2:$D$93,配方明细!$A$2:$A$93,$A6,配方明细!$E$2:$E$93,"颜料")/$C6</f>
        <v/>
      </c>
      <c r="J6" s="22">
        <f>IF($E6&gt;0,$F6/$E6,0)</f>
        <v/>
      </c>
      <c r="K6" s="22">
        <f>SUMIFS(配方明细!$D$2:$D$93,配方明细!$A$2:$A$93,$A6,配方明细!$F$2:$F$93,"环氧")/$C6</f>
        <v/>
      </c>
      <c r="L6" s="22">
        <f>SUMIFS(配方明细!$D$2:$D$93,配方明细!$A$2:$A$93,$A6,配方明细!$F$2:$F$93,"酚醛")/$C6</f>
        <v/>
      </c>
      <c r="M6" s="22">
        <f>SUMIFS(配方明细!$D$2:$D$93,配方明细!$A$2:$A$93,$A6,配方明细!$F$2:$F$93,"聚酯")/$C6</f>
        <v/>
      </c>
      <c r="N6" s="22">
        <f>SUMIFS(配方明细!$D$2:$D$93,配方明细!$A$2:$A$93,$A6,配方明细!$F$2:$F$93,"乙烯基")/$C6</f>
        <v/>
      </c>
      <c r="O6" s="22">
        <f>SUMIFS(配方明细!$D$2:$D$93,配方明细!$A$2:$A$93,$A6,配方明细!$F$2:$F$93,"丙烯酸")/$C6</f>
        <v/>
      </c>
      <c r="P6" s="22">
        <f>SUMIFS(配方明细!$D$2:$D$93,配方明细!$A$2:$A$93,$A6,配方明细!$F$2:$F$93,"聚氨酯")/$C6</f>
        <v/>
      </c>
      <c r="Q6" s="24">
        <f>SUMPRODUCT((配方明细!$A$2:$A$93=$A6)*配方明细!$G$2:$G$93)/$C6</f>
        <v/>
      </c>
      <c r="R6" s="22">
        <f>SUMPRODUCT((配方明细!$A$2:$A$93=$A6)*配方明细!$H$2:$H$93)/$C6</f>
        <v/>
      </c>
      <c r="S6" s="22">
        <f>SUMPRODUCT((配方明细!$A$2:$A$93=$A6)*配方明细!$I$2:$I$93)/$C6</f>
        <v/>
      </c>
      <c r="T6" s="24">
        <f>SUMPRODUCT((配方明细!$A$2:$A$93=$A6)*配方明细!$J$2:$J$93)/$C6</f>
        <v/>
      </c>
      <c r="U6" s="24">
        <f>SUMPRODUCT((配方明细!$A$2:$A$93=$A6)*配方明细!$K$2:$K$93)/$C6</f>
        <v/>
      </c>
      <c r="V6" s="24">
        <f>SUMPRODUCT((配方明细!$A$2:$A$93=$A6)*配方明细!$L$2:$L$93)/$C6</f>
        <v/>
      </c>
      <c r="W6" s="22">
        <f>SUMPRODUCT((配方明细!$A$2:$A$93=$A6)*配方明细!$M$2:$M$93)/$C6</f>
        <v/>
      </c>
      <c r="X6" s="22">
        <f>SUMPRODUCT((配方明细!$A$2:$A$93=$A6)*配方明细!$N$2:$N$93)/$C6</f>
        <v/>
      </c>
      <c r="Y6" s="22">
        <f>SUMPRODUCT((配方明细!$A$2:$A$93=$A6)*配方明细!$O$2:$O$93)/$C6</f>
        <v/>
      </c>
      <c r="Z6" s="22">
        <f>SUMPRODUCT((配方明细!$A$2:$A$93=$A6)*配方明细!$P$2:$P$93)/$C6</f>
        <v/>
      </c>
      <c r="AA6" s="22">
        <f>SUMPRODUCT((配方明细!$A$2:$A$93=$A6)*配方明细!$Q$2:$Q$93)/$C6</f>
        <v/>
      </c>
      <c r="AB6" s="22">
        <f>SUMPRODUCT((配方明细!$A$2:$A$93=$A6)*配方明细!$R$2:$R$93)/$C6</f>
        <v/>
      </c>
      <c r="AC6" s="22">
        <f>SUMPRODUCT((配方明细!$A$2:$A$93=$A6)*配方明细!$S$2:$S$93)/$C6</f>
        <v/>
      </c>
      <c r="AD6" s="22">
        <f>SUMPRODUCT((配方明细!$A$2:$A$93=$A6)*配方明细!$T$2:$T$93)/$C6</f>
        <v/>
      </c>
      <c r="AE6" s="22">
        <f>SUMPRODUCT((配方明细!$A$2:$A$93=$A6)*配方明细!$U$2:$U$93)/$C6</f>
        <v/>
      </c>
      <c r="AF6" s="22">
        <f>SUMPRODUCT((配方明细!$A$2:$A$93=$A6)*配方明细!$V$2:$V$93)/$C6</f>
        <v/>
      </c>
      <c r="AG6" s="22">
        <f>SUMPRODUCT((配方明细!$A$2:$A$93=$A6)*配方明细!$W$2:$W$93)/$C6</f>
        <v/>
      </c>
      <c r="AH6" s="22">
        <f>SUMPRODUCT((配方明细!$A$2:$A$93=$A6)*配方明细!$X$2:$X$93)/$C6</f>
        <v/>
      </c>
      <c r="AI6" s="22">
        <f>SUMPRODUCT((配方明细!$A$2:$A$93=$A6)*配方明细!$Y$2:$Y$93)/$C6</f>
        <v/>
      </c>
      <c r="AJ6" s="22">
        <f>SUMPRODUCT((配方明细!$A$2:$A$93=$A6)*配方明细!$Z$2:$Z$93)/$C6</f>
        <v/>
      </c>
      <c r="AK6" s="22">
        <f>SUMPRODUCT((配方明细!$A$2:$A$93=$A6)*配方明细!$AA$2:$AA$93)/$C6</f>
        <v/>
      </c>
      <c r="AL6" s="24">
        <f>SUMPRODUCT((配方明细!$A$2:$A$93=$A6)*配方明细!$AB$2:$AB$93)/$C6</f>
        <v/>
      </c>
      <c r="AM6" s="24">
        <f>SUMPRODUCT((配方明细!$A$2:$A$93=$A6)*配方明细!$AC$2:$AC$93)/100</f>
        <v/>
      </c>
      <c r="AN6" s="24">
        <f>SUMPRODUCT((配方明细!$A$2:$A$93=$A6)*配方明细!$AD$2:$AD$93)/100</f>
        <v/>
      </c>
      <c r="AO6" s="24">
        <f>SUMPRODUCT((配方明细!$A$2:$A$93=$A6)*配方明细!$AE$2:$AE$93)/100</f>
        <v/>
      </c>
      <c r="AP6" s="22">
        <f>SUMPRODUCT((配方明细!$A$2:$A$93=$A6)*配方明细!$AF$2:$AF$93)/100</f>
        <v/>
      </c>
      <c r="AQ6" s="22">
        <f>SUMPRODUCT((配方明细!$A$2:$A$93=$A6)*配方明细!$AG$2:$AG$93)/100</f>
        <v/>
      </c>
      <c r="AR6" s="22">
        <f>SUMPRODUCT((配方明细!$A$2:$A$93=$A6)*配方明细!$AH$2:$AH$93)/100</f>
        <v/>
      </c>
      <c r="AS6" s="22">
        <f>SUMPRODUCT((配方明细!$A$2:$A$93=$A6)*配方明细!$AI$2:$AI$93)/100</f>
        <v/>
      </c>
      <c r="AT6" s="22">
        <f>SUMPRODUCT((配方明细!$A$2:$A$93=$A6)*配方明细!$AJ$2:$AJ$93)/100</f>
        <v/>
      </c>
      <c r="AU6" s="22">
        <f>SUMPRODUCT((配方明细!$A$2:$A$93=$A6)*配方明细!$AK$2:$AK$93)/$C6</f>
        <v/>
      </c>
      <c r="AV6" s="14">
        <f>SUMPRODUCT((配方明细!$A$2:$A$93=$A6)*配方明细!$AL$2:$AL$93)/$C6</f>
        <v/>
      </c>
    </row>
    <row r="7" ht="15" customHeight="1" s="15">
      <c r="A7" s="25" t="inlineStr">
        <is>
          <t>ORG-0001</t>
        </is>
      </c>
      <c r="B7" s="26" t="inlineStr">
        <is>
          <t>有机</t>
        </is>
      </c>
      <c r="C7" s="24">
        <f>SUMIF(配方明细!$A$2:$A$93,$A7,配方明细!$D$2:$D$93)</f>
        <v/>
      </c>
      <c r="D7" s="25">
        <f>COUNTIF(配方明细!$A$2:$A$93,$A7)</f>
        <v/>
      </c>
      <c r="E7" s="24">
        <f>SUMIFS(配方明细!$D$2:$D$93,配方明细!$A$2:$A$93,$A7,配方明细!$E$2:$E$93,"树脂")/$C7</f>
        <v/>
      </c>
      <c r="F7" s="24">
        <f>SUMIFS(配方明细!$D$2:$D$93,配方明细!$A$2:$A$93,$A7,配方明细!$E$2:$E$93,"固化剂")/$C7</f>
        <v/>
      </c>
      <c r="G7" s="25">
        <f>SUMIFS(配方明细!$D$2:$D$93,配方明细!$A$2:$A$93,$A7,配方明细!$E$2:$E$93,"溶剂")/$C7</f>
        <v/>
      </c>
      <c r="H7" s="25">
        <f>SUMIFS(配方明细!$D$2:$D$93,配方明细!$A$2:$A$93,$A7,配方明细!$E$2:$E$93,"助剂")/$C7</f>
        <v/>
      </c>
      <c r="I7" s="25">
        <f>SUMIFS(配方明细!$D$2:$D$93,配方明细!$A$2:$A$93,$A7,配方明细!$E$2:$E$93,"颜料")/$C7</f>
        <v/>
      </c>
      <c r="J7" s="25">
        <f>IF($E7&gt;0,$F7/$E7,0)</f>
        <v/>
      </c>
      <c r="K7" s="25">
        <f>SUMIFS(配方明细!$D$2:$D$93,配方明细!$A$2:$A$93,$A7,配方明细!$F$2:$F$93,"环氧")/$C7</f>
        <v/>
      </c>
      <c r="L7" s="25">
        <f>SUMIFS(配方明细!$D$2:$D$93,配方明细!$A$2:$A$93,$A7,配方明细!$F$2:$F$93,"酚醛")/$C7</f>
        <v/>
      </c>
      <c r="M7" s="25">
        <f>SUMIFS(配方明细!$D$2:$D$93,配方明细!$A$2:$A$93,$A7,配方明细!$F$2:$F$93,"聚酯")/$C7</f>
        <v/>
      </c>
      <c r="N7" s="25">
        <f>SUMIFS(配方明细!$D$2:$D$93,配方明细!$A$2:$A$93,$A7,配方明细!$F$2:$F$93,"乙烯基")/$C7</f>
        <v/>
      </c>
      <c r="O7" s="25">
        <f>SUMIFS(配方明细!$D$2:$D$93,配方明细!$A$2:$A$93,$A7,配方明细!$F$2:$F$93,"丙烯酸")/$C7</f>
        <v/>
      </c>
      <c r="P7" s="25">
        <f>SUMIFS(配方明细!$D$2:$D$93,配方明细!$A$2:$A$93,$A7,配方明细!$F$2:$F$93,"聚氨酯")/$C7</f>
        <v/>
      </c>
      <c r="Q7" s="24">
        <f>SUMPRODUCT((配方明细!$A$2:$A$93=$A7)*配方明细!$G$2:$G$93)/$C7</f>
        <v/>
      </c>
      <c r="R7" s="25">
        <f>SUMPRODUCT((配方明细!$A$2:$A$93=$A7)*配方明细!$H$2:$H$93)/$C7</f>
        <v/>
      </c>
      <c r="S7" s="25">
        <f>SUMPRODUCT((配方明细!$A$2:$A$93=$A7)*配方明细!$I$2:$I$93)/$C7</f>
        <v/>
      </c>
      <c r="T7" s="24">
        <f>SUMPRODUCT((配方明细!$A$2:$A$93=$A7)*配方明细!$J$2:$J$93)/$C7</f>
        <v/>
      </c>
      <c r="U7" s="24">
        <f>SUMPRODUCT((配方明细!$A$2:$A$93=$A7)*配方明细!$K$2:$K$93)/$C7</f>
        <v/>
      </c>
      <c r="V7" s="24">
        <f>SUMPRODUCT((配方明细!$A$2:$A$93=$A7)*配方明细!$L$2:$L$93)/$C7</f>
        <v/>
      </c>
      <c r="W7" s="25">
        <f>SUMPRODUCT((配方明细!$A$2:$A$93=$A7)*配方明细!$M$2:$M$93)/$C7</f>
        <v/>
      </c>
      <c r="X7" s="25">
        <f>SUMPRODUCT((配方明细!$A$2:$A$93=$A7)*配方明细!$N$2:$N$93)/$C7</f>
        <v/>
      </c>
      <c r="Y7" s="25">
        <f>SUMPRODUCT((配方明细!$A$2:$A$93=$A7)*配方明细!$O$2:$O$93)/$C7</f>
        <v/>
      </c>
      <c r="Z7" s="25">
        <f>SUMPRODUCT((配方明细!$A$2:$A$93=$A7)*配方明细!$P$2:$P$93)/$C7</f>
        <v/>
      </c>
      <c r="AA7" s="25">
        <f>SUMPRODUCT((配方明细!$A$2:$A$93=$A7)*配方明细!$Q$2:$Q$93)/$C7</f>
        <v/>
      </c>
      <c r="AB7" s="25">
        <f>SUMPRODUCT((配方明细!$A$2:$A$93=$A7)*配方明细!$R$2:$R$93)/$C7</f>
        <v/>
      </c>
      <c r="AC7" s="25">
        <f>SUMPRODUCT((配方明细!$A$2:$A$93=$A7)*配方明细!$S$2:$S$93)/$C7</f>
        <v/>
      </c>
      <c r="AD7" s="25">
        <f>SUMPRODUCT((配方明细!$A$2:$A$93=$A7)*配方明细!$T$2:$T$93)/$C7</f>
        <v/>
      </c>
      <c r="AE7" s="25">
        <f>SUMPRODUCT((配方明细!$A$2:$A$93=$A7)*配方明细!$U$2:$U$93)/$C7</f>
        <v/>
      </c>
      <c r="AF7" s="25">
        <f>SUMPRODUCT((配方明细!$A$2:$A$93=$A7)*配方明细!$V$2:$V$93)/$C7</f>
        <v/>
      </c>
      <c r="AG7" s="25">
        <f>SUMPRODUCT((配方明细!$A$2:$A$93=$A7)*配方明细!$W$2:$W$93)/$C7</f>
        <v/>
      </c>
      <c r="AH7" s="25">
        <f>SUMPRODUCT((配方明细!$A$2:$A$93=$A7)*配方明细!$X$2:$X$93)/$C7</f>
        <v/>
      </c>
      <c r="AI7" s="25">
        <f>SUMPRODUCT((配方明细!$A$2:$A$93=$A7)*配方明细!$Y$2:$Y$93)/$C7</f>
        <v/>
      </c>
      <c r="AJ7" s="25">
        <f>SUMPRODUCT((配方明细!$A$2:$A$93=$A7)*配方明细!$Z$2:$Z$93)/$C7</f>
        <v/>
      </c>
      <c r="AK7" s="25">
        <f>SUMPRODUCT((配方明细!$A$2:$A$93=$A7)*配方明细!$AA$2:$AA$93)/$C7</f>
        <v/>
      </c>
      <c r="AL7" s="24">
        <f>SUMPRODUCT((配方明细!$A$2:$A$93=$A7)*配方明细!$AB$2:$AB$93)/$C7</f>
        <v/>
      </c>
      <c r="AM7" s="24">
        <f>SUMPRODUCT((配方明细!$A$2:$A$93=$A7)*配方明细!$AC$2:$AC$93)/100</f>
        <v/>
      </c>
      <c r="AN7" s="24">
        <f>SUMPRODUCT((配方明细!$A$2:$A$93=$A7)*配方明细!$AD$2:$AD$93)/100</f>
        <v/>
      </c>
      <c r="AO7" s="24">
        <f>SUMPRODUCT((配方明细!$A$2:$A$93=$A7)*配方明细!$AE$2:$AE$93)/100</f>
        <v/>
      </c>
      <c r="AP7" s="25">
        <f>SUMPRODUCT((配方明细!$A$2:$A$93=$A7)*配方明细!$AF$2:$AF$93)/100</f>
        <v/>
      </c>
      <c r="AQ7" s="25">
        <f>SUMPRODUCT((配方明细!$A$2:$A$93=$A7)*配方明细!$AG$2:$AG$93)/100</f>
        <v/>
      </c>
      <c r="AR7" s="25">
        <f>SUMPRODUCT((配方明细!$A$2:$A$93=$A7)*配方明细!$AH$2:$AH$93)/100</f>
        <v/>
      </c>
      <c r="AS7" s="25">
        <f>SUMPRODUCT((配方明细!$A$2:$A$93=$A7)*配方明细!$AI$2:$AI$93)/100</f>
        <v/>
      </c>
      <c r="AT7" s="25">
        <f>SUMPRODUCT((配方明细!$A$2:$A$93=$A7)*配方明细!$AJ$2:$AJ$93)/100</f>
        <v/>
      </c>
      <c r="AU7" s="25">
        <f>SUMPRODUCT((配方明细!$A$2:$A$93=$A7)*配方明细!$AK$2:$AK$93)/$C7</f>
        <v/>
      </c>
      <c r="AV7" s="14">
        <f>SUMPRODUCT((配方明细!$A$2:$A$93=$A7)*配方明细!$AL$2:$AL$93)/$C7</f>
        <v/>
      </c>
    </row>
    <row r="8" ht="15" customHeight="1" s="15">
      <c r="A8" s="22" t="inlineStr">
        <is>
          <t>ORG-0002</t>
        </is>
      </c>
      <c r="B8" s="23" t="inlineStr">
        <is>
          <t>有机</t>
        </is>
      </c>
      <c r="C8" s="24">
        <f>SUMIF(配方明细!$A$2:$A$93,$A8,配方明细!$D$2:$D$93)</f>
        <v/>
      </c>
      <c r="D8" s="22">
        <f>COUNTIF(配方明细!$A$2:$A$93,$A8)</f>
        <v/>
      </c>
      <c r="E8" s="24">
        <f>SUMIFS(配方明细!$D$2:$D$93,配方明细!$A$2:$A$93,$A8,配方明细!$E$2:$E$93,"树脂")/$C8</f>
        <v/>
      </c>
      <c r="F8" s="24">
        <f>SUMIFS(配方明细!$D$2:$D$93,配方明细!$A$2:$A$93,$A8,配方明细!$E$2:$E$93,"固化剂")/$C8</f>
        <v/>
      </c>
      <c r="G8" s="22">
        <f>SUMIFS(配方明细!$D$2:$D$93,配方明细!$A$2:$A$93,$A8,配方明细!$E$2:$E$93,"溶剂")/$C8</f>
        <v/>
      </c>
      <c r="H8" s="22">
        <f>SUMIFS(配方明细!$D$2:$D$93,配方明细!$A$2:$A$93,$A8,配方明细!$E$2:$E$93,"助剂")/$C8</f>
        <v/>
      </c>
      <c r="I8" s="22">
        <f>SUMIFS(配方明细!$D$2:$D$93,配方明细!$A$2:$A$93,$A8,配方明细!$E$2:$E$93,"颜料")/$C8</f>
        <v/>
      </c>
      <c r="J8" s="22">
        <f>IF($E8&gt;0,$F8/$E8,0)</f>
        <v/>
      </c>
      <c r="K8" s="22">
        <f>SUMIFS(配方明细!$D$2:$D$93,配方明细!$A$2:$A$93,$A8,配方明细!$F$2:$F$93,"环氧")/$C8</f>
        <v/>
      </c>
      <c r="L8" s="22">
        <f>SUMIFS(配方明细!$D$2:$D$93,配方明细!$A$2:$A$93,$A8,配方明细!$F$2:$F$93,"酚醛")/$C8</f>
        <v/>
      </c>
      <c r="M8" s="22">
        <f>SUMIFS(配方明细!$D$2:$D$93,配方明细!$A$2:$A$93,$A8,配方明细!$F$2:$F$93,"聚酯")/$C8</f>
        <v/>
      </c>
      <c r="N8" s="22">
        <f>SUMIFS(配方明细!$D$2:$D$93,配方明细!$A$2:$A$93,$A8,配方明细!$F$2:$F$93,"乙烯基")/$C8</f>
        <v/>
      </c>
      <c r="O8" s="22">
        <f>SUMIFS(配方明细!$D$2:$D$93,配方明细!$A$2:$A$93,$A8,配方明细!$F$2:$F$93,"丙烯酸")/$C8</f>
        <v/>
      </c>
      <c r="P8" s="22">
        <f>SUMIFS(配方明细!$D$2:$D$93,配方明细!$A$2:$A$93,$A8,配方明细!$F$2:$F$93,"聚氨酯")/$C8</f>
        <v/>
      </c>
      <c r="Q8" s="24">
        <f>SUMPRODUCT((配方明细!$A$2:$A$93=$A8)*配方明细!$G$2:$G$93)/$C8</f>
        <v/>
      </c>
      <c r="R8" s="22">
        <f>SUMPRODUCT((配方明细!$A$2:$A$93=$A8)*配方明细!$H$2:$H$93)/$C8</f>
        <v/>
      </c>
      <c r="S8" s="22">
        <f>SUMPRODUCT((配方明细!$A$2:$A$93=$A8)*配方明细!$I$2:$I$93)/$C8</f>
        <v/>
      </c>
      <c r="T8" s="24">
        <f>SUMPRODUCT((配方明细!$A$2:$A$93=$A8)*配方明细!$J$2:$J$93)/$C8</f>
        <v/>
      </c>
      <c r="U8" s="24">
        <f>SUMPRODUCT((配方明细!$A$2:$A$93=$A8)*配方明细!$K$2:$K$93)/$C8</f>
        <v/>
      </c>
      <c r="V8" s="24">
        <f>SUMPRODUCT((配方明细!$A$2:$A$93=$A8)*配方明细!$L$2:$L$93)/$C8</f>
        <v/>
      </c>
      <c r="W8" s="22">
        <f>SUMPRODUCT((配方明细!$A$2:$A$93=$A8)*配方明细!$M$2:$M$93)/$C8</f>
        <v/>
      </c>
      <c r="X8" s="22">
        <f>SUMPRODUCT((配方明细!$A$2:$A$93=$A8)*配方明细!$N$2:$N$93)/$C8</f>
        <v/>
      </c>
      <c r="Y8" s="22">
        <f>SUMPRODUCT((配方明细!$A$2:$A$93=$A8)*配方明细!$O$2:$O$93)/$C8</f>
        <v/>
      </c>
      <c r="Z8" s="22">
        <f>SUMPRODUCT((配方明细!$A$2:$A$93=$A8)*配方明细!$P$2:$P$93)/$C8</f>
        <v/>
      </c>
      <c r="AA8" s="22">
        <f>SUMPRODUCT((配方明细!$A$2:$A$93=$A8)*配方明细!$Q$2:$Q$93)/$C8</f>
        <v/>
      </c>
      <c r="AB8" s="22">
        <f>SUMPRODUCT((配方明细!$A$2:$A$93=$A8)*配方明细!$R$2:$R$93)/$C8</f>
        <v/>
      </c>
      <c r="AC8" s="22">
        <f>SUMPRODUCT((配方明细!$A$2:$A$93=$A8)*配方明细!$S$2:$S$93)/$C8</f>
        <v/>
      </c>
      <c r="AD8" s="22">
        <f>SUMPRODUCT((配方明细!$A$2:$A$93=$A8)*配方明细!$T$2:$T$93)/$C8</f>
        <v/>
      </c>
      <c r="AE8" s="22">
        <f>SUMPRODUCT((配方明细!$A$2:$A$93=$A8)*配方明细!$U$2:$U$93)/$C8</f>
        <v/>
      </c>
      <c r="AF8" s="22">
        <f>SUMPRODUCT((配方明细!$A$2:$A$93=$A8)*配方明细!$V$2:$V$93)/$C8</f>
        <v/>
      </c>
      <c r="AG8" s="22">
        <f>SUMPRODUCT((配方明细!$A$2:$A$93=$A8)*配方明细!$W$2:$W$93)/$C8</f>
        <v/>
      </c>
      <c r="AH8" s="22">
        <f>SUMPRODUCT((配方明细!$A$2:$A$93=$A8)*配方明细!$X$2:$X$93)/$C8</f>
        <v/>
      </c>
      <c r="AI8" s="22">
        <f>SUMPRODUCT((配方明细!$A$2:$A$93=$A8)*配方明细!$Y$2:$Y$93)/$C8</f>
        <v/>
      </c>
      <c r="AJ8" s="22">
        <f>SUMPRODUCT((配方明细!$A$2:$A$93=$A8)*配方明细!$Z$2:$Z$93)/$C8</f>
        <v/>
      </c>
      <c r="AK8" s="22">
        <f>SUMPRODUCT((配方明细!$A$2:$A$93=$A8)*配方明细!$AA$2:$AA$93)/$C8</f>
        <v/>
      </c>
      <c r="AL8" s="24">
        <f>SUMPRODUCT((配方明细!$A$2:$A$93=$A8)*配方明细!$AB$2:$AB$93)/$C8</f>
        <v/>
      </c>
      <c r="AM8" s="24">
        <f>SUMPRODUCT((配方明细!$A$2:$A$93=$A8)*配方明细!$AC$2:$AC$93)/100</f>
        <v/>
      </c>
      <c r="AN8" s="24">
        <f>SUMPRODUCT((配方明细!$A$2:$A$93=$A8)*配方明细!$AD$2:$AD$93)/100</f>
        <v/>
      </c>
      <c r="AO8" s="24">
        <f>SUMPRODUCT((配方明细!$A$2:$A$93=$A8)*配方明细!$AE$2:$AE$93)/100</f>
        <v/>
      </c>
      <c r="AP8" s="22">
        <f>SUMPRODUCT((配方明细!$A$2:$A$93=$A8)*配方明细!$AF$2:$AF$93)/100</f>
        <v/>
      </c>
      <c r="AQ8" s="22">
        <f>SUMPRODUCT((配方明细!$A$2:$A$93=$A8)*配方明细!$AG$2:$AG$93)/100</f>
        <v/>
      </c>
      <c r="AR8" s="22">
        <f>SUMPRODUCT((配方明细!$A$2:$A$93=$A8)*配方明细!$AH$2:$AH$93)/100</f>
        <v/>
      </c>
      <c r="AS8" s="22">
        <f>SUMPRODUCT((配方明细!$A$2:$A$93=$A8)*配方明细!$AI$2:$AI$93)/100</f>
        <v/>
      </c>
      <c r="AT8" s="22">
        <f>SUMPRODUCT((配方明细!$A$2:$A$93=$A8)*配方明细!$AJ$2:$AJ$93)/100</f>
        <v/>
      </c>
      <c r="AU8" s="22">
        <f>SUMPRODUCT((配方明细!$A$2:$A$93=$A8)*配方明细!$AK$2:$AK$93)/$C8</f>
        <v/>
      </c>
      <c r="AV8" s="14">
        <f>SUMPRODUCT((配方明细!$A$2:$A$93=$A8)*配方明细!$AL$2:$AL$93)/$C8</f>
        <v/>
      </c>
    </row>
    <row r="9" ht="15" customHeight="1" s="15">
      <c r="A9" s="25" t="inlineStr">
        <is>
          <t>ORG-0003</t>
        </is>
      </c>
      <c r="B9" s="26" t="inlineStr">
        <is>
          <t>有机</t>
        </is>
      </c>
      <c r="C9" s="24">
        <f>SUMIF(配方明细!$A$2:$A$93,$A9,配方明细!$D$2:$D$93)</f>
        <v/>
      </c>
      <c r="D9" s="25">
        <f>COUNTIF(配方明细!$A$2:$A$93,$A9)</f>
        <v/>
      </c>
      <c r="E9" s="24">
        <f>SUMIFS(配方明细!$D$2:$D$93,配方明细!$A$2:$A$93,$A9,配方明细!$E$2:$E$93,"树脂")/$C9</f>
        <v/>
      </c>
      <c r="F9" s="24">
        <f>SUMIFS(配方明细!$D$2:$D$93,配方明细!$A$2:$A$93,$A9,配方明细!$E$2:$E$93,"固化剂")/$C9</f>
        <v/>
      </c>
      <c r="G9" s="25">
        <f>SUMIFS(配方明细!$D$2:$D$93,配方明细!$A$2:$A$93,$A9,配方明细!$E$2:$E$93,"溶剂")/$C9</f>
        <v/>
      </c>
      <c r="H9" s="25">
        <f>SUMIFS(配方明细!$D$2:$D$93,配方明细!$A$2:$A$93,$A9,配方明细!$E$2:$E$93,"助剂")/$C9</f>
        <v/>
      </c>
      <c r="I9" s="25">
        <f>SUMIFS(配方明细!$D$2:$D$93,配方明细!$A$2:$A$93,$A9,配方明细!$E$2:$E$93,"颜料")/$C9</f>
        <v/>
      </c>
      <c r="J9" s="25">
        <f>IF($E9&gt;0,$F9/$E9,0)</f>
        <v/>
      </c>
      <c r="K9" s="25">
        <f>SUMIFS(配方明细!$D$2:$D$93,配方明细!$A$2:$A$93,$A9,配方明细!$F$2:$F$93,"环氧")/$C9</f>
        <v/>
      </c>
      <c r="L9" s="25">
        <f>SUMIFS(配方明细!$D$2:$D$93,配方明细!$A$2:$A$93,$A9,配方明细!$F$2:$F$93,"酚醛")/$C9</f>
        <v/>
      </c>
      <c r="M9" s="25">
        <f>SUMIFS(配方明细!$D$2:$D$93,配方明细!$A$2:$A$93,$A9,配方明细!$F$2:$F$93,"聚酯")/$C9</f>
        <v/>
      </c>
      <c r="N9" s="25">
        <f>SUMIFS(配方明细!$D$2:$D$93,配方明细!$A$2:$A$93,$A9,配方明细!$F$2:$F$93,"乙烯基")/$C9</f>
        <v/>
      </c>
      <c r="O9" s="25">
        <f>SUMIFS(配方明细!$D$2:$D$93,配方明细!$A$2:$A$93,$A9,配方明细!$F$2:$F$93,"丙烯酸")/$C9</f>
        <v/>
      </c>
      <c r="P9" s="25">
        <f>SUMIFS(配方明细!$D$2:$D$93,配方明细!$A$2:$A$93,$A9,配方明细!$F$2:$F$93,"聚氨酯")/$C9</f>
        <v/>
      </c>
      <c r="Q9" s="24">
        <f>SUMPRODUCT((配方明细!$A$2:$A$93=$A9)*配方明细!$G$2:$G$93)/$C9</f>
        <v/>
      </c>
      <c r="R9" s="25">
        <f>SUMPRODUCT((配方明细!$A$2:$A$93=$A9)*配方明细!$H$2:$H$93)/$C9</f>
        <v/>
      </c>
      <c r="S9" s="25">
        <f>SUMPRODUCT((配方明细!$A$2:$A$93=$A9)*配方明细!$I$2:$I$93)/$C9</f>
        <v/>
      </c>
      <c r="T9" s="24">
        <f>SUMPRODUCT((配方明细!$A$2:$A$93=$A9)*配方明细!$J$2:$J$93)/$C9</f>
        <v/>
      </c>
      <c r="U9" s="24">
        <f>SUMPRODUCT((配方明细!$A$2:$A$93=$A9)*配方明细!$K$2:$K$93)/$C9</f>
        <v/>
      </c>
      <c r="V9" s="24">
        <f>SUMPRODUCT((配方明细!$A$2:$A$93=$A9)*配方明细!$L$2:$L$93)/$C9</f>
        <v/>
      </c>
      <c r="W9" s="25">
        <f>SUMPRODUCT((配方明细!$A$2:$A$93=$A9)*配方明细!$M$2:$M$93)/$C9</f>
        <v/>
      </c>
      <c r="X9" s="25">
        <f>SUMPRODUCT((配方明细!$A$2:$A$93=$A9)*配方明细!$N$2:$N$93)/$C9</f>
        <v/>
      </c>
      <c r="Y9" s="25">
        <f>SUMPRODUCT((配方明细!$A$2:$A$93=$A9)*配方明细!$O$2:$O$93)/$C9</f>
        <v/>
      </c>
      <c r="Z9" s="25">
        <f>SUMPRODUCT((配方明细!$A$2:$A$93=$A9)*配方明细!$P$2:$P$93)/$C9</f>
        <v/>
      </c>
      <c r="AA9" s="25">
        <f>SUMPRODUCT((配方明细!$A$2:$A$93=$A9)*配方明细!$Q$2:$Q$93)/$C9</f>
        <v/>
      </c>
      <c r="AB9" s="25">
        <f>SUMPRODUCT((配方明细!$A$2:$A$93=$A9)*配方明细!$R$2:$R$93)/$C9</f>
        <v/>
      </c>
      <c r="AC9" s="25">
        <f>SUMPRODUCT((配方明细!$A$2:$A$93=$A9)*配方明细!$S$2:$S$93)/$C9</f>
        <v/>
      </c>
      <c r="AD9" s="25">
        <f>SUMPRODUCT((配方明细!$A$2:$A$93=$A9)*配方明细!$T$2:$T$93)/$C9</f>
        <v/>
      </c>
      <c r="AE9" s="25">
        <f>SUMPRODUCT((配方明细!$A$2:$A$93=$A9)*配方明细!$U$2:$U$93)/$C9</f>
        <v/>
      </c>
      <c r="AF9" s="25">
        <f>SUMPRODUCT((配方明细!$A$2:$A$93=$A9)*配方明细!$V$2:$V$93)/$C9</f>
        <v/>
      </c>
      <c r="AG9" s="25">
        <f>SUMPRODUCT((配方明细!$A$2:$A$93=$A9)*配方明细!$W$2:$W$93)/$C9</f>
        <v/>
      </c>
      <c r="AH9" s="25">
        <f>SUMPRODUCT((配方明细!$A$2:$A$93=$A9)*配方明细!$X$2:$X$93)/$C9</f>
        <v/>
      </c>
      <c r="AI9" s="25">
        <f>SUMPRODUCT((配方明细!$A$2:$A$93=$A9)*配方明细!$Y$2:$Y$93)/$C9</f>
        <v/>
      </c>
      <c r="AJ9" s="25">
        <f>SUMPRODUCT((配方明细!$A$2:$A$93=$A9)*配方明细!$Z$2:$Z$93)/$C9</f>
        <v/>
      </c>
      <c r="AK9" s="25">
        <f>SUMPRODUCT((配方明细!$A$2:$A$93=$A9)*配方明细!$AA$2:$AA$93)/$C9</f>
        <v/>
      </c>
      <c r="AL9" s="24">
        <f>SUMPRODUCT((配方明细!$A$2:$A$93=$A9)*配方明细!$AB$2:$AB$93)/$C9</f>
        <v/>
      </c>
      <c r="AM9" s="24">
        <f>SUMPRODUCT((配方明细!$A$2:$A$93=$A9)*配方明细!$AC$2:$AC$93)/100</f>
        <v/>
      </c>
      <c r="AN9" s="24">
        <f>SUMPRODUCT((配方明细!$A$2:$A$93=$A9)*配方明细!$AD$2:$AD$93)/100</f>
        <v/>
      </c>
      <c r="AO9" s="24">
        <f>SUMPRODUCT((配方明细!$A$2:$A$93=$A9)*配方明细!$AE$2:$AE$93)/100</f>
        <v/>
      </c>
      <c r="AP9" s="25">
        <f>SUMPRODUCT((配方明细!$A$2:$A$93=$A9)*配方明细!$AF$2:$AF$93)/100</f>
        <v/>
      </c>
      <c r="AQ9" s="25">
        <f>SUMPRODUCT((配方明细!$A$2:$A$93=$A9)*配方明细!$AG$2:$AG$93)/100</f>
        <v/>
      </c>
      <c r="AR9" s="25">
        <f>SUMPRODUCT((配方明细!$A$2:$A$93=$A9)*配方明细!$AH$2:$AH$93)/100</f>
        <v/>
      </c>
      <c r="AS9" s="25">
        <f>SUMPRODUCT((配方明细!$A$2:$A$93=$A9)*配方明细!$AI$2:$AI$93)/100</f>
        <v/>
      </c>
      <c r="AT9" s="25">
        <f>SUMPRODUCT((配方明细!$A$2:$A$93=$A9)*配方明细!$AJ$2:$AJ$93)/100</f>
        <v/>
      </c>
      <c r="AU9" s="25">
        <f>SUMPRODUCT((配方明细!$A$2:$A$93=$A9)*配方明细!$AK$2:$AK$93)/$C9</f>
        <v/>
      </c>
      <c r="AV9" s="14">
        <f>SUMPRODUCT((配方明细!$A$2:$A$93=$A9)*配方明细!$AL$2:$AL$93)/$C9</f>
        <v/>
      </c>
    </row>
    <row r="10" ht="15" customHeight="1" s="15">
      <c r="A10" s="22" t="inlineStr">
        <is>
          <t>PES-0001</t>
        </is>
      </c>
      <c r="B10" s="23" t="inlineStr">
        <is>
          <t>聚酯</t>
        </is>
      </c>
      <c r="C10" s="24">
        <f>SUMIF(配方明细!$A$2:$A$93,$A10,配方明细!$D$2:$D$93)</f>
        <v/>
      </c>
      <c r="D10" s="22">
        <f>COUNTIF(配方明细!$A$2:$A$93,$A10)</f>
        <v/>
      </c>
      <c r="E10" s="24">
        <f>SUMIFS(配方明细!$D$2:$D$93,配方明细!$A$2:$A$93,$A10,配方明细!$E$2:$E$93,"树脂")/$C10</f>
        <v/>
      </c>
      <c r="F10" s="24">
        <f>SUMIFS(配方明细!$D$2:$D$93,配方明细!$A$2:$A$93,$A10,配方明细!$E$2:$E$93,"固化剂")/$C10</f>
        <v/>
      </c>
      <c r="G10" s="22">
        <f>SUMIFS(配方明细!$D$2:$D$93,配方明细!$A$2:$A$93,$A10,配方明细!$E$2:$E$93,"溶剂")/$C10</f>
        <v/>
      </c>
      <c r="H10" s="22">
        <f>SUMIFS(配方明细!$D$2:$D$93,配方明细!$A$2:$A$93,$A10,配方明细!$E$2:$E$93,"助剂")/$C10</f>
        <v/>
      </c>
      <c r="I10" s="22">
        <f>SUMIFS(配方明细!$D$2:$D$93,配方明细!$A$2:$A$93,$A10,配方明细!$E$2:$E$93,"颜料")/$C10</f>
        <v/>
      </c>
      <c r="J10" s="22">
        <f>IF($E10&gt;0,$F10/$E10,0)</f>
        <v/>
      </c>
      <c r="K10" s="22">
        <f>SUMIFS(配方明细!$D$2:$D$93,配方明细!$A$2:$A$93,$A10,配方明细!$F$2:$F$93,"环氧")/$C10</f>
        <v/>
      </c>
      <c r="L10" s="22">
        <f>SUMIFS(配方明细!$D$2:$D$93,配方明细!$A$2:$A$93,$A10,配方明细!$F$2:$F$93,"酚醛")/$C10</f>
        <v/>
      </c>
      <c r="M10" s="22">
        <f>SUMIFS(配方明细!$D$2:$D$93,配方明细!$A$2:$A$93,$A10,配方明细!$F$2:$F$93,"聚酯")/$C10</f>
        <v/>
      </c>
      <c r="N10" s="22">
        <f>SUMIFS(配方明细!$D$2:$D$93,配方明细!$A$2:$A$93,$A10,配方明细!$F$2:$F$93,"乙烯基")/$C10</f>
        <v/>
      </c>
      <c r="O10" s="22">
        <f>SUMIFS(配方明细!$D$2:$D$93,配方明细!$A$2:$A$93,$A10,配方明细!$F$2:$F$93,"丙烯酸")/$C10</f>
        <v/>
      </c>
      <c r="P10" s="22">
        <f>SUMIFS(配方明细!$D$2:$D$93,配方明细!$A$2:$A$93,$A10,配方明细!$F$2:$F$93,"聚氨酯")/$C10</f>
        <v/>
      </c>
      <c r="Q10" s="24">
        <f>SUMPRODUCT((配方明细!$A$2:$A$93=$A10)*配方明细!$G$2:$G$93)/$C10</f>
        <v/>
      </c>
      <c r="R10" s="22">
        <f>SUMPRODUCT((配方明细!$A$2:$A$93=$A10)*配方明细!$H$2:$H$93)/$C10</f>
        <v/>
      </c>
      <c r="S10" s="22">
        <f>SUMPRODUCT((配方明细!$A$2:$A$93=$A10)*配方明细!$I$2:$I$93)/$C10</f>
        <v/>
      </c>
      <c r="T10" s="24">
        <f>SUMPRODUCT((配方明细!$A$2:$A$93=$A10)*配方明细!$J$2:$J$93)/$C10</f>
        <v/>
      </c>
      <c r="U10" s="24">
        <f>SUMPRODUCT((配方明细!$A$2:$A$93=$A10)*配方明细!$K$2:$K$93)/$C10</f>
        <v/>
      </c>
      <c r="V10" s="24">
        <f>SUMPRODUCT((配方明细!$A$2:$A$93=$A10)*配方明细!$L$2:$L$93)/$C10</f>
        <v/>
      </c>
      <c r="W10" s="22">
        <f>SUMPRODUCT((配方明细!$A$2:$A$93=$A10)*配方明细!$M$2:$M$93)/$C10</f>
        <v/>
      </c>
      <c r="X10" s="22">
        <f>SUMPRODUCT((配方明细!$A$2:$A$93=$A10)*配方明细!$N$2:$N$93)/$C10</f>
        <v/>
      </c>
      <c r="Y10" s="22">
        <f>SUMPRODUCT((配方明细!$A$2:$A$93=$A10)*配方明细!$O$2:$O$93)/$C10</f>
        <v/>
      </c>
      <c r="Z10" s="22">
        <f>SUMPRODUCT((配方明细!$A$2:$A$93=$A10)*配方明细!$P$2:$P$93)/$C10</f>
        <v/>
      </c>
      <c r="AA10" s="22">
        <f>SUMPRODUCT((配方明细!$A$2:$A$93=$A10)*配方明细!$Q$2:$Q$93)/$C10</f>
        <v/>
      </c>
      <c r="AB10" s="22">
        <f>SUMPRODUCT((配方明细!$A$2:$A$93=$A10)*配方明细!$R$2:$R$93)/$C10</f>
        <v/>
      </c>
      <c r="AC10" s="22">
        <f>SUMPRODUCT((配方明细!$A$2:$A$93=$A10)*配方明细!$S$2:$S$93)/$C10</f>
        <v/>
      </c>
      <c r="AD10" s="22">
        <f>SUMPRODUCT((配方明细!$A$2:$A$93=$A10)*配方明细!$T$2:$T$93)/$C10</f>
        <v/>
      </c>
      <c r="AE10" s="22">
        <f>SUMPRODUCT((配方明细!$A$2:$A$93=$A10)*配方明细!$U$2:$U$93)/$C10</f>
        <v/>
      </c>
      <c r="AF10" s="22">
        <f>SUMPRODUCT((配方明细!$A$2:$A$93=$A10)*配方明细!$V$2:$V$93)/$C10</f>
        <v/>
      </c>
      <c r="AG10" s="22">
        <f>SUMPRODUCT((配方明细!$A$2:$A$93=$A10)*配方明细!$W$2:$W$93)/$C10</f>
        <v/>
      </c>
      <c r="AH10" s="22">
        <f>SUMPRODUCT((配方明细!$A$2:$A$93=$A10)*配方明细!$X$2:$X$93)/$C10</f>
        <v/>
      </c>
      <c r="AI10" s="22">
        <f>SUMPRODUCT((配方明细!$A$2:$A$93=$A10)*配方明细!$Y$2:$Y$93)/$C10</f>
        <v/>
      </c>
      <c r="AJ10" s="22">
        <f>SUMPRODUCT((配方明细!$A$2:$A$93=$A10)*配方明细!$Z$2:$Z$93)/$C10</f>
        <v/>
      </c>
      <c r="AK10" s="22">
        <f>SUMPRODUCT((配方明细!$A$2:$A$93=$A10)*配方明细!$AA$2:$AA$93)/$C10</f>
        <v/>
      </c>
      <c r="AL10" s="24">
        <f>SUMPRODUCT((配方明细!$A$2:$A$93=$A10)*配方明细!$AB$2:$AB$93)/$C10</f>
        <v/>
      </c>
      <c r="AM10" s="24">
        <f>SUMPRODUCT((配方明细!$A$2:$A$93=$A10)*配方明细!$AC$2:$AC$93)/100</f>
        <v/>
      </c>
      <c r="AN10" s="24">
        <f>SUMPRODUCT((配方明细!$A$2:$A$93=$A10)*配方明细!$AD$2:$AD$93)/100</f>
        <v/>
      </c>
      <c r="AO10" s="24">
        <f>SUMPRODUCT((配方明细!$A$2:$A$93=$A10)*配方明细!$AE$2:$AE$93)/100</f>
        <v/>
      </c>
      <c r="AP10" s="22">
        <f>SUMPRODUCT((配方明细!$A$2:$A$93=$A10)*配方明细!$AF$2:$AF$93)/100</f>
        <v/>
      </c>
      <c r="AQ10" s="22">
        <f>SUMPRODUCT((配方明细!$A$2:$A$93=$A10)*配方明细!$AG$2:$AG$93)/100</f>
        <v/>
      </c>
      <c r="AR10" s="22">
        <f>SUMPRODUCT((配方明细!$A$2:$A$93=$A10)*配方明细!$AH$2:$AH$93)/100</f>
        <v/>
      </c>
      <c r="AS10" s="22">
        <f>SUMPRODUCT((配方明细!$A$2:$A$93=$A10)*配方明细!$AI$2:$AI$93)/100</f>
        <v/>
      </c>
      <c r="AT10" s="22">
        <f>SUMPRODUCT((配方明细!$A$2:$A$93=$A10)*配方明细!$AJ$2:$AJ$93)/100</f>
        <v/>
      </c>
      <c r="AU10" s="22">
        <f>SUMPRODUCT((配方明细!$A$2:$A$93=$A10)*配方明细!$AK$2:$AK$93)/$C10</f>
        <v/>
      </c>
      <c r="AV10" s="14">
        <f>SUMPRODUCT((配方明细!$A$2:$A$93=$A10)*配方明细!$AL$2:$AL$93)/$C10</f>
        <v/>
      </c>
    </row>
    <row r="11" ht="15" customHeight="1" s="15">
      <c r="A11" s="25" t="inlineStr">
        <is>
          <t>PES-0002</t>
        </is>
      </c>
      <c r="B11" s="26" t="inlineStr">
        <is>
          <t>聚酯</t>
        </is>
      </c>
      <c r="C11" s="24">
        <f>SUMIF(配方明细!$A$2:$A$93,$A11,配方明细!$D$2:$D$93)</f>
        <v/>
      </c>
      <c r="D11" s="25">
        <f>COUNTIF(配方明细!$A$2:$A$93,$A11)</f>
        <v/>
      </c>
      <c r="E11" s="24">
        <f>SUMIFS(配方明细!$D$2:$D$93,配方明细!$A$2:$A$93,$A11,配方明细!$E$2:$E$93,"树脂")/$C11</f>
        <v/>
      </c>
      <c r="F11" s="24">
        <f>SUMIFS(配方明细!$D$2:$D$93,配方明细!$A$2:$A$93,$A11,配方明细!$E$2:$E$93,"固化剂")/$C11</f>
        <v/>
      </c>
      <c r="G11" s="25">
        <f>SUMIFS(配方明细!$D$2:$D$93,配方明细!$A$2:$A$93,$A11,配方明细!$E$2:$E$93,"溶剂")/$C11</f>
        <v/>
      </c>
      <c r="H11" s="25">
        <f>SUMIFS(配方明细!$D$2:$D$93,配方明细!$A$2:$A$93,$A11,配方明细!$E$2:$E$93,"助剂")/$C11</f>
        <v/>
      </c>
      <c r="I11" s="25">
        <f>SUMIFS(配方明细!$D$2:$D$93,配方明细!$A$2:$A$93,$A11,配方明细!$E$2:$E$93,"颜料")/$C11</f>
        <v/>
      </c>
      <c r="J11" s="25">
        <f>IF($E11&gt;0,$F11/$E11,0)</f>
        <v/>
      </c>
      <c r="K11" s="25">
        <f>SUMIFS(配方明细!$D$2:$D$93,配方明细!$A$2:$A$93,$A11,配方明细!$F$2:$F$93,"环氧")/$C11</f>
        <v/>
      </c>
      <c r="L11" s="25">
        <f>SUMIFS(配方明细!$D$2:$D$93,配方明细!$A$2:$A$93,$A11,配方明细!$F$2:$F$93,"酚醛")/$C11</f>
        <v/>
      </c>
      <c r="M11" s="25">
        <f>SUMIFS(配方明细!$D$2:$D$93,配方明细!$A$2:$A$93,$A11,配方明细!$F$2:$F$93,"聚酯")/$C11</f>
        <v/>
      </c>
      <c r="N11" s="25">
        <f>SUMIFS(配方明细!$D$2:$D$93,配方明细!$A$2:$A$93,$A11,配方明细!$F$2:$F$93,"乙烯基")/$C11</f>
        <v/>
      </c>
      <c r="O11" s="25">
        <f>SUMIFS(配方明细!$D$2:$D$93,配方明细!$A$2:$A$93,$A11,配方明细!$F$2:$F$93,"丙烯酸")/$C11</f>
        <v/>
      </c>
      <c r="P11" s="25">
        <f>SUMIFS(配方明细!$D$2:$D$93,配方明细!$A$2:$A$93,$A11,配方明细!$F$2:$F$93,"聚氨酯")/$C11</f>
        <v/>
      </c>
      <c r="Q11" s="24">
        <f>SUMPRODUCT((配方明细!$A$2:$A$93=$A11)*配方明细!$G$2:$G$93)/$C11</f>
        <v/>
      </c>
      <c r="R11" s="25">
        <f>SUMPRODUCT((配方明细!$A$2:$A$93=$A11)*配方明细!$H$2:$H$93)/$C11</f>
        <v/>
      </c>
      <c r="S11" s="25">
        <f>SUMPRODUCT((配方明细!$A$2:$A$93=$A11)*配方明细!$I$2:$I$93)/$C11</f>
        <v/>
      </c>
      <c r="T11" s="24">
        <f>SUMPRODUCT((配方明细!$A$2:$A$93=$A11)*配方明细!$J$2:$J$93)/$C11</f>
        <v/>
      </c>
      <c r="U11" s="24">
        <f>SUMPRODUCT((配方明细!$A$2:$A$93=$A11)*配方明细!$K$2:$K$93)/$C11</f>
        <v/>
      </c>
      <c r="V11" s="24">
        <f>SUMPRODUCT((配方明细!$A$2:$A$93=$A11)*配方明细!$L$2:$L$93)/$C11</f>
        <v/>
      </c>
      <c r="W11" s="25">
        <f>SUMPRODUCT((配方明细!$A$2:$A$93=$A11)*配方明细!$M$2:$M$93)/$C11</f>
        <v/>
      </c>
      <c r="X11" s="25">
        <f>SUMPRODUCT((配方明细!$A$2:$A$93=$A11)*配方明细!$N$2:$N$93)/$C11</f>
        <v/>
      </c>
      <c r="Y11" s="25">
        <f>SUMPRODUCT((配方明细!$A$2:$A$93=$A11)*配方明细!$O$2:$O$93)/$C11</f>
        <v/>
      </c>
      <c r="Z11" s="25">
        <f>SUMPRODUCT((配方明细!$A$2:$A$93=$A11)*配方明细!$P$2:$P$93)/$C11</f>
        <v/>
      </c>
      <c r="AA11" s="25">
        <f>SUMPRODUCT((配方明细!$A$2:$A$93=$A11)*配方明细!$Q$2:$Q$93)/$C11</f>
        <v/>
      </c>
      <c r="AB11" s="25">
        <f>SUMPRODUCT((配方明细!$A$2:$A$93=$A11)*配方明细!$R$2:$R$93)/$C11</f>
        <v/>
      </c>
      <c r="AC11" s="25">
        <f>SUMPRODUCT((配方明细!$A$2:$A$93=$A11)*配方明细!$S$2:$S$93)/$C11</f>
        <v/>
      </c>
      <c r="AD11" s="25">
        <f>SUMPRODUCT((配方明细!$A$2:$A$93=$A11)*配方明细!$T$2:$T$93)/$C11</f>
        <v/>
      </c>
      <c r="AE11" s="25">
        <f>SUMPRODUCT((配方明细!$A$2:$A$93=$A11)*配方明细!$U$2:$U$93)/$C11</f>
        <v/>
      </c>
      <c r="AF11" s="25">
        <f>SUMPRODUCT((配方明细!$A$2:$A$93=$A11)*配方明细!$V$2:$V$93)/$C11</f>
        <v/>
      </c>
      <c r="AG11" s="25">
        <f>SUMPRODUCT((配方明细!$A$2:$A$93=$A11)*配方明细!$W$2:$W$93)/$C11</f>
        <v/>
      </c>
      <c r="AH11" s="25">
        <f>SUMPRODUCT((配方明细!$A$2:$A$93=$A11)*配方明细!$X$2:$X$93)/$C11</f>
        <v/>
      </c>
      <c r="AI11" s="25">
        <f>SUMPRODUCT((配方明细!$A$2:$A$93=$A11)*配方明细!$Y$2:$Y$93)/$C11</f>
        <v/>
      </c>
      <c r="AJ11" s="25">
        <f>SUMPRODUCT((配方明细!$A$2:$A$93=$A11)*配方明细!$Z$2:$Z$93)/$C11</f>
        <v/>
      </c>
      <c r="AK11" s="25">
        <f>SUMPRODUCT((配方明细!$A$2:$A$93=$A11)*配方明细!$AA$2:$AA$93)/$C11</f>
        <v/>
      </c>
      <c r="AL11" s="24">
        <f>SUMPRODUCT((配方明细!$A$2:$A$93=$A11)*配方明细!$AB$2:$AB$93)/$C11</f>
        <v/>
      </c>
      <c r="AM11" s="24">
        <f>SUMPRODUCT((配方明细!$A$2:$A$93=$A11)*配方明细!$AC$2:$AC$93)/100</f>
        <v/>
      </c>
      <c r="AN11" s="24">
        <f>SUMPRODUCT((配方明细!$A$2:$A$93=$A11)*配方明细!$AD$2:$AD$93)/100</f>
        <v/>
      </c>
      <c r="AO11" s="24">
        <f>SUMPRODUCT((配方明细!$A$2:$A$93=$A11)*配方明细!$AE$2:$AE$93)/100</f>
        <v/>
      </c>
      <c r="AP11" s="25">
        <f>SUMPRODUCT((配方明细!$A$2:$A$93=$A11)*配方明细!$AF$2:$AF$93)/100</f>
        <v/>
      </c>
      <c r="AQ11" s="25">
        <f>SUMPRODUCT((配方明细!$A$2:$A$93=$A11)*配方明细!$AG$2:$AG$93)/100</f>
        <v/>
      </c>
      <c r="AR11" s="25">
        <f>SUMPRODUCT((配方明细!$A$2:$A$93=$A11)*配方明细!$AH$2:$AH$93)/100</f>
        <v/>
      </c>
      <c r="AS11" s="25">
        <f>SUMPRODUCT((配方明细!$A$2:$A$93=$A11)*配方明细!$AI$2:$AI$93)/100</f>
        <v/>
      </c>
      <c r="AT11" s="25">
        <f>SUMPRODUCT((配方明细!$A$2:$A$93=$A11)*配方明细!$AJ$2:$AJ$93)/100</f>
        <v/>
      </c>
      <c r="AU11" s="25">
        <f>SUMPRODUCT((配方明细!$A$2:$A$93=$A11)*配方明细!$AK$2:$AK$93)/$C11</f>
        <v/>
      </c>
      <c r="AV11" s="14">
        <f>SUMPRODUCT((配方明细!$A$2:$A$93=$A11)*配方明细!$AL$2:$AL$93)/$C11</f>
        <v/>
      </c>
    </row>
    <row r="12" ht="15" customHeight="1" s="15">
      <c r="A12" s="22" t="inlineStr">
        <is>
          <t>PES-0003</t>
        </is>
      </c>
      <c r="B12" s="23" t="inlineStr">
        <is>
          <t>聚酯</t>
        </is>
      </c>
      <c r="C12" s="24">
        <f>SUMIF(配方明细!$A$2:$A$93,$A12,配方明细!$D$2:$D$93)</f>
        <v/>
      </c>
      <c r="D12" s="22">
        <f>COUNTIF(配方明细!$A$2:$A$93,$A12)</f>
        <v/>
      </c>
      <c r="E12" s="24">
        <f>SUMIFS(配方明细!$D$2:$D$93,配方明细!$A$2:$A$93,$A12,配方明细!$E$2:$E$93,"树脂")/$C12</f>
        <v/>
      </c>
      <c r="F12" s="24">
        <f>SUMIFS(配方明细!$D$2:$D$93,配方明细!$A$2:$A$93,$A12,配方明细!$E$2:$E$93,"固化剂")/$C12</f>
        <v/>
      </c>
      <c r="G12" s="22">
        <f>SUMIFS(配方明细!$D$2:$D$93,配方明细!$A$2:$A$93,$A12,配方明细!$E$2:$E$93,"溶剂")/$C12</f>
        <v/>
      </c>
      <c r="H12" s="22">
        <f>SUMIFS(配方明细!$D$2:$D$93,配方明细!$A$2:$A$93,$A12,配方明细!$E$2:$E$93,"助剂")/$C12</f>
        <v/>
      </c>
      <c r="I12" s="22">
        <f>SUMIFS(配方明细!$D$2:$D$93,配方明细!$A$2:$A$93,$A12,配方明细!$E$2:$E$93,"颜料")/$C12</f>
        <v/>
      </c>
      <c r="J12" s="22">
        <f>IF($E12&gt;0,$F12/$E12,0)</f>
        <v/>
      </c>
      <c r="K12" s="22">
        <f>SUMIFS(配方明细!$D$2:$D$93,配方明细!$A$2:$A$93,$A12,配方明细!$F$2:$F$93,"环氧")/$C12</f>
        <v/>
      </c>
      <c r="L12" s="22">
        <f>SUMIFS(配方明细!$D$2:$D$93,配方明细!$A$2:$A$93,$A12,配方明细!$F$2:$F$93,"酚醛")/$C12</f>
        <v/>
      </c>
      <c r="M12" s="22">
        <f>SUMIFS(配方明细!$D$2:$D$93,配方明细!$A$2:$A$93,$A12,配方明细!$F$2:$F$93,"聚酯")/$C12</f>
        <v/>
      </c>
      <c r="N12" s="22">
        <f>SUMIFS(配方明细!$D$2:$D$93,配方明细!$A$2:$A$93,$A12,配方明细!$F$2:$F$93,"乙烯基")/$C12</f>
        <v/>
      </c>
      <c r="O12" s="22">
        <f>SUMIFS(配方明细!$D$2:$D$93,配方明细!$A$2:$A$93,$A12,配方明细!$F$2:$F$93,"丙烯酸")/$C12</f>
        <v/>
      </c>
      <c r="P12" s="22">
        <f>SUMIFS(配方明细!$D$2:$D$93,配方明细!$A$2:$A$93,$A12,配方明细!$F$2:$F$93,"聚氨酯")/$C12</f>
        <v/>
      </c>
      <c r="Q12" s="24">
        <f>SUMPRODUCT((配方明细!$A$2:$A$93=$A12)*配方明细!$G$2:$G$93)/$C12</f>
        <v/>
      </c>
      <c r="R12" s="22">
        <f>SUMPRODUCT((配方明细!$A$2:$A$93=$A12)*配方明细!$H$2:$H$93)/$C12</f>
        <v/>
      </c>
      <c r="S12" s="22">
        <f>SUMPRODUCT((配方明细!$A$2:$A$93=$A12)*配方明细!$I$2:$I$93)/$C12</f>
        <v/>
      </c>
      <c r="T12" s="24">
        <f>SUMPRODUCT((配方明细!$A$2:$A$93=$A12)*配方明细!$J$2:$J$93)/$C12</f>
        <v/>
      </c>
      <c r="U12" s="24">
        <f>SUMPRODUCT((配方明细!$A$2:$A$93=$A12)*配方明细!$K$2:$K$93)/$C12</f>
        <v/>
      </c>
      <c r="V12" s="24">
        <f>SUMPRODUCT((配方明细!$A$2:$A$93=$A12)*配方明细!$L$2:$L$93)/$C12</f>
        <v/>
      </c>
      <c r="W12" s="22">
        <f>SUMPRODUCT((配方明细!$A$2:$A$93=$A12)*配方明细!$M$2:$M$93)/$C12</f>
        <v/>
      </c>
      <c r="X12" s="22">
        <f>SUMPRODUCT((配方明细!$A$2:$A$93=$A12)*配方明细!$N$2:$N$93)/$C12</f>
        <v/>
      </c>
      <c r="Y12" s="22">
        <f>SUMPRODUCT((配方明细!$A$2:$A$93=$A12)*配方明细!$O$2:$O$93)/$C12</f>
        <v/>
      </c>
      <c r="Z12" s="22">
        <f>SUMPRODUCT((配方明细!$A$2:$A$93=$A12)*配方明细!$P$2:$P$93)/$C12</f>
        <v/>
      </c>
      <c r="AA12" s="22">
        <f>SUMPRODUCT((配方明细!$A$2:$A$93=$A12)*配方明细!$Q$2:$Q$93)/$C12</f>
        <v/>
      </c>
      <c r="AB12" s="22">
        <f>SUMPRODUCT((配方明细!$A$2:$A$93=$A12)*配方明细!$R$2:$R$93)/$C12</f>
        <v/>
      </c>
      <c r="AC12" s="22">
        <f>SUMPRODUCT((配方明细!$A$2:$A$93=$A12)*配方明细!$S$2:$S$93)/$C12</f>
        <v/>
      </c>
      <c r="AD12" s="22">
        <f>SUMPRODUCT((配方明细!$A$2:$A$93=$A12)*配方明细!$T$2:$T$93)/$C12</f>
        <v/>
      </c>
      <c r="AE12" s="22">
        <f>SUMPRODUCT((配方明细!$A$2:$A$93=$A12)*配方明细!$U$2:$U$93)/$C12</f>
        <v/>
      </c>
      <c r="AF12" s="22">
        <f>SUMPRODUCT((配方明细!$A$2:$A$93=$A12)*配方明细!$V$2:$V$93)/$C12</f>
        <v/>
      </c>
      <c r="AG12" s="22">
        <f>SUMPRODUCT((配方明细!$A$2:$A$93=$A12)*配方明细!$W$2:$W$93)/$C12</f>
        <v/>
      </c>
      <c r="AH12" s="22">
        <f>SUMPRODUCT((配方明细!$A$2:$A$93=$A12)*配方明细!$X$2:$X$93)/$C12</f>
        <v/>
      </c>
      <c r="AI12" s="22">
        <f>SUMPRODUCT((配方明细!$A$2:$A$93=$A12)*配方明细!$Y$2:$Y$93)/$C12</f>
        <v/>
      </c>
      <c r="AJ12" s="22">
        <f>SUMPRODUCT((配方明细!$A$2:$A$93=$A12)*配方明细!$Z$2:$Z$93)/$C12</f>
        <v/>
      </c>
      <c r="AK12" s="22">
        <f>SUMPRODUCT((配方明细!$A$2:$A$93=$A12)*配方明细!$AA$2:$AA$93)/$C12</f>
        <v/>
      </c>
      <c r="AL12" s="24">
        <f>SUMPRODUCT((配方明细!$A$2:$A$93=$A12)*配方明细!$AB$2:$AB$93)/$C12</f>
        <v/>
      </c>
      <c r="AM12" s="24">
        <f>SUMPRODUCT((配方明细!$A$2:$A$93=$A12)*配方明细!$AC$2:$AC$93)/100</f>
        <v/>
      </c>
      <c r="AN12" s="24">
        <f>SUMPRODUCT((配方明细!$A$2:$A$93=$A12)*配方明细!$AD$2:$AD$93)/100</f>
        <v/>
      </c>
      <c r="AO12" s="24">
        <f>SUMPRODUCT((配方明细!$A$2:$A$93=$A12)*配方明细!$AE$2:$AE$93)/100</f>
        <v/>
      </c>
      <c r="AP12" s="22">
        <f>SUMPRODUCT((配方明细!$A$2:$A$93=$A12)*配方明细!$AF$2:$AF$93)/100</f>
        <v/>
      </c>
      <c r="AQ12" s="22">
        <f>SUMPRODUCT((配方明细!$A$2:$A$93=$A12)*配方明细!$AG$2:$AG$93)/100</f>
        <v/>
      </c>
      <c r="AR12" s="22">
        <f>SUMPRODUCT((配方明细!$A$2:$A$93=$A12)*配方明细!$AH$2:$AH$93)/100</f>
        <v/>
      </c>
      <c r="AS12" s="22">
        <f>SUMPRODUCT((配方明细!$A$2:$A$93=$A12)*配方明细!$AI$2:$AI$93)/100</f>
        <v/>
      </c>
      <c r="AT12" s="22">
        <f>SUMPRODUCT((配方明细!$A$2:$A$93=$A12)*配方明细!$AJ$2:$AJ$93)/100</f>
        <v/>
      </c>
      <c r="AU12" s="22">
        <f>SUMPRODUCT((配方明细!$A$2:$A$93=$A12)*配方明细!$AK$2:$AK$93)/$C12</f>
        <v/>
      </c>
      <c r="AV12" s="14">
        <f>SUMPRODUCT((配方明细!$A$2:$A$93=$A12)*配方明细!$AL$2:$AL$93)/$C12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AZ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2" customWidth="1" style="14" min="1" max="1"/>
    <col width="10" customWidth="1" style="14" min="2" max="3"/>
    <col width="12" customWidth="1" style="14" min="4" max="4"/>
    <col width="10" customWidth="1" style="14" min="5" max="52"/>
  </cols>
  <sheetData>
    <row r="1" ht="15" customHeight="1" s="15">
      <c r="A1" s="20" t="inlineStr">
        <is>
          <t>样本ID</t>
        </is>
      </c>
      <c r="B1" s="20" t="inlineStr">
        <is>
          <t>体系</t>
        </is>
      </c>
      <c r="C1" s="20" t="inlineStr">
        <is>
          <t>标签状态</t>
        </is>
      </c>
      <c r="D1" s="20" t="inlineStr">
        <is>
          <t>目标属性</t>
        </is>
      </c>
      <c r="E1" s="20" t="inlineStr">
        <is>
          <t>目标值</t>
        </is>
      </c>
      <c r="F1" s="20" t="inlineStr">
        <is>
          <t>预测值</t>
        </is>
      </c>
      <c r="G1" s="20" t="inlineStr">
        <is>
          <t>不确定性</t>
        </is>
      </c>
      <c r="H1" s="20" t="inlineStr">
        <is>
          <t>总用量(g)</t>
        </is>
      </c>
      <c r="I1" s="20" t="inlineStr">
        <is>
          <t>组分数量</t>
        </is>
      </c>
      <c r="J1" s="20" t="inlineStr">
        <is>
          <t>树脂占比</t>
        </is>
      </c>
      <c r="K1" s="20" t="inlineStr">
        <is>
          <t>固化剂占比</t>
        </is>
      </c>
      <c r="L1" s="20" t="inlineStr">
        <is>
          <t>溶剂占比</t>
        </is>
      </c>
      <c r="M1" s="20" t="inlineStr">
        <is>
          <t>助剂占比</t>
        </is>
      </c>
      <c r="N1" s="20" t="inlineStr">
        <is>
          <t>颜料占比</t>
        </is>
      </c>
      <c r="O1" s="20" t="inlineStr">
        <is>
          <t>固化剂/树脂比</t>
        </is>
      </c>
      <c r="P1" s="20" t="inlineStr">
        <is>
          <t>环氧树脂占比</t>
        </is>
      </c>
      <c r="Q1" s="20" t="inlineStr">
        <is>
          <t>酚醛树脂占比</t>
        </is>
      </c>
      <c r="R1" s="20" t="inlineStr">
        <is>
          <t>聚酯树脂占比</t>
        </is>
      </c>
      <c r="S1" s="20" t="inlineStr">
        <is>
          <t>乙烯基树脂占比</t>
        </is>
      </c>
      <c r="T1" s="20" t="inlineStr">
        <is>
          <t>丙烯酸树脂占比</t>
        </is>
      </c>
      <c r="U1" s="20" t="inlineStr">
        <is>
          <t>聚氨酯树脂占比</t>
        </is>
      </c>
      <c r="V1" s="20" t="inlineStr">
        <is>
          <t>加权固含(%)</t>
        </is>
      </c>
      <c r="W1" s="20" t="inlineStr">
        <is>
          <t>加权密度</t>
        </is>
      </c>
      <c r="X1" s="20" t="inlineStr">
        <is>
          <t>加权分子量</t>
        </is>
      </c>
      <c r="Y1" s="20" t="inlineStr">
        <is>
          <t>加权EEW</t>
        </is>
      </c>
      <c r="Z1" s="20" t="inlineStr">
        <is>
          <t>加权酸值</t>
        </is>
      </c>
      <c r="AA1" s="20" t="inlineStr">
        <is>
          <t>加权羟值</t>
        </is>
      </c>
      <c r="AB1" s="20" t="inlineStr">
        <is>
          <t>加权胺值</t>
        </is>
      </c>
      <c r="AC1" s="20" t="inlineStr">
        <is>
          <t>加权Tg</t>
        </is>
      </c>
      <c r="AD1" s="20" t="inlineStr">
        <is>
          <t>加权沸点</t>
        </is>
      </c>
      <c r="AE1" s="20" t="inlineStr">
        <is>
          <t>加权闪点</t>
        </is>
      </c>
      <c r="AF1" s="20" t="inlineStr">
        <is>
          <t>加权δD</t>
        </is>
      </c>
      <c r="AG1" s="20" t="inlineStr">
        <is>
          <t>加权δP</t>
        </is>
      </c>
      <c r="AH1" s="20" t="inlineStr">
        <is>
          <t>加权δH</t>
        </is>
      </c>
      <c r="AI1" s="20" t="inlineStr">
        <is>
          <t>加权极性</t>
        </is>
      </c>
      <c r="AJ1" s="20" t="inlineStr">
        <is>
          <t>加权挥发速率</t>
        </is>
      </c>
      <c r="AK1" s="20" t="inlineStr">
        <is>
          <t>加权C(%)</t>
        </is>
      </c>
      <c r="AL1" s="20" t="inlineStr">
        <is>
          <t>加权H(%)</t>
        </is>
      </c>
      <c r="AM1" s="20" t="inlineStr">
        <is>
          <t>加权O(%)</t>
        </is>
      </c>
      <c r="AN1" s="20" t="inlineStr">
        <is>
          <t>加权N(%)</t>
        </is>
      </c>
      <c r="AO1" s="20" t="inlineStr">
        <is>
          <t>加权S(%)</t>
        </is>
      </c>
      <c r="AP1" s="20" t="inlineStr">
        <is>
          <t>加权Cl(%)</t>
        </is>
      </c>
      <c r="AQ1" s="20" t="inlineStr">
        <is>
          <t>环氧基密度(mol/100g)</t>
        </is>
      </c>
      <c r="AR1" s="20" t="inlineStr">
        <is>
          <t>羟基密度</t>
        </is>
      </c>
      <c r="AS1" s="20" t="inlineStr">
        <is>
          <t>羧基密度</t>
        </is>
      </c>
      <c r="AT1" s="20" t="inlineStr">
        <is>
          <t>酯基密度</t>
        </is>
      </c>
      <c r="AU1" s="20" t="inlineStr">
        <is>
          <t>胺基密度</t>
        </is>
      </c>
      <c r="AV1" s="20" t="inlineStr">
        <is>
          <t>酰胺密度</t>
        </is>
      </c>
      <c r="AW1" s="20" t="inlineStr">
        <is>
          <t>芳香环密度</t>
        </is>
      </c>
      <c r="AX1" s="20" t="inlineStr">
        <is>
          <t>醚键密度</t>
        </is>
      </c>
      <c r="AY1" s="20" t="inlineStr">
        <is>
          <t>蜡含量(%)</t>
        </is>
      </c>
      <c r="AZ1" s="20" t="inlineStr">
        <is>
          <t>颜料含量(%)</t>
        </is>
      </c>
    </row>
    <row r="2" ht="15" customHeight="1" s="15">
      <c r="A2" s="22" t="inlineStr">
        <is>
          <t>EP-0001</t>
        </is>
      </c>
      <c r="B2" s="23" t="inlineStr">
        <is>
          <t>环氧酚醛</t>
        </is>
      </c>
      <c r="C2" s="22">
        <f>IFERROR(INDEX(性能结果!$F:$F,MATCH(1,(性能结果!$A:$A=$A2)*(性能结果!$C:$C=$D2),0)),"")</f>
        <v/>
      </c>
      <c r="D2" s="22" t="inlineStr">
        <is>
          <t>T弯</t>
        </is>
      </c>
      <c r="E2" s="24">
        <f>IFERROR(INDEX(性能结果!$D:$D,MATCH(1,(性能结果!$A:$A=$A2)*(性能结果!$C:$C=$D2),0)),"")</f>
        <v/>
      </c>
      <c r="F2" s="22" t="n"/>
      <c r="G2" s="22" t="n"/>
      <c r="H2" s="22">
        <f>配方级描述符!C2</f>
        <v/>
      </c>
      <c r="I2" s="22">
        <f>配方级描述符!D2</f>
        <v/>
      </c>
      <c r="J2" s="22">
        <f>配方级描述符!E2</f>
        <v/>
      </c>
      <c r="K2" s="22">
        <f>配方级描述符!F2</f>
        <v/>
      </c>
      <c r="L2" s="22">
        <f>配方级描述符!G2</f>
        <v/>
      </c>
      <c r="M2" s="22">
        <f>配方级描述符!H2</f>
        <v/>
      </c>
      <c r="N2" s="22">
        <f>配方级描述符!I2</f>
        <v/>
      </c>
      <c r="O2" s="22">
        <f>配方级描述符!J2</f>
        <v/>
      </c>
      <c r="P2" s="22">
        <f>配方级描述符!K2</f>
        <v/>
      </c>
      <c r="Q2" s="22">
        <f>配方级描述符!L2</f>
        <v/>
      </c>
      <c r="R2" s="22">
        <f>配方级描述符!M2</f>
        <v/>
      </c>
      <c r="S2" s="22">
        <f>配方级描述符!N2</f>
        <v/>
      </c>
      <c r="T2" s="22">
        <f>配方级描述符!O2</f>
        <v/>
      </c>
      <c r="U2" s="22">
        <f>配方级描述符!P2</f>
        <v/>
      </c>
      <c r="V2" s="22">
        <f>配方级描述符!Q2</f>
        <v/>
      </c>
      <c r="W2" s="22">
        <f>配方级描述符!R2</f>
        <v/>
      </c>
      <c r="X2" s="22">
        <f>配方级描述符!S2</f>
        <v/>
      </c>
      <c r="Y2" s="22">
        <f>配方级描述符!T2</f>
        <v/>
      </c>
      <c r="Z2" s="22">
        <f>配方级描述符!U2</f>
        <v/>
      </c>
      <c r="AA2" s="22">
        <f>配方级描述符!V2</f>
        <v/>
      </c>
      <c r="AB2" s="22">
        <f>配方级描述符!W2</f>
        <v/>
      </c>
      <c r="AC2" s="22">
        <f>配方级描述符!X2</f>
        <v/>
      </c>
      <c r="AD2" s="22">
        <f>配方级描述符!Y2</f>
        <v/>
      </c>
      <c r="AE2" s="22">
        <f>配方级描述符!Z2</f>
        <v/>
      </c>
      <c r="AF2" s="22">
        <f>配方级描述符!AA2</f>
        <v/>
      </c>
      <c r="AG2" s="22">
        <f>配方级描述符!AB2</f>
        <v/>
      </c>
      <c r="AH2" s="22">
        <f>配方级描述符!AC2</f>
        <v/>
      </c>
      <c r="AI2" s="22">
        <f>配方级描述符!AD2</f>
        <v/>
      </c>
      <c r="AJ2" s="22">
        <f>配方级描述符!AE2</f>
        <v/>
      </c>
      <c r="AK2" s="22">
        <f>配方级描述符!AF2</f>
        <v/>
      </c>
      <c r="AL2" s="22">
        <f>配方级描述符!AG2</f>
        <v/>
      </c>
      <c r="AM2" s="22">
        <f>配方级描述符!AH2</f>
        <v/>
      </c>
      <c r="AN2" s="22">
        <f>配方级描述符!AI2</f>
        <v/>
      </c>
      <c r="AO2" s="22">
        <f>配方级描述符!AJ2</f>
        <v/>
      </c>
      <c r="AP2" s="22">
        <f>配方级描述符!AK2</f>
        <v/>
      </c>
      <c r="AQ2" s="22">
        <f>配方级描述符!AL2</f>
        <v/>
      </c>
      <c r="AR2" s="22">
        <f>配方级描述符!AM2</f>
        <v/>
      </c>
      <c r="AS2" s="22">
        <f>配方级描述符!AN2</f>
        <v/>
      </c>
      <c r="AT2" s="22">
        <f>配方级描述符!AO2</f>
        <v/>
      </c>
      <c r="AU2" s="22">
        <f>配方级描述符!AP2</f>
        <v/>
      </c>
      <c r="AV2" s="22">
        <f>配方级描述符!AQ2</f>
        <v/>
      </c>
      <c r="AW2" s="22">
        <f>配方级描述符!AR2</f>
        <v/>
      </c>
      <c r="AX2" s="22">
        <f>配方级描述符!AS2</f>
        <v/>
      </c>
      <c r="AY2" s="22">
        <f>配方级描述符!AT2</f>
        <v/>
      </c>
      <c r="AZ2" s="22">
        <f>配方级描述符!AU2</f>
        <v/>
      </c>
    </row>
    <row r="3" ht="15" customHeight="1" s="15">
      <c r="A3" s="25" t="inlineStr">
        <is>
          <t>EP-0001</t>
        </is>
      </c>
      <c r="B3" s="26" t="inlineStr">
        <is>
          <t>环氧酚醛</t>
        </is>
      </c>
      <c r="C3" s="25">
        <f>IFERROR(INDEX(性能结果!$F:$F,MATCH(1,(性能结果!$A:$A=$A3)*(性能结果!$C:$C=$D3),0)),"")</f>
        <v/>
      </c>
      <c r="D3" s="25" t="inlineStr">
        <is>
          <t>MEK擦拭</t>
        </is>
      </c>
      <c r="E3" s="24">
        <f>IFERROR(INDEX(性能结果!$D:$D,MATCH(1,(性能结果!$A:$A=$A3)*(性能结果!$C:$C=$D3),0)),"")</f>
        <v/>
      </c>
      <c r="F3" s="25" t="n"/>
      <c r="G3" s="25" t="n"/>
      <c r="H3" s="25">
        <f>配方级描述符!C2</f>
        <v/>
      </c>
      <c r="I3" s="25">
        <f>配方级描述符!D2</f>
        <v/>
      </c>
      <c r="J3" s="25">
        <f>配方级描述符!E2</f>
        <v/>
      </c>
      <c r="K3" s="25">
        <f>配方级描述符!F2</f>
        <v/>
      </c>
      <c r="L3" s="25">
        <f>配方级描述符!G2</f>
        <v/>
      </c>
      <c r="M3" s="25">
        <f>配方级描述符!H2</f>
        <v/>
      </c>
      <c r="N3" s="25">
        <f>配方级描述符!I2</f>
        <v/>
      </c>
      <c r="O3" s="25">
        <f>配方级描述符!J2</f>
        <v/>
      </c>
      <c r="P3" s="25">
        <f>配方级描述符!K2</f>
        <v/>
      </c>
      <c r="Q3" s="25">
        <f>配方级描述符!L2</f>
        <v/>
      </c>
      <c r="R3" s="25">
        <f>配方级描述符!M2</f>
        <v/>
      </c>
      <c r="S3" s="25">
        <f>配方级描述符!N2</f>
        <v/>
      </c>
      <c r="T3" s="25">
        <f>配方级描述符!O2</f>
        <v/>
      </c>
      <c r="U3" s="25">
        <f>配方级描述符!P2</f>
        <v/>
      </c>
      <c r="V3" s="25">
        <f>配方级描述符!Q2</f>
        <v/>
      </c>
      <c r="W3" s="25">
        <f>配方级描述符!R2</f>
        <v/>
      </c>
      <c r="X3" s="25">
        <f>配方级描述符!S2</f>
        <v/>
      </c>
      <c r="Y3" s="25">
        <f>配方级描述符!T2</f>
        <v/>
      </c>
      <c r="Z3" s="25">
        <f>配方级描述符!U2</f>
        <v/>
      </c>
      <c r="AA3" s="25">
        <f>配方级描述符!V2</f>
        <v/>
      </c>
      <c r="AB3" s="25">
        <f>配方级描述符!W2</f>
        <v/>
      </c>
      <c r="AC3" s="25">
        <f>配方级描述符!X2</f>
        <v/>
      </c>
      <c r="AD3" s="25">
        <f>配方级描述符!Y2</f>
        <v/>
      </c>
      <c r="AE3" s="25">
        <f>配方级描述符!Z2</f>
        <v/>
      </c>
      <c r="AF3" s="25">
        <f>配方级描述符!AA2</f>
        <v/>
      </c>
      <c r="AG3" s="25">
        <f>配方级描述符!AB2</f>
        <v/>
      </c>
      <c r="AH3" s="25">
        <f>配方级描述符!AC2</f>
        <v/>
      </c>
      <c r="AI3" s="25">
        <f>配方级描述符!AD2</f>
        <v/>
      </c>
      <c r="AJ3" s="25">
        <f>配方级描述符!AE2</f>
        <v/>
      </c>
      <c r="AK3" s="25">
        <f>配方级描述符!AF2</f>
        <v/>
      </c>
      <c r="AL3" s="25">
        <f>配方级描述符!AG2</f>
        <v/>
      </c>
      <c r="AM3" s="25">
        <f>配方级描述符!AH2</f>
        <v/>
      </c>
      <c r="AN3" s="25">
        <f>配方级描述符!AI2</f>
        <v/>
      </c>
      <c r="AO3" s="25">
        <f>配方级描述符!AJ2</f>
        <v/>
      </c>
      <c r="AP3" s="25">
        <f>配方级描述符!AK2</f>
        <v/>
      </c>
      <c r="AQ3" s="25">
        <f>配方级描述符!AL2</f>
        <v/>
      </c>
      <c r="AR3" s="25">
        <f>配方级描述符!AM2</f>
        <v/>
      </c>
      <c r="AS3" s="25">
        <f>配方级描述符!AN2</f>
        <v/>
      </c>
      <c r="AT3" s="25">
        <f>配方级描述符!AO2</f>
        <v/>
      </c>
      <c r="AU3" s="25">
        <f>配方级描述符!AP2</f>
        <v/>
      </c>
      <c r="AV3" s="25">
        <f>配方级描述符!AQ2</f>
        <v/>
      </c>
      <c r="AW3" s="25">
        <f>配方级描述符!AR2</f>
        <v/>
      </c>
      <c r="AX3" s="25">
        <f>配方级描述符!AS2</f>
        <v/>
      </c>
      <c r="AY3" s="25">
        <f>配方级描述符!AT2</f>
        <v/>
      </c>
      <c r="AZ3" s="25">
        <f>配方级描述符!AU2</f>
        <v/>
      </c>
    </row>
    <row r="4" ht="15" customHeight="1" s="15">
      <c r="A4" s="22" t="inlineStr">
        <is>
          <t>EP-0001</t>
        </is>
      </c>
      <c r="B4" s="23" t="inlineStr">
        <is>
          <t>环氧酚醛</t>
        </is>
      </c>
      <c r="C4" s="22">
        <f>IFERROR(INDEX(性能结果!$F:$F,MATCH(1,(性能结果!$A:$A=$A4)*(性能结果!$C:$C=$D4),0)),"")</f>
        <v/>
      </c>
      <c r="D4" s="23" t="inlineStr">
        <is>
          <t>水煮等级</t>
        </is>
      </c>
      <c r="E4" s="24">
        <f>IFERROR(INDEX(性能结果!$D:$D,MATCH(1,(性能结果!$A:$A=$A4)*(性能结果!$C:$C=$D4),0)),"")</f>
        <v/>
      </c>
      <c r="F4" s="22" t="n"/>
      <c r="G4" s="22" t="n"/>
      <c r="H4" s="22">
        <f>配方级描述符!C2</f>
        <v/>
      </c>
      <c r="I4" s="22">
        <f>配方级描述符!D2</f>
        <v/>
      </c>
      <c r="J4" s="22">
        <f>配方级描述符!E2</f>
        <v/>
      </c>
      <c r="K4" s="22">
        <f>配方级描述符!F2</f>
        <v/>
      </c>
      <c r="L4" s="22">
        <f>配方级描述符!G2</f>
        <v/>
      </c>
      <c r="M4" s="22">
        <f>配方级描述符!H2</f>
        <v/>
      </c>
      <c r="N4" s="22">
        <f>配方级描述符!I2</f>
        <v/>
      </c>
      <c r="O4" s="22">
        <f>配方级描述符!J2</f>
        <v/>
      </c>
      <c r="P4" s="22">
        <f>配方级描述符!K2</f>
        <v/>
      </c>
      <c r="Q4" s="22">
        <f>配方级描述符!L2</f>
        <v/>
      </c>
      <c r="R4" s="22">
        <f>配方级描述符!M2</f>
        <v/>
      </c>
      <c r="S4" s="22">
        <f>配方级描述符!N2</f>
        <v/>
      </c>
      <c r="T4" s="22">
        <f>配方级描述符!O2</f>
        <v/>
      </c>
      <c r="U4" s="22">
        <f>配方级描述符!P2</f>
        <v/>
      </c>
      <c r="V4" s="22">
        <f>配方级描述符!Q2</f>
        <v/>
      </c>
      <c r="W4" s="22">
        <f>配方级描述符!R2</f>
        <v/>
      </c>
      <c r="X4" s="22">
        <f>配方级描述符!S2</f>
        <v/>
      </c>
      <c r="Y4" s="22">
        <f>配方级描述符!T2</f>
        <v/>
      </c>
      <c r="Z4" s="22">
        <f>配方级描述符!U2</f>
        <v/>
      </c>
      <c r="AA4" s="22">
        <f>配方级描述符!V2</f>
        <v/>
      </c>
      <c r="AB4" s="22">
        <f>配方级描述符!W2</f>
        <v/>
      </c>
      <c r="AC4" s="22">
        <f>配方级描述符!X2</f>
        <v/>
      </c>
      <c r="AD4" s="22">
        <f>配方级描述符!Y2</f>
        <v/>
      </c>
      <c r="AE4" s="22">
        <f>配方级描述符!Z2</f>
        <v/>
      </c>
      <c r="AF4" s="22">
        <f>配方级描述符!AA2</f>
        <v/>
      </c>
      <c r="AG4" s="22">
        <f>配方级描述符!AB2</f>
        <v/>
      </c>
      <c r="AH4" s="22">
        <f>配方级描述符!AC2</f>
        <v/>
      </c>
      <c r="AI4" s="22">
        <f>配方级描述符!AD2</f>
        <v/>
      </c>
      <c r="AJ4" s="22">
        <f>配方级描述符!AE2</f>
        <v/>
      </c>
      <c r="AK4" s="22">
        <f>配方级描述符!AF2</f>
        <v/>
      </c>
      <c r="AL4" s="22">
        <f>配方级描述符!AG2</f>
        <v/>
      </c>
      <c r="AM4" s="22">
        <f>配方级描述符!AH2</f>
        <v/>
      </c>
      <c r="AN4" s="22">
        <f>配方级描述符!AI2</f>
        <v/>
      </c>
      <c r="AO4" s="22">
        <f>配方级描述符!AJ2</f>
        <v/>
      </c>
      <c r="AP4" s="22">
        <f>配方级描述符!AK2</f>
        <v/>
      </c>
      <c r="AQ4" s="22">
        <f>配方级描述符!AL2</f>
        <v/>
      </c>
      <c r="AR4" s="22">
        <f>配方级描述符!AM2</f>
        <v/>
      </c>
      <c r="AS4" s="22">
        <f>配方级描述符!AN2</f>
        <v/>
      </c>
      <c r="AT4" s="22">
        <f>配方级描述符!AO2</f>
        <v/>
      </c>
      <c r="AU4" s="22">
        <f>配方级描述符!AP2</f>
        <v/>
      </c>
      <c r="AV4" s="22">
        <f>配方级描述符!AQ2</f>
        <v/>
      </c>
      <c r="AW4" s="22">
        <f>配方级描述符!AR2</f>
        <v/>
      </c>
      <c r="AX4" s="22">
        <f>配方级描述符!AS2</f>
        <v/>
      </c>
      <c r="AY4" s="22">
        <f>配方级描述符!AT2</f>
        <v/>
      </c>
      <c r="AZ4" s="22">
        <f>配方级描述符!AU2</f>
        <v/>
      </c>
    </row>
    <row r="5" ht="15" customHeight="1" s="15">
      <c r="A5" s="25" t="inlineStr">
        <is>
          <t>EP-0002</t>
        </is>
      </c>
      <c r="B5" s="26" t="inlineStr">
        <is>
          <t>环氧酚醛</t>
        </is>
      </c>
      <c r="C5" s="25">
        <f>IFERROR(INDEX(性能结果!$F:$F,MATCH(1,(性能结果!$A:$A=$A5)*(性能结果!$C:$C=$D5),0)),"")</f>
        <v/>
      </c>
      <c r="D5" s="25" t="inlineStr">
        <is>
          <t>T弯</t>
        </is>
      </c>
      <c r="E5" s="24">
        <f>IFERROR(INDEX(性能结果!$D:$D,MATCH(1,(性能结果!$A:$A=$A5)*(性能结果!$C:$C=$D5),0)),"")</f>
        <v/>
      </c>
      <c r="F5" s="25" t="n"/>
      <c r="G5" s="25" t="n"/>
      <c r="H5" s="25">
        <f>配方级描述符!C3</f>
        <v/>
      </c>
      <c r="I5" s="25">
        <f>配方级描述符!D3</f>
        <v/>
      </c>
      <c r="J5" s="25">
        <f>配方级描述符!E3</f>
        <v/>
      </c>
      <c r="K5" s="25">
        <f>配方级描述符!F3</f>
        <v/>
      </c>
      <c r="L5" s="25">
        <f>配方级描述符!G3</f>
        <v/>
      </c>
      <c r="M5" s="25">
        <f>配方级描述符!H3</f>
        <v/>
      </c>
      <c r="N5" s="25">
        <f>配方级描述符!I3</f>
        <v/>
      </c>
      <c r="O5" s="25">
        <f>配方级描述符!J3</f>
        <v/>
      </c>
      <c r="P5" s="25">
        <f>配方级描述符!K3</f>
        <v/>
      </c>
      <c r="Q5" s="25">
        <f>配方级描述符!L3</f>
        <v/>
      </c>
      <c r="R5" s="25">
        <f>配方级描述符!M3</f>
        <v/>
      </c>
      <c r="S5" s="25">
        <f>配方级描述符!N3</f>
        <v/>
      </c>
      <c r="T5" s="25">
        <f>配方级描述符!O3</f>
        <v/>
      </c>
      <c r="U5" s="25">
        <f>配方级描述符!P3</f>
        <v/>
      </c>
      <c r="V5" s="25">
        <f>配方级描述符!Q3</f>
        <v/>
      </c>
      <c r="W5" s="25">
        <f>配方级描述符!R3</f>
        <v/>
      </c>
      <c r="X5" s="25">
        <f>配方级描述符!S3</f>
        <v/>
      </c>
      <c r="Y5" s="25">
        <f>配方级描述符!T3</f>
        <v/>
      </c>
      <c r="Z5" s="25">
        <f>配方级描述符!U3</f>
        <v/>
      </c>
      <c r="AA5" s="25">
        <f>配方级描述符!V3</f>
        <v/>
      </c>
      <c r="AB5" s="25">
        <f>配方级描述符!W3</f>
        <v/>
      </c>
      <c r="AC5" s="25">
        <f>配方级描述符!X3</f>
        <v/>
      </c>
      <c r="AD5" s="25">
        <f>配方级描述符!Y3</f>
        <v/>
      </c>
      <c r="AE5" s="25">
        <f>配方级描述符!Z3</f>
        <v/>
      </c>
      <c r="AF5" s="25">
        <f>配方级描述符!AA3</f>
        <v/>
      </c>
      <c r="AG5" s="25">
        <f>配方级描述符!AB3</f>
        <v/>
      </c>
      <c r="AH5" s="25">
        <f>配方级描述符!AC3</f>
        <v/>
      </c>
      <c r="AI5" s="25">
        <f>配方级描述符!AD3</f>
        <v/>
      </c>
      <c r="AJ5" s="25">
        <f>配方级描述符!AE3</f>
        <v/>
      </c>
      <c r="AK5" s="25">
        <f>配方级描述符!AF3</f>
        <v/>
      </c>
      <c r="AL5" s="25">
        <f>配方级描述符!AG3</f>
        <v/>
      </c>
      <c r="AM5" s="25">
        <f>配方级描述符!AH3</f>
        <v/>
      </c>
      <c r="AN5" s="25">
        <f>配方级描述符!AI3</f>
        <v/>
      </c>
      <c r="AO5" s="25">
        <f>配方级描述符!AJ3</f>
        <v/>
      </c>
      <c r="AP5" s="25">
        <f>配方级描述符!AK3</f>
        <v/>
      </c>
      <c r="AQ5" s="25">
        <f>配方级描述符!AL3</f>
        <v/>
      </c>
      <c r="AR5" s="25">
        <f>配方级描述符!AM3</f>
        <v/>
      </c>
      <c r="AS5" s="25">
        <f>配方级描述符!AN3</f>
        <v/>
      </c>
      <c r="AT5" s="25">
        <f>配方级描述符!AO3</f>
        <v/>
      </c>
      <c r="AU5" s="25">
        <f>配方级描述符!AP3</f>
        <v/>
      </c>
      <c r="AV5" s="25">
        <f>配方级描述符!AQ3</f>
        <v/>
      </c>
      <c r="AW5" s="25">
        <f>配方级描述符!AR3</f>
        <v/>
      </c>
      <c r="AX5" s="25">
        <f>配方级描述符!AS3</f>
        <v/>
      </c>
      <c r="AY5" s="25">
        <f>配方级描述符!AT3</f>
        <v/>
      </c>
      <c r="AZ5" s="25">
        <f>配方级描述符!AU3</f>
        <v/>
      </c>
    </row>
    <row r="6" ht="15" customHeight="1" s="15">
      <c r="A6" s="22" t="inlineStr">
        <is>
          <t>EP-0002</t>
        </is>
      </c>
      <c r="B6" s="23" t="inlineStr">
        <is>
          <t>环氧酚醛</t>
        </is>
      </c>
      <c r="C6" s="22">
        <f>IFERROR(INDEX(性能结果!$F:$F,MATCH(1,(性能结果!$A:$A=$A6)*(性能结果!$C:$C=$D6),0)),"")</f>
        <v/>
      </c>
      <c r="D6" s="22" t="inlineStr">
        <is>
          <t>MEK擦拭</t>
        </is>
      </c>
      <c r="E6" s="24">
        <f>IFERROR(INDEX(性能结果!$D:$D,MATCH(1,(性能结果!$A:$A=$A6)*(性能结果!$C:$C=$D6),0)),"")</f>
        <v/>
      </c>
      <c r="F6" s="22" t="n"/>
      <c r="G6" s="22" t="n"/>
      <c r="H6" s="22">
        <f>配方级描述符!C3</f>
        <v/>
      </c>
      <c r="I6" s="22">
        <f>配方级描述符!D3</f>
        <v/>
      </c>
      <c r="J6" s="22">
        <f>配方级描述符!E3</f>
        <v/>
      </c>
      <c r="K6" s="22">
        <f>配方级描述符!F3</f>
        <v/>
      </c>
      <c r="L6" s="22">
        <f>配方级描述符!G3</f>
        <v/>
      </c>
      <c r="M6" s="22">
        <f>配方级描述符!H3</f>
        <v/>
      </c>
      <c r="N6" s="22">
        <f>配方级描述符!I3</f>
        <v/>
      </c>
      <c r="O6" s="22">
        <f>配方级描述符!J3</f>
        <v/>
      </c>
      <c r="P6" s="22">
        <f>配方级描述符!K3</f>
        <v/>
      </c>
      <c r="Q6" s="22">
        <f>配方级描述符!L3</f>
        <v/>
      </c>
      <c r="R6" s="22">
        <f>配方级描述符!M3</f>
        <v/>
      </c>
      <c r="S6" s="22">
        <f>配方级描述符!N3</f>
        <v/>
      </c>
      <c r="T6" s="22">
        <f>配方级描述符!O3</f>
        <v/>
      </c>
      <c r="U6" s="22">
        <f>配方级描述符!P3</f>
        <v/>
      </c>
      <c r="V6" s="22">
        <f>配方级描述符!Q3</f>
        <v/>
      </c>
      <c r="W6" s="22">
        <f>配方级描述符!R3</f>
        <v/>
      </c>
      <c r="X6" s="22">
        <f>配方级描述符!S3</f>
        <v/>
      </c>
      <c r="Y6" s="22">
        <f>配方级描述符!T3</f>
        <v/>
      </c>
      <c r="Z6" s="22">
        <f>配方级描述符!U3</f>
        <v/>
      </c>
      <c r="AA6" s="22">
        <f>配方级描述符!V3</f>
        <v/>
      </c>
      <c r="AB6" s="22">
        <f>配方级描述符!W3</f>
        <v/>
      </c>
      <c r="AC6" s="22">
        <f>配方级描述符!X3</f>
        <v/>
      </c>
      <c r="AD6" s="22">
        <f>配方级描述符!Y3</f>
        <v/>
      </c>
      <c r="AE6" s="22">
        <f>配方级描述符!Z3</f>
        <v/>
      </c>
      <c r="AF6" s="22">
        <f>配方级描述符!AA3</f>
        <v/>
      </c>
      <c r="AG6" s="22">
        <f>配方级描述符!AB3</f>
        <v/>
      </c>
      <c r="AH6" s="22">
        <f>配方级描述符!AC3</f>
        <v/>
      </c>
      <c r="AI6" s="22">
        <f>配方级描述符!AD3</f>
        <v/>
      </c>
      <c r="AJ6" s="22">
        <f>配方级描述符!AE3</f>
        <v/>
      </c>
      <c r="AK6" s="22">
        <f>配方级描述符!AF3</f>
        <v/>
      </c>
      <c r="AL6" s="22">
        <f>配方级描述符!AG3</f>
        <v/>
      </c>
      <c r="AM6" s="22">
        <f>配方级描述符!AH3</f>
        <v/>
      </c>
      <c r="AN6" s="22">
        <f>配方级描述符!AI3</f>
        <v/>
      </c>
      <c r="AO6" s="22">
        <f>配方级描述符!AJ3</f>
        <v/>
      </c>
      <c r="AP6" s="22">
        <f>配方级描述符!AK3</f>
        <v/>
      </c>
      <c r="AQ6" s="22">
        <f>配方级描述符!AL3</f>
        <v/>
      </c>
      <c r="AR6" s="22">
        <f>配方级描述符!AM3</f>
        <v/>
      </c>
      <c r="AS6" s="22">
        <f>配方级描述符!AN3</f>
        <v/>
      </c>
      <c r="AT6" s="22">
        <f>配方级描述符!AO3</f>
        <v/>
      </c>
      <c r="AU6" s="22">
        <f>配方级描述符!AP3</f>
        <v/>
      </c>
      <c r="AV6" s="22">
        <f>配方级描述符!AQ3</f>
        <v/>
      </c>
      <c r="AW6" s="22">
        <f>配方级描述符!AR3</f>
        <v/>
      </c>
      <c r="AX6" s="22">
        <f>配方级描述符!AS3</f>
        <v/>
      </c>
      <c r="AY6" s="22">
        <f>配方级描述符!AT3</f>
        <v/>
      </c>
      <c r="AZ6" s="22">
        <f>配方级描述符!AU3</f>
        <v/>
      </c>
    </row>
    <row r="7" ht="15" customHeight="1" s="15">
      <c r="A7" s="25" t="inlineStr">
        <is>
          <t>EP-0002</t>
        </is>
      </c>
      <c r="B7" s="26" t="inlineStr">
        <is>
          <t>环氧酚醛</t>
        </is>
      </c>
      <c r="C7" s="25">
        <f>IFERROR(INDEX(性能结果!$F:$F,MATCH(1,(性能结果!$A:$A=$A7)*(性能结果!$C:$C=$D7),0)),"")</f>
        <v/>
      </c>
      <c r="D7" s="26" t="inlineStr">
        <is>
          <t>水煮等级</t>
        </is>
      </c>
      <c r="E7" s="24">
        <f>IFERROR(INDEX(性能结果!$D:$D,MATCH(1,(性能结果!$A:$A=$A7)*(性能结果!$C:$C=$D7),0)),"")</f>
        <v/>
      </c>
      <c r="F7" s="25" t="n"/>
      <c r="G7" s="25" t="n"/>
      <c r="H7" s="25">
        <f>配方级描述符!C3</f>
        <v/>
      </c>
      <c r="I7" s="25">
        <f>配方级描述符!D3</f>
        <v/>
      </c>
      <c r="J7" s="25">
        <f>配方级描述符!E3</f>
        <v/>
      </c>
      <c r="K7" s="25">
        <f>配方级描述符!F3</f>
        <v/>
      </c>
      <c r="L7" s="25">
        <f>配方级描述符!G3</f>
        <v/>
      </c>
      <c r="M7" s="25">
        <f>配方级描述符!H3</f>
        <v/>
      </c>
      <c r="N7" s="25">
        <f>配方级描述符!I3</f>
        <v/>
      </c>
      <c r="O7" s="25">
        <f>配方级描述符!J3</f>
        <v/>
      </c>
      <c r="P7" s="25">
        <f>配方级描述符!K3</f>
        <v/>
      </c>
      <c r="Q7" s="25">
        <f>配方级描述符!L3</f>
        <v/>
      </c>
      <c r="R7" s="25">
        <f>配方级描述符!M3</f>
        <v/>
      </c>
      <c r="S7" s="25">
        <f>配方级描述符!N3</f>
        <v/>
      </c>
      <c r="T7" s="25">
        <f>配方级描述符!O3</f>
        <v/>
      </c>
      <c r="U7" s="25">
        <f>配方级描述符!P3</f>
        <v/>
      </c>
      <c r="V7" s="25">
        <f>配方级描述符!Q3</f>
        <v/>
      </c>
      <c r="W7" s="25">
        <f>配方级描述符!R3</f>
        <v/>
      </c>
      <c r="X7" s="25">
        <f>配方级描述符!S3</f>
        <v/>
      </c>
      <c r="Y7" s="25">
        <f>配方级描述符!T3</f>
        <v/>
      </c>
      <c r="Z7" s="25">
        <f>配方级描述符!U3</f>
        <v/>
      </c>
      <c r="AA7" s="25">
        <f>配方级描述符!V3</f>
        <v/>
      </c>
      <c r="AB7" s="25">
        <f>配方级描述符!W3</f>
        <v/>
      </c>
      <c r="AC7" s="25">
        <f>配方级描述符!X3</f>
        <v/>
      </c>
      <c r="AD7" s="25">
        <f>配方级描述符!Y3</f>
        <v/>
      </c>
      <c r="AE7" s="25">
        <f>配方级描述符!Z3</f>
        <v/>
      </c>
      <c r="AF7" s="25">
        <f>配方级描述符!AA3</f>
        <v/>
      </c>
      <c r="AG7" s="25">
        <f>配方级描述符!AB3</f>
        <v/>
      </c>
      <c r="AH7" s="25">
        <f>配方级描述符!AC3</f>
        <v/>
      </c>
      <c r="AI7" s="25">
        <f>配方级描述符!AD3</f>
        <v/>
      </c>
      <c r="AJ7" s="25">
        <f>配方级描述符!AE3</f>
        <v/>
      </c>
      <c r="AK7" s="25">
        <f>配方级描述符!AF3</f>
        <v/>
      </c>
      <c r="AL7" s="25">
        <f>配方级描述符!AG3</f>
        <v/>
      </c>
      <c r="AM7" s="25">
        <f>配方级描述符!AH3</f>
        <v/>
      </c>
      <c r="AN7" s="25">
        <f>配方级描述符!AI3</f>
        <v/>
      </c>
      <c r="AO7" s="25">
        <f>配方级描述符!AJ3</f>
        <v/>
      </c>
      <c r="AP7" s="25">
        <f>配方级描述符!AK3</f>
        <v/>
      </c>
      <c r="AQ7" s="25">
        <f>配方级描述符!AL3</f>
        <v/>
      </c>
      <c r="AR7" s="25">
        <f>配方级描述符!AM3</f>
        <v/>
      </c>
      <c r="AS7" s="25">
        <f>配方级描述符!AN3</f>
        <v/>
      </c>
      <c r="AT7" s="25">
        <f>配方级描述符!AO3</f>
        <v/>
      </c>
      <c r="AU7" s="25">
        <f>配方级描述符!AP3</f>
        <v/>
      </c>
      <c r="AV7" s="25">
        <f>配方级描述符!AQ3</f>
        <v/>
      </c>
      <c r="AW7" s="25">
        <f>配方级描述符!AR3</f>
        <v/>
      </c>
      <c r="AX7" s="25">
        <f>配方级描述符!AS3</f>
        <v/>
      </c>
      <c r="AY7" s="25">
        <f>配方级描述符!AT3</f>
        <v/>
      </c>
      <c r="AZ7" s="25">
        <f>配方级描述符!AU3</f>
        <v/>
      </c>
    </row>
    <row r="8" ht="15" customHeight="1" s="15">
      <c r="A8" s="22" t="inlineStr">
        <is>
          <t>EP-0003</t>
        </is>
      </c>
      <c r="B8" s="23" t="inlineStr">
        <is>
          <t>环氧酚醛</t>
        </is>
      </c>
      <c r="C8" s="22">
        <f>IFERROR(INDEX(性能结果!$F:$F,MATCH(1,(性能结果!$A:$A=$A8)*(性能结果!$C:$C=$D8),0)),"")</f>
        <v/>
      </c>
      <c r="D8" s="22" t="inlineStr">
        <is>
          <t>T弯</t>
        </is>
      </c>
      <c r="E8" s="24">
        <f>IFERROR(INDEX(性能结果!$D:$D,MATCH(1,(性能结果!$A:$A=$A8)*(性能结果!$C:$C=$D8),0)),"")</f>
        <v/>
      </c>
      <c r="F8" s="22" t="n"/>
      <c r="G8" s="22" t="n"/>
      <c r="H8" s="22">
        <f>配方级描述符!C4</f>
        <v/>
      </c>
      <c r="I8" s="22">
        <f>配方级描述符!D4</f>
        <v/>
      </c>
      <c r="J8" s="22">
        <f>配方级描述符!E4</f>
        <v/>
      </c>
      <c r="K8" s="22">
        <f>配方级描述符!F4</f>
        <v/>
      </c>
      <c r="L8" s="22">
        <f>配方级描述符!G4</f>
        <v/>
      </c>
      <c r="M8" s="22">
        <f>配方级描述符!H4</f>
        <v/>
      </c>
      <c r="N8" s="22">
        <f>配方级描述符!I4</f>
        <v/>
      </c>
      <c r="O8" s="22">
        <f>配方级描述符!J4</f>
        <v/>
      </c>
      <c r="P8" s="22">
        <f>配方级描述符!K4</f>
        <v/>
      </c>
      <c r="Q8" s="22">
        <f>配方级描述符!L4</f>
        <v/>
      </c>
      <c r="R8" s="22">
        <f>配方级描述符!M4</f>
        <v/>
      </c>
      <c r="S8" s="22">
        <f>配方级描述符!N4</f>
        <v/>
      </c>
      <c r="T8" s="22">
        <f>配方级描述符!O4</f>
        <v/>
      </c>
      <c r="U8" s="22">
        <f>配方级描述符!P4</f>
        <v/>
      </c>
      <c r="V8" s="22">
        <f>配方级描述符!Q4</f>
        <v/>
      </c>
      <c r="W8" s="22">
        <f>配方级描述符!R4</f>
        <v/>
      </c>
      <c r="X8" s="22">
        <f>配方级描述符!S4</f>
        <v/>
      </c>
      <c r="Y8" s="22">
        <f>配方级描述符!T4</f>
        <v/>
      </c>
      <c r="Z8" s="22">
        <f>配方级描述符!U4</f>
        <v/>
      </c>
      <c r="AA8" s="22">
        <f>配方级描述符!V4</f>
        <v/>
      </c>
      <c r="AB8" s="22">
        <f>配方级描述符!W4</f>
        <v/>
      </c>
      <c r="AC8" s="22">
        <f>配方级描述符!X4</f>
        <v/>
      </c>
      <c r="AD8" s="22">
        <f>配方级描述符!Y4</f>
        <v/>
      </c>
      <c r="AE8" s="22">
        <f>配方级描述符!Z4</f>
        <v/>
      </c>
      <c r="AF8" s="22">
        <f>配方级描述符!AA4</f>
        <v/>
      </c>
      <c r="AG8" s="22">
        <f>配方级描述符!AB4</f>
        <v/>
      </c>
      <c r="AH8" s="22">
        <f>配方级描述符!AC4</f>
        <v/>
      </c>
      <c r="AI8" s="22">
        <f>配方级描述符!AD4</f>
        <v/>
      </c>
      <c r="AJ8" s="22">
        <f>配方级描述符!AE4</f>
        <v/>
      </c>
      <c r="AK8" s="22">
        <f>配方级描述符!AF4</f>
        <v/>
      </c>
      <c r="AL8" s="22">
        <f>配方级描述符!AG4</f>
        <v/>
      </c>
      <c r="AM8" s="22">
        <f>配方级描述符!AH4</f>
        <v/>
      </c>
      <c r="AN8" s="22">
        <f>配方级描述符!AI4</f>
        <v/>
      </c>
      <c r="AO8" s="22">
        <f>配方级描述符!AJ4</f>
        <v/>
      </c>
      <c r="AP8" s="22">
        <f>配方级描述符!AK4</f>
        <v/>
      </c>
      <c r="AQ8" s="22">
        <f>配方级描述符!AL4</f>
        <v/>
      </c>
      <c r="AR8" s="22">
        <f>配方级描述符!AM4</f>
        <v/>
      </c>
      <c r="AS8" s="22">
        <f>配方级描述符!AN4</f>
        <v/>
      </c>
      <c r="AT8" s="22">
        <f>配方级描述符!AO4</f>
        <v/>
      </c>
      <c r="AU8" s="22">
        <f>配方级描述符!AP4</f>
        <v/>
      </c>
      <c r="AV8" s="22">
        <f>配方级描述符!AQ4</f>
        <v/>
      </c>
      <c r="AW8" s="22">
        <f>配方级描述符!AR4</f>
        <v/>
      </c>
      <c r="AX8" s="22">
        <f>配方级描述符!AS4</f>
        <v/>
      </c>
      <c r="AY8" s="22">
        <f>配方级描述符!AT4</f>
        <v/>
      </c>
      <c r="AZ8" s="22">
        <f>配方级描述符!AU4</f>
        <v/>
      </c>
    </row>
    <row r="9" ht="15" customHeight="1" s="15">
      <c r="A9" s="25" t="inlineStr">
        <is>
          <t>EP-0003</t>
        </is>
      </c>
      <c r="B9" s="26" t="inlineStr">
        <is>
          <t>环氧酚醛</t>
        </is>
      </c>
      <c r="C9" s="25">
        <f>IFERROR(INDEX(性能结果!$F:$F,MATCH(1,(性能结果!$A:$A=$A9)*(性能结果!$C:$C=$D9),0)),"")</f>
        <v/>
      </c>
      <c r="D9" s="25" t="inlineStr">
        <is>
          <t>MEK擦拭</t>
        </is>
      </c>
      <c r="E9" s="24">
        <f>IFERROR(INDEX(性能结果!$D:$D,MATCH(1,(性能结果!$A:$A=$A9)*(性能结果!$C:$C=$D9),0)),"")</f>
        <v/>
      </c>
      <c r="F9" s="25" t="n"/>
      <c r="G9" s="25" t="n"/>
      <c r="H9" s="25">
        <f>配方级描述符!C4</f>
        <v/>
      </c>
      <c r="I9" s="25">
        <f>配方级描述符!D4</f>
        <v/>
      </c>
      <c r="J9" s="25">
        <f>配方级描述符!E4</f>
        <v/>
      </c>
      <c r="K9" s="25">
        <f>配方级描述符!F4</f>
        <v/>
      </c>
      <c r="L9" s="25">
        <f>配方级描述符!G4</f>
        <v/>
      </c>
      <c r="M9" s="25">
        <f>配方级描述符!H4</f>
        <v/>
      </c>
      <c r="N9" s="25">
        <f>配方级描述符!I4</f>
        <v/>
      </c>
      <c r="O9" s="25">
        <f>配方级描述符!J4</f>
        <v/>
      </c>
      <c r="P9" s="25">
        <f>配方级描述符!K4</f>
        <v/>
      </c>
      <c r="Q9" s="25">
        <f>配方级描述符!L4</f>
        <v/>
      </c>
      <c r="R9" s="25">
        <f>配方级描述符!M4</f>
        <v/>
      </c>
      <c r="S9" s="25">
        <f>配方级描述符!N4</f>
        <v/>
      </c>
      <c r="T9" s="25">
        <f>配方级描述符!O4</f>
        <v/>
      </c>
      <c r="U9" s="25">
        <f>配方级描述符!P4</f>
        <v/>
      </c>
      <c r="V9" s="25">
        <f>配方级描述符!Q4</f>
        <v/>
      </c>
      <c r="W9" s="25">
        <f>配方级描述符!R4</f>
        <v/>
      </c>
      <c r="X9" s="25">
        <f>配方级描述符!S4</f>
        <v/>
      </c>
      <c r="Y9" s="25">
        <f>配方级描述符!T4</f>
        <v/>
      </c>
      <c r="Z9" s="25">
        <f>配方级描述符!U4</f>
        <v/>
      </c>
      <c r="AA9" s="25">
        <f>配方级描述符!V4</f>
        <v/>
      </c>
      <c r="AB9" s="25">
        <f>配方级描述符!W4</f>
        <v/>
      </c>
      <c r="AC9" s="25">
        <f>配方级描述符!X4</f>
        <v/>
      </c>
      <c r="AD9" s="25">
        <f>配方级描述符!Y4</f>
        <v/>
      </c>
      <c r="AE9" s="25">
        <f>配方级描述符!Z4</f>
        <v/>
      </c>
      <c r="AF9" s="25">
        <f>配方级描述符!AA4</f>
        <v/>
      </c>
      <c r="AG9" s="25">
        <f>配方级描述符!AB4</f>
        <v/>
      </c>
      <c r="AH9" s="25">
        <f>配方级描述符!AC4</f>
        <v/>
      </c>
      <c r="AI9" s="25">
        <f>配方级描述符!AD4</f>
        <v/>
      </c>
      <c r="AJ9" s="25">
        <f>配方级描述符!AE4</f>
        <v/>
      </c>
      <c r="AK9" s="25">
        <f>配方级描述符!AF4</f>
        <v/>
      </c>
      <c r="AL9" s="25">
        <f>配方级描述符!AG4</f>
        <v/>
      </c>
      <c r="AM9" s="25">
        <f>配方级描述符!AH4</f>
        <v/>
      </c>
      <c r="AN9" s="25">
        <f>配方级描述符!AI4</f>
        <v/>
      </c>
      <c r="AO9" s="25">
        <f>配方级描述符!AJ4</f>
        <v/>
      </c>
      <c r="AP9" s="25">
        <f>配方级描述符!AK4</f>
        <v/>
      </c>
      <c r="AQ9" s="25">
        <f>配方级描述符!AL4</f>
        <v/>
      </c>
      <c r="AR9" s="25">
        <f>配方级描述符!AM4</f>
        <v/>
      </c>
      <c r="AS9" s="25">
        <f>配方级描述符!AN4</f>
        <v/>
      </c>
      <c r="AT9" s="25">
        <f>配方级描述符!AO4</f>
        <v/>
      </c>
      <c r="AU9" s="25">
        <f>配方级描述符!AP4</f>
        <v/>
      </c>
      <c r="AV9" s="25">
        <f>配方级描述符!AQ4</f>
        <v/>
      </c>
      <c r="AW9" s="25">
        <f>配方级描述符!AR4</f>
        <v/>
      </c>
      <c r="AX9" s="25">
        <f>配方级描述符!AS4</f>
        <v/>
      </c>
      <c r="AY9" s="25">
        <f>配方级描述符!AT4</f>
        <v/>
      </c>
      <c r="AZ9" s="25">
        <f>配方级描述符!AU4</f>
        <v/>
      </c>
    </row>
    <row r="10" ht="15" customHeight="1" s="15">
      <c r="A10" s="22" t="inlineStr">
        <is>
          <t>EP-0003</t>
        </is>
      </c>
      <c r="B10" s="23" t="inlineStr">
        <is>
          <t>环氧酚醛</t>
        </is>
      </c>
      <c r="C10" s="22">
        <f>IFERROR(INDEX(性能结果!$F:$F,MATCH(1,(性能结果!$A:$A=$A10)*(性能结果!$C:$C=$D10),0)),"")</f>
        <v/>
      </c>
      <c r="D10" s="23" t="inlineStr">
        <is>
          <t>水煮等级</t>
        </is>
      </c>
      <c r="E10" s="24">
        <f>IFERROR(INDEX(性能结果!$D:$D,MATCH(1,(性能结果!$A:$A=$A10)*(性能结果!$C:$C=$D10),0)),"")</f>
        <v/>
      </c>
      <c r="F10" s="22" t="n"/>
      <c r="G10" s="22" t="n"/>
      <c r="H10" s="22">
        <f>配方级描述符!C4</f>
        <v/>
      </c>
      <c r="I10" s="22">
        <f>配方级描述符!D4</f>
        <v/>
      </c>
      <c r="J10" s="22">
        <f>配方级描述符!E4</f>
        <v/>
      </c>
      <c r="K10" s="22">
        <f>配方级描述符!F4</f>
        <v/>
      </c>
      <c r="L10" s="22">
        <f>配方级描述符!G4</f>
        <v/>
      </c>
      <c r="M10" s="22">
        <f>配方级描述符!H4</f>
        <v/>
      </c>
      <c r="N10" s="22">
        <f>配方级描述符!I4</f>
        <v/>
      </c>
      <c r="O10" s="22">
        <f>配方级描述符!J4</f>
        <v/>
      </c>
      <c r="P10" s="22">
        <f>配方级描述符!K4</f>
        <v/>
      </c>
      <c r="Q10" s="22">
        <f>配方级描述符!L4</f>
        <v/>
      </c>
      <c r="R10" s="22">
        <f>配方级描述符!M4</f>
        <v/>
      </c>
      <c r="S10" s="22">
        <f>配方级描述符!N4</f>
        <v/>
      </c>
      <c r="T10" s="22">
        <f>配方级描述符!O4</f>
        <v/>
      </c>
      <c r="U10" s="22">
        <f>配方级描述符!P4</f>
        <v/>
      </c>
      <c r="V10" s="22">
        <f>配方级描述符!Q4</f>
        <v/>
      </c>
      <c r="W10" s="22">
        <f>配方级描述符!R4</f>
        <v/>
      </c>
      <c r="X10" s="22">
        <f>配方级描述符!S4</f>
        <v/>
      </c>
      <c r="Y10" s="22">
        <f>配方级描述符!T4</f>
        <v/>
      </c>
      <c r="Z10" s="22">
        <f>配方级描述符!U4</f>
        <v/>
      </c>
      <c r="AA10" s="22">
        <f>配方级描述符!V4</f>
        <v/>
      </c>
      <c r="AB10" s="22">
        <f>配方级描述符!W4</f>
        <v/>
      </c>
      <c r="AC10" s="22">
        <f>配方级描述符!X4</f>
        <v/>
      </c>
      <c r="AD10" s="22">
        <f>配方级描述符!Y4</f>
        <v/>
      </c>
      <c r="AE10" s="22">
        <f>配方级描述符!Z4</f>
        <v/>
      </c>
      <c r="AF10" s="22">
        <f>配方级描述符!AA4</f>
        <v/>
      </c>
      <c r="AG10" s="22">
        <f>配方级描述符!AB4</f>
        <v/>
      </c>
      <c r="AH10" s="22">
        <f>配方级描述符!AC4</f>
        <v/>
      </c>
      <c r="AI10" s="22">
        <f>配方级描述符!AD4</f>
        <v/>
      </c>
      <c r="AJ10" s="22">
        <f>配方级描述符!AE4</f>
        <v/>
      </c>
      <c r="AK10" s="22">
        <f>配方级描述符!AF4</f>
        <v/>
      </c>
      <c r="AL10" s="22">
        <f>配方级描述符!AG4</f>
        <v/>
      </c>
      <c r="AM10" s="22">
        <f>配方级描述符!AH4</f>
        <v/>
      </c>
      <c r="AN10" s="22">
        <f>配方级描述符!AI4</f>
        <v/>
      </c>
      <c r="AO10" s="22">
        <f>配方级描述符!AJ4</f>
        <v/>
      </c>
      <c r="AP10" s="22">
        <f>配方级描述符!AK4</f>
        <v/>
      </c>
      <c r="AQ10" s="22">
        <f>配方级描述符!AL4</f>
        <v/>
      </c>
      <c r="AR10" s="22">
        <f>配方级描述符!AM4</f>
        <v/>
      </c>
      <c r="AS10" s="22">
        <f>配方级描述符!AN4</f>
        <v/>
      </c>
      <c r="AT10" s="22">
        <f>配方级描述符!AO4</f>
        <v/>
      </c>
      <c r="AU10" s="22">
        <f>配方级描述符!AP4</f>
        <v/>
      </c>
      <c r="AV10" s="22">
        <f>配方级描述符!AQ4</f>
        <v/>
      </c>
      <c r="AW10" s="22">
        <f>配方级描述符!AR4</f>
        <v/>
      </c>
      <c r="AX10" s="22">
        <f>配方级描述符!AS4</f>
        <v/>
      </c>
      <c r="AY10" s="22">
        <f>配方级描述符!AT4</f>
        <v/>
      </c>
      <c r="AZ10" s="22">
        <f>配方级描述符!AU4</f>
        <v/>
      </c>
    </row>
    <row r="11" ht="15" customHeight="1" s="15">
      <c r="A11" s="25" t="inlineStr">
        <is>
          <t>EP-0004</t>
        </is>
      </c>
      <c r="B11" s="26" t="inlineStr">
        <is>
          <t>环氧酚醛</t>
        </is>
      </c>
      <c r="C11" s="25">
        <f>IFERROR(INDEX(性能结果!$F:$F,MATCH(1,(性能结果!$A:$A=$A11)*(性能结果!$C:$C=$D11),0)),"")</f>
        <v/>
      </c>
      <c r="D11" s="25" t="inlineStr">
        <is>
          <t>T弯</t>
        </is>
      </c>
      <c r="E11" s="24">
        <f>IFERROR(INDEX(性能结果!$D:$D,MATCH(1,(性能结果!$A:$A=$A11)*(性能结果!$C:$C=$D11),0)),"")</f>
        <v/>
      </c>
      <c r="F11" s="25" t="n"/>
      <c r="G11" s="25" t="n"/>
      <c r="H11" s="25">
        <f>配方级描述符!C5</f>
        <v/>
      </c>
      <c r="I11" s="25">
        <f>配方级描述符!D5</f>
        <v/>
      </c>
      <c r="J11" s="25">
        <f>配方级描述符!E5</f>
        <v/>
      </c>
      <c r="K11" s="25">
        <f>配方级描述符!F5</f>
        <v/>
      </c>
      <c r="L11" s="25">
        <f>配方级描述符!G5</f>
        <v/>
      </c>
      <c r="M11" s="25">
        <f>配方级描述符!H5</f>
        <v/>
      </c>
      <c r="N11" s="25">
        <f>配方级描述符!I5</f>
        <v/>
      </c>
      <c r="O11" s="25">
        <f>配方级描述符!J5</f>
        <v/>
      </c>
      <c r="P11" s="25">
        <f>配方级描述符!K5</f>
        <v/>
      </c>
      <c r="Q11" s="25">
        <f>配方级描述符!L5</f>
        <v/>
      </c>
      <c r="R11" s="25">
        <f>配方级描述符!M5</f>
        <v/>
      </c>
      <c r="S11" s="25">
        <f>配方级描述符!N5</f>
        <v/>
      </c>
      <c r="T11" s="25">
        <f>配方级描述符!O5</f>
        <v/>
      </c>
      <c r="U11" s="25">
        <f>配方级描述符!P5</f>
        <v/>
      </c>
      <c r="V11" s="25">
        <f>配方级描述符!Q5</f>
        <v/>
      </c>
      <c r="W11" s="25">
        <f>配方级描述符!R5</f>
        <v/>
      </c>
      <c r="X11" s="25">
        <f>配方级描述符!S5</f>
        <v/>
      </c>
      <c r="Y11" s="25">
        <f>配方级描述符!T5</f>
        <v/>
      </c>
      <c r="Z11" s="25">
        <f>配方级描述符!U5</f>
        <v/>
      </c>
      <c r="AA11" s="25">
        <f>配方级描述符!V5</f>
        <v/>
      </c>
      <c r="AB11" s="25">
        <f>配方级描述符!W5</f>
        <v/>
      </c>
      <c r="AC11" s="25">
        <f>配方级描述符!X5</f>
        <v/>
      </c>
      <c r="AD11" s="25">
        <f>配方级描述符!Y5</f>
        <v/>
      </c>
      <c r="AE11" s="25">
        <f>配方级描述符!Z5</f>
        <v/>
      </c>
      <c r="AF11" s="25">
        <f>配方级描述符!AA5</f>
        <v/>
      </c>
      <c r="AG11" s="25">
        <f>配方级描述符!AB5</f>
        <v/>
      </c>
      <c r="AH11" s="25">
        <f>配方级描述符!AC5</f>
        <v/>
      </c>
      <c r="AI11" s="25">
        <f>配方级描述符!AD5</f>
        <v/>
      </c>
      <c r="AJ11" s="25">
        <f>配方级描述符!AE5</f>
        <v/>
      </c>
      <c r="AK11" s="25">
        <f>配方级描述符!AF5</f>
        <v/>
      </c>
      <c r="AL11" s="25">
        <f>配方级描述符!AG5</f>
        <v/>
      </c>
      <c r="AM11" s="25">
        <f>配方级描述符!AH5</f>
        <v/>
      </c>
      <c r="AN11" s="25">
        <f>配方级描述符!AI5</f>
        <v/>
      </c>
      <c r="AO11" s="25">
        <f>配方级描述符!AJ5</f>
        <v/>
      </c>
      <c r="AP11" s="25">
        <f>配方级描述符!AK5</f>
        <v/>
      </c>
      <c r="AQ11" s="25">
        <f>配方级描述符!AL5</f>
        <v/>
      </c>
      <c r="AR11" s="25">
        <f>配方级描述符!AM5</f>
        <v/>
      </c>
      <c r="AS11" s="25">
        <f>配方级描述符!AN5</f>
        <v/>
      </c>
      <c r="AT11" s="25">
        <f>配方级描述符!AO5</f>
        <v/>
      </c>
      <c r="AU11" s="25">
        <f>配方级描述符!AP5</f>
        <v/>
      </c>
      <c r="AV11" s="25">
        <f>配方级描述符!AQ5</f>
        <v/>
      </c>
      <c r="AW11" s="25">
        <f>配方级描述符!AR5</f>
        <v/>
      </c>
      <c r="AX11" s="25">
        <f>配方级描述符!AS5</f>
        <v/>
      </c>
      <c r="AY11" s="25">
        <f>配方级描述符!AT5</f>
        <v/>
      </c>
      <c r="AZ11" s="25">
        <f>配方级描述符!AU5</f>
        <v/>
      </c>
    </row>
    <row r="12" ht="15" customHeight="1" s="15">
      <c r="A12" s="22" t="inlineStr">
        <is>
          <t>EP-0004</t>
        </is>
      </c>
      <c r="B12" s="23" t="inlineStr">
        <is>
          <t>环氧酚醛</t>
        </is>
      </c>
      <c r="C12" s="22">
        <f>IFERROR(INDEX(性能结果!$F:$F,MATCH(1,(性能结果!$A:$A=$A12)*(性能结果!$C:$C=$D12),0)),"")</f>
        <v/>
      </c>
      <c r="D12" s="22" t="inlineStr">
        <is>
          <t>MEK擦拭</t>
        </is>
      </c>
      <c r="E12" s="24">
        <f>IFERROR(INDEX(性能结果!$D:$D,MATCH(1,(性能结果!$A:$A=$A12)*(性能结果!$C:$C=$D12),0)),"")</f>
        <v/>
      </c>
      <c r="F12" s="22" t="n"/>
      <c r="G12" s="22" t="n"/>
      <c r="H12" s="22">
        <f>配方级描述符!C5</f>
        <v/>
      </c>
      <c r="I12" s="22">
        <f>配方级描述符!D5</f>
        <v/>
      </c>
      <c r="J12" s="22">
        <f>配方级描述符!E5</f>
        <v/>
      </c>
      <c r="K12" s="22">
        <f>配方级描述符!F5</f>
        <v/>
      </c>
      <c r="L12" s="22">
        <f>配方级描述符!G5</f>
        <v/>
      </c>
      <c r="M12" s="22">
        <f>配方级描述符!H5</f>
        <v/>
      </c>
      <c r="N12" s="22">
        <f>配方级描述符!I5</f>
        <v/>
      </c>
      <c r="O12" s="22">
        <f>配方级描述符!J5</f>
        <v/>
      </c>
      <c r="P12" s="22">
        <f>配方级描述符!K5</f>
        <v/>
      </c>
      <c r="Q12" s="22">
        <f>配方级描述符!L5</f>
        <v/>
      </c>
      <c r="R12" s="22">
        <f>配方级描述符!M5</f>
        <v/>
      </c>
      <c r="S12" s="22">
        <f>配方级描述符!N5</f>
        <v/>
      </c>
      <c r="T12" s="22">
        <f>配方级描述符!O5</f>
        <v/>
      </c>
      <c r="U12" s="22">
        <f>配方级描述符!P5</f>
        <v/>
      </c>
      <c r="V12" s="22">
        <f>配方级描述符!Q5</f>
        <v/>
      </c>
      <c r="W12" s="22">
        <f>配方级描述符!R5</f>
        <v/>
      </c>
      <c r="X12" s="22">
        <f>配方级描述符!S5</f>
        <v/>
      </c>
      <c r="Y12" s="22">
        <f>配方级描述符!T5</f>
        <v/>
      </c>
      <c r="Z12" s="22">
        <f>配方级描述符!U5</f>
        <v/>
      </c>
      <c r="AA12" s="22">
        <f>配方级描述符!V5</f>
        <v/>
      </c>
      <c r="AB12" s="22">
        <f>配方级描述符!W5</f>
        <v/>
      </c>
      <c r="AC12" s="22">
        <f>配方级描述符!X5</f>
        <v/>
      </c>
      <c r="AD12" s="22">
        <f>配方级描述符!Y5</f>
        <v/>
      </c>
      <c r="AE12" s="22">
        <f>配方级描述符!Z5</f>
        <v/>
      </c>
      <c r="AF12" s="22">
        <f>配方级描述符!AA5</f>
        <v/>
      </c>
      <c r="AG12" s="22">
        <f>配方级描述符!AB5</f>
        <v/>
      </c>
      <c r="AH12" s="22">
        <f>配方级描述符!AC5</f>
        <v/>
      </c>
      <c r="AI12" s="22">
        <f>配方级描述符!AD5</f>
        <v/>
      </c>
      <c r="AJ12" s="22">
        <f>配方级描述符!AE5</f>
        <v/>
      </c>
      <c r="AK12" s="22">
        <f>配方级描述符!AF5</f>
        <v/>
      </c>
      <c r="AL12" s="22">
        <f>配方级描述符!AG5</f>
        <v/>
      </c>
      <c r="AM12" s="22">
        <f>配方级描述符!AH5</f>
        <v/>
      </c>
      <c r="AN12" s="22">
        <f>配方级描述符!AI5</f>
        <v/>
      </c>
      <c r="AO12" s="22">
        <f>配方级描述符!AJ5</f>
        <v/>
      </c>
      <c r="AP12" s="22">
        <f>配方级描述符!AK5</f>
        <v/>
      </c>
      <c r="AQ12" s="22">
        <f>配方级描述符!AL5</f>
        <v/>
      </c>
      <c r="AR12" s="22">
        <f>配方级描述符!AM5</f>
        <v/>
      </c>
      <c r="AS12" s="22">
        <f>配方级描述符!AN5</f>
        <v/>
      </c>
      <c r="AT12" s="22">
        <f>配方级描述符!AO5</f>
        <v/>
      </c>
      <c r="AU12" s="22">
        <f>配方级描述符!AP5</f>
        <v/>
      </c>
      <c r="AV12" s="22">
        <f>配方级描述符!AQ5</f>
        <v/>
      </c>
      <c r="AW12" s="22">
        <f>配方级描述符!AR5</f>
        <v/>
      </c>
      <c r="AX12" s="22">
        <f>配方级描述符!AS5</f>
        <v/>
      </c>
      <c r="AY12" s="22">
        <f>配方级描述符!AT5</f>
        <v/>
      </c>
      <c r="AZ12" s="22">
        <f>配方级描述符!AU5</f>
        <v/>
      </c>
    </row>
    <row r="13" ht="15" customHeight="1" s="15">
      <c r="A13" s="25" t="inlineStr">
        <is>
          <t>EP-0004</t>
        </is>
      </c>
      <c r="B13" s="26" t="inlineStr">
        <is>
          <t>环氧酚醛</t>
        </is>
      </c>
      <c r="C13" s="25">
        <f>IFERROR(INDEX(性能结果!$F:$F,MATCH(1,(性能结果!$A:$A=$A13)*(性能结果!$C:$C=$D13),0)),"")</f>
        <v/>
      </c>
      <c r="D13" s="26" t="inlineStr">
        <is>
          <t>水煮等级</t>
        </is>
      </c>
      <c r="E13" s="24">
        <f>IFERROR(INDEX(性能结果!$D:$D,MATCH(1,(性能结果!$A:$A=$A13)*(性能结果!$C:$C=$D13),0)),"")</f>
        <v/>
      </c>
      <c r="F13" s="25" t="n"/>
      <c r="G13" s="25" t="n"/>
      <c r="H13" s="25">
        <f>配方级描述符!C5</f>
        <v/>
      </c>
      <c r="I13" s="25">
        <f>配方级描述符!D5</f>
        <v/>
      </c>
      <c r="J13" s="25">
        <f>配方级描述符!E5</f>
        <v/>
      </c>
      <c r="K13" s="25">
        <f>配方级描述符!F5</f>
        <v/>
      </c>
      <c r="L13" s="25">
        <f>配方级描述符!G5</f>
        <v/>
      </c>
      <c r="M13" s="25">
        <f>配方级描述符!H5</f>
        <v/>
      </c>
      <c r="N13" s="25">
        <f>配方级描述符!I5</f>
        <v/>
      </c>
      <c r="O13" s="25">
        <f>配方级描述符!J5</f>
        <v/>
      </c>
      <c r="P13" s="25">
        <f>配方级描述符!K5</f>
        <v/>
      </c>
      <c r="Q13" s="25">
        <f>配方级描述符!L5</f>
        <v/>
      </c>
      <c r="R13" s="25">
        <f>配方级描述符!M5</f>
        <v/>
      </c>
      <c r="S13" s="25">
        <f>配方级描述符!N5</f>
        <v/>
      </c>
      <c r="T13" s="25">
        <f>配方级描述符!O5</f>
        <v/>
      </c>
      <c r="U13" s="25">
        <f>配方级描述符!P5</f>
        <v/>
      </c>
      <c r="V13" s="25">
        <f>配方级描述符!Q5</f>
        <v/>
      </c>
      <c r="W13" s="25">
        <f>配方级描述符!R5</f>
        <v/>
      </c>
      <c r="X13" s="25">
        <f>配方级描述符!S5</f>
        <v/>
      </c>
      <c r="Y13" s="25">
        <f>配方级描述符!T5</f>
        <v/>
      </c>
      <c r="Z13" s="25">
        <f>配方级描述符!U5</f>
        <v/>
      </c>
      <c r="AA13" s="25">
        <f>配方级描述符!V5</f>
        <v/>
      </c>
      <c r="AB13" s="25">
        <f>配方级描述符!W5</f>
        <v/>
      </c>
      <c r="AC13" s="25">
        <f>配方级描述符!X5</f>
        <v/>
      </c>
      <c r="AD13" s="25">
        <f>配方级描述符!Y5</f>
        <v/>
      </c>
      <c r="AE13" s="25">
        <f>配方级描述符!Z5</f>
        <v/>
      </c>
      <c r="AF13" s="25">
        <f>配方级描述符!AA5</f>
        <v/>
      </c>
      <c r="AG13" s="25">
        <f>配方级描述符!AB5</f>
        <v/>
      </c>
      <c r="AH13" s="25">
        <f>配方级描述符!AC5</f>
        <v/>
      </c>
      <c r="AI13" s="25">
        <f>配方级描述符!AD5</f>
        <v/>
      </c>
      <c r="AJ13" s="25">
        <f>配方级描述符!AE5</f>
        <v/>
      </c>
      <c r="AK13" s="25">
        <f>配方级描述符!AF5</f>
        <v/>
      </c>
      <c r="AL13" s="25">
        <f>配方级描述符!AG5</f>
        <v/>
      </c>
      <c r="AM13" s="25">
        <f>配方级描述符!AH5</f>
        <v/>
      </c>
      <c r="AN13" s="25">
        <f>配方级描述符!AI5</f>
        <v/>
      </c>
      <c r="AO13" s="25">
        <f>配方级描述符!AJ5</f>
        <v/>
      </c>
      <c r="AP13" s="25">
        <f>配方级描述符!AK5</f>
        <v/>
      </c>
      <c r="AQ13" s="25">
        <f>配方级描述符!AL5</f>
        <v/>
      </c>
      <c r="AR13" s="25">
        <f>配方级描述符!AM5</f>
        <v/>
      </c>
      <c r="AS13" s="25">
        <f>配方级描述符!AN5</f>
        <v/>
      </c>
      <c r="AT13" s="25">
        <f>配方级描述符!AO5</f>
        <v/>
      </c>
      <c r="AU13" s="25">
        <f>配方级描述符!AP5</f>
        <v/>
      </c>
      <c r="AV13" s="25">
        <f>配方级描述符!AQ5</f>
        <v/>
      </c>
      <c r="AW13" s="25">
        <f>配方级描述符!AR5</f>
        <v/>
      </c>
      <c r="AX13" s="25">
        <f>配方级描述符!AS5</f>
        <v/>
      </c>
      <c r="AY13" s="25">
        <f>配方级描述符!AT5</f>
        <v/>
      </c>
      <c r="AZ13" s="25">
        <f>配方级描述符!AU5</f>
        <v/>
      </c>
    </row>
    <row r="14" ht="15" customHeight="1" s="15">
      <c r="A14" s="22" t="inlineStr">
        <is>
          <t>EP-0005</t>
        </is>
      </c>
      <c r="B14" s="23" t="inlineStr">
        <is>
          <t>环氧酚醛</t>
        </is>
      </c>
      <c r="C14" s="22">
        <f>IFERROR(INDEX(性能结果!$F:$F,MATCH(1,(性能结果!$A:$A=$A14)*(性能结果!$C:$C=$D14),0)),"")</f>
        <v/>
      </c>
      <c r="D14" s="22" t="inlineStr">
        <is>
          <t>T弯</t>
        </is>
      </c>
      <c r="E14" s="24">
        <f>IFERROR(INDEX(性能结果!$D:$D,MATCH(1,(性能结果!$A:$A=$A14)*(性能结果!$C:$C=$D14),0)),"")</f>
        <v/>
      </c>
      <c r="F14" s="22" t="n"/>
      <c r="G14" s="22" t="n"/>
      <c r="H14" s="22">
        <f>配方级描述符!C6</f>
        <v/>
      </c>
      <c r="I14" s="22">
        <f>配方级描述符!D6</f>
        <v/>
      </c>
      <c r="J14" s="22">
        <f>配方级描述符!E6</f>
        <v/>
      </c>
      <c r="K14" s="22">
        <f>配方级描述符!F6</f>
        <v/>
      </c>
      <c r="L14" s="22">
        <f>配方级描述符!G6</f>
        <v/>
      </c>
      <c r="M14" s="22">
        <f>配方级描述符!H6</f>
        <v/>
      </c>
      <c r="N14" s="22">
        <f>配方级描述符!I6</f>
        <v/>
      </c>
      <c r="O14" s="22">
        <f>配方级描述符!J6</f>
        <v/>
      </c>
      <c r="P14" s="22">
        <f>配方级描述符!K6</f>
        <v/>
      </c>
      <c r="Q14" s="22">
        <f>配方级描述符!L6</f>
        <v/>
      </c>
      <c r="R14" s="22">
        <f>配方级描述符!M6</f>
        <v/>
      </c>
      <c r="S14" s="22">
        <f>配方级描述符!N6</f>
        <v/>
      </c>
      <c r="T14" s="22">
        <f>配方级描述符!O6</f>
        <v/>
      </c>
      <c r="U14" s="22">
        <f>配方级描述符!P6</f>
        <v/>
      </c>
      <c r="V14" s="22">
        <f>配方级描述符!Q6</f>
        <v/>
      </c>
      <c r="W14" s="22">
        <f>配方级描述符!R6</f>
        <v/>
      </c>
      <c r="X14" s="22">
        <f>配方级描述符!S6</f>
        <v/>
      </c>
      <c r="Y14" s="22">
        <f>配方级描述符!T6</f>
        <v/>
      </c>
      <c r="Z14" s="22">
        <f>配方级描述符!U6</f>
        <v/>
      </c>
      <c r="AA14" s="22">
        <f>配方级描述符!V6</f>
        <v/>
      </c>
      <c r="AB14" s="22">
        <f>配方级描述符!W6</f>
        <v/>
      </c>
      <c r="AC14" s="22">
        <f>配方级描述符!X6</f>
        <v/>
      </c>
      <c r="AD14" s="22">
        <f>配方级描述符!Y6</f>
        <v/>
      </c>
      <c r="AE14" s="22">
        <f>配方级描述符!Z6</f>
        <v/>
      </c>
      <c r="AF14" s="22">
        <f>配方级描述符!AA6</f>
        <v/>
      </c>
      <c r="AG14" s="22">
        <f>配方级描述符!AB6</f>
        <v/>
      </c>
      <c r="AH14" s="22">
        <f>配方级描述符!AC6</f>
        <v/>
      </c>
      <c r="AI14" s="22">
        <f>配方级描述符!AD6</f>
        <v/>
      </c>
      <c r="AJ14" s="22">
        <f>配方级描述符!AE6</f>
        <v/>
      </c>
      <c r="AK14" s="22">
        <f>配方级描述符!AF6</f>
        <v/>
      </c>
      <c r="AL14" s="22">
        <f>配方级描述符!AG6</f>
        <v/>
      </c>
      <c r="AM14" s="22">
        <f>配方级描述符!AH6</f>
        <v/>
      </c>
      <c r="AN14" s="22">
        <f>配方级描述符!AI6</f>
        <v/>
      </c>
      <c r="AO14" s="22">
        <f>配方级描述符!AJ6</f>
        <v/>
      </c>
      <c r="AP14" s="22">
        <f>配方级描述符!AK6</f>
        <v/>
      </c>
      <c r="AQ14" s="22">
        <f>配方级描述符!AL6</f>
        <v/>
      </c>
      <c r="AR14" s="22">
        <f>配方级描述符!AM6</f>
        <v/>
      </c>
      <c r="AS14" s="22">
        <f>配方级描述符!AN6</f>
        <v/>
      </c>
      <c r="AT14" s="22">
        <f>配方级描述符!AO6</f>
        <v/>
      </c>
      <c r="AU14" s="22">
        <f>配方级描述符!AP6</f>
        <v/>
      </c>
      <c r="AV14" s="22">
        <f>配方级描述符!AQ6</f>
        <v/>
      </c>
      <c r="AW14" s="22">
        <f>配方级描述符!AR6</f>
        <v/>
      </c>
      <c r="AX14" s="22">
        <f>配方级描述符!AS6</f>
        <v/>
      </c>
      <c r="AY14" s="22">
        <f>配方级描述符!AT6</f>
        <v/>
      </c>
      <c r="AZ14" s="22">
        <f>配方级描述符!AU6</f>
        <v/>
      </c>
    </row>
    <row r="15" ht="15" customHeight="1" s="15">
      <c r="A15" s="25" t="inlineStr">
        <is>
          <t>EP-0005</t>
        </is>
      </c>
      <c r="B15" s="26" t="inlineStr">
        <is>
          <t>环氧酚醛</t>
        </is>
      </c>
      <c r="C15" s="25">
        <f>IFERROR(INDEX(性能结果!$F:$F,MATCH(1,(性能结果!$A:$A=$A15)*(性能结果!$C:$C=$D15),0)),"")</f>
        <v/>
      </c>
      <c r="D15" s="25" t="inlineStr">
        <is>
          <t>MEK擦拭</t>
        </is>
      </c>
      <c r="E15" s="24">
        <f>IFERROR(INDEX(性能结果!$D:$D,MATCH(1,(性能结果!$A:$A=$A15)*(性能结果!$C:$C=$D15),0)),"")</f>
        <v/>
      </c>
      <c r="F15" s="25" t="n"/>
      <c r="G15" s="25" t="n"/>
      <c r="H15" s="25">
        <f>配方级描述符!C6</f>
        <v/>
      </c>
      <c r="I15" s="25">
        <f>配方级描述符!D6</f>
        <v/>
      </c>
      <c r="J15" s="25">
        <f>配方级描述符!E6</f>
        <v/>
      </c>
      <c r="K15" s="25">
        <f>配方级描述符!F6</f>
        <v/>
      </c>
      <c r="L15" s="25">
        <f>配方级描述符!G6</f>
        <v/>
      </c>
      <c r="M15" s="25">
        <f>配方级描述符!H6</f>
        <v/>
      </c>
      <c r="N15" s="25">
        <f>配方级描述符!I6</f>
        <v/>
      </c>
      <c r="O15" s="25">
        <f>配方级描述符!J6</f>
        <v/>
      </c>
      <c r="P15" s="25">
        <f>配方级描述符!K6</f>
        <v/>
      </c>
      <c r="Q15" s="25">
        <f>配方级描述符!L6</f>
        <v/>
      </c>
      <c r="R15" s="25">
        <f>配方级描述符!M6</f>
        <v/>
      </c>
      <c r="S15" s="25">
        <f>配方级描述符!N6</f>
        <v/>
      </c>
      <c r="T15" s="25">
        <f>配方级描述符!O6</f>
        <v/>
      </c>
      <c r="U15" s="25">
        <f>配方级描述符!P6</f>
        <v/>
      </c>
      <c r="V15" s="25">
        <f>配方级描述符!Q6</f>
        <v/>
      </c>
      <c r="W15" s="25">
        <f>配方级描述符!R6</f>
        <v/>
      </c>
      <c r="X15" s="25">
        <f>配方级描述符!S6</f>
        <v/>
      </c>
      <c r="Y15" s="25">
        <f>配方级描述符!T6</f>
        <v/>
      </c>
      <c r="Z15" s="25">
        <f>配方级描述符!U6</f>
        <v/>
      </c>
      <c r="AA15" s="25">
        <f>配方级描述符!V6</f>
        <v/>
      </c>
      <c r="AB15" s="25">
        <f>配方级描述符!W6</f>
        <v/>
      </c>
      <c r="AC15" s="25">
        <f>配方级描述符!X6</f>
        <v/>
      </c>
      <c r="AD15" s="25">
        <f>配方级描述符!Y6</f>
        <v/>
      </c>
      <c r="AE15" s="25">
        <f>配方级描述符!Z6</f>
        <v/>
      </c>
      <c r="AF15" s="25">
        <f>配方级描述符!AA6</f>
        <v/>
      </c>
      <c r="AG15" s="25">
        <f>配方级描述符!AB6</f>
        <v/>
      </c>
      <c r="AH15" s="25">
        <f>配方级描述符!AC6</f>
        <v/>
      </c>
      <c r="AI15" s="25">
        <f>配方级描述符!AD6</f>
        <v/>
      </c>
      <c r="AJ15" s="25">
        <f>配方级描述符!AE6</f>
        <v/>
      </c>
      <c r="AK15" s="25">
        <f>配方级描述符!AF6</f>
        <v/>
      </c>
      <c r="AL15" s="25">
        <f>配方级描述符!AG6</f>
        <v/>
      </c>
      <c r="AM15" s="25">
        <f>配方级描述符!AH6</f>
        <v/>
      </c>
      <c r="AN15" s="25">
        <f>配方级描述符!AI6</f>
        <v/>
      </c>
      <c r="AO15" s="25">
        <f>配方级描述符!AJ6</f>
        <v/>
      </c>
      <c r="AP15" s="25">
        <f>配方级描述符!AK6</f>
        <v/>
      </c>
      <c r="AQ15" s="25">
        <f>配方级描述符!AL6</f>
        <v/>
      </c>
      <c r="AR15" s="25">
        <f>配方级描述符!AM6</f>
        <v/>
      </c>
      <c r="AS15" s="25">
        <f>配方级描述符!AN6</f>
        <v/>
      </c>
      <c r="AT15" s="25">
        <f>配方级描述符!AO6</f>
        <v/>
      </c>
      <c r="AU15" s="25">
        <f>配方级描述符!AP6</f>
        <v/>
      </c>
      <c r="AV15" s="25">
        <f>配方级描述符!AQ6</f>
        <v/>
      </c>
      <c r="AW15" s="25">
        <f>配方级描述符!AR6</f>
        <v/>
      </c>
      <c r="AX15" s="25">
        <f>配方级描述符!AS6</f>
        <v/>
      </c>
      <c r="AY15" s="25">
        <f>配方级描述符!AT6</f>
        <v/>
      </c>
      <c r="AZ15" s="25">
        <f>配方级描述符!AU6</f>
        <v/>
      </c>
    </row>
    <row r="16" ht="15" customHeight="1" s="15">
      <c r="A16" s="22" t="inlineStr">
        <is>
          <t>EP-0005</t>
        </is>
      </c>
      <c r="B16" s="23" t="inlineStr">
        <is>
          <t>环氧酚醛</t>
        </is>
      </c>
      <c r="C16" s="22">
        <f>IFERROR(INDEX(性能结果!$F:$F,MATCH(1,(性能结果!$A:$A=$A16)*(性能结果!$C:$C=$D16),0)),"")</f>
        <v/>
      </c>
      <c r="D16" s="23" t="inlineStr">
        <is>
          <t>水煮等级</t>
        </is>
      </c>
      <c r="E16" s="24">
        <f>IFERROR(INDEX(性能结果!$D:$D,MATCH(1,(性能结果!$A:$A=$A16)*(性能结果!$C:$C=$D16),0)),"")</f>
        <v/>
      </c>
      <c r="F16" s="22" t="n"/>
      <c r="G16" s="22" t="n"/>
      <c r="H16" s="22">
        <f>配方级描述符!C6</f>
        <v/>
      </c>
      <c r="I16" s="22">
        <f>配方级描述符!D6</f>
        <v/>
      </c>
      <c r="J16" s="22">
        <f>配方级描述符!E6</f>
        <v/>
      </c>
      <c r="K16" s="22">
        <f>配方级描述符!F6</f>
        <v/>
      </c>
      <c r="L16" s="22">
        <f>配方级描述符!G6</f>
        <v/>
      </c>
      <c r="M16" s="22">
        <f>配方级描述符!H6</f>
        <v/>
      </c>
      <c r="N16" s="22">
        <f>配方级描述符!I6</f>
        <v/>
      </c>
      <c r="O16" s="22">
        <f>配方级描述符!J6</f>
        <v/>
      </c>
      <c r="P16" s="22">
        <f>配方级描述符!K6</f>
        <v/>
      </c>
      <c r="Q16" s="22">
        <f>配方级描述符!L6</f>
        <v/>
      </c>
      <c r="R16" s="22">
        <f>配方级描述符!M6</f>
        <v/>
      </c>
      <c r="S16" s="22">
        <f>配方级描述符!N6</f>
        <v/>
      </c>
      <c r="T16" s="22">
        <f>配方级描述符!O6</f>
        <v/>
      </c>
      <c r="U16" s="22">
        <f>配方级描述符!P6</f>
        <v/>
      </c>
      <c r="V16" s="22">
        <f>配方级描述符!Q6</f>
        <v/>
      </c>
      <c r="W16" s="22">
        <f>配方级描述符!R6</f>
        <v/>
      </c>
      <c r="X16" s="22">
        <f>配方级描述符!S6</f>
        <v/>
      </c>
      <c r="Y16" s="22">
        <f>配方级描述符!T6</f>
        <v/>
      </c>
      <c r="Z16" s="22">
        <f>配方级描述符!U6</f>
        <v/>
      </c>
      <c r="AA16" s="22">
        <f>配方级描述符!V6</f>
        <v/>
      </c>
      <c r="AB16" s="22">
        <f>配方级描述符!W6</f>
        <v/>
      </c>
      <c r="AC16" s="22">
        <f>配方级描述符!X6</f>
        <v/>
      </c>
      <c r="AD16" s="22">
        <f>配方级描述符!Y6</f>
        <v/>
      </c>
      <c r="AE16" s="22">
        <f>配方级描述符!Z6</f>
        <v/>
      </c>
      <c r="AF16" s="22">
        <f>配方级描述符!AA6</f>
        <v/>
      </c>
      <c r="AG16" s="22">
        <f>配方级描述符!AB6</f>
        <v/>
      </c>
      <c r="AH16" s="22">
        <f>配方级描述符!AC6</f>
        <v/>
      </c>
      <c r="AI16" s="22">
        <f>配方级描述符!AD6</f>
        <v/>
      </c>
      <c r="AJ16" s="22">
        <f>配方级描述符!AE6</f>
        <v/>
      </c>
      <c r="AK16" s="22">
        <f>配方级描述符!AF6</f>
        <v/>
      </c>
      <c r="AL16" s="22">
        <f>配方级描述符!AG6</f>
        <v/>
      </c>
      <c r="AM16" s="22">
        <f>配方级描述符!AH6</f>
        <v/>
      </c>
      <c r="AN16" s="22">
        <f>配方级描述符!AI6</f>
        <v/>
      </c>
      <c r="AO16" s="22">
        <f>配方级描述符!AJ6</f>
        <v/>
      </c>
      <c r="AP16" s="22">
        <f>配方级描述符!AK6</f>
        <v/>
      </c>
      <c r="AQ16" s="22">
        <f>配方级描述符!AL6</f>
        <v/>
      </c>
      <c r="AR16" s="22">
        <f>配方级描述符!AM6</f>
        <v/>
      </c>
      <c r="AS16" s="22">
        <f>配方级描述符!AN6</f>
        <v/>
      </c>
      <c r="AT16" s="22">
        <f>配方级描述符!AO6</f>
        <v/>
      </c>
      <c r="AU16" s="22">
        <f>配方级描述符!AP6</f>
        <v/>
      </c>
      <c r="AV16" s="22">
        <f>配方级描述符!AQ6</f>
        <v/>
      </c>
      <c r="AW16" s="22">
        <f>配方级描述符!AR6</f>
        <v/>
      </c>
      <c r="AX16" s="22">
        <f>配方级描述符!AS6</f>
        <v/>
      </c>
      <c r="AY16" s="22">
        <f>配方级描述符!AT6</f>
        <v/>
      </c>
      <c r="AZ16" s="22">
        <f>配方级描述符!AU6</f>
        <v/>
      </c>
    </row>
    <row r="17" ht="15" customHeight="1" s="15">
      <c r="A17" s="25" t="inlineStr">
        <is>
          <t>ORG-0001</t>
        </is>
      </c>
      <c r="B17" s="26" t="inlineStr">
        <is>
          <t>有机</t>
        </is>
      </c>
      <c r="C17" s="25">
        <f>IFERROR(INDEX(性能结果!$F:$F,MATCH(1,(性能结果!$A:$A=$A17)*(性能结果!$C:$C=$D17),0)),"")</f>
        <v/>
      </c>
      <c r="D17" s="25" t="inlineStr">
        <is>
          <t>T弯</t>
        </is>
      </c>
      <c r="E17" s="24">
        <f>IFERROR(INDEX(性能结果!$D:$D,MATCH(1,(性能结果!$A:$A=$A17)*(性能结果!$C:$C=$D17),0)),"")</f>
        <v/>
      </c>
      <c r="F17" s="25" t="n"/>
      <c r="G17" s="25" t="n"/>
      <c r="H17" s="25">
        <f>配方级描述符!C7</f>
        <v/>
      </c>
      <c r="I17" s="25">
        <f>配方级描述符!D7</f>
        <v/>
      </c>
      <c r="J17" s="25">
        <f>配方级描述符!E7</f>
        <v/>
      </c>
      <c r="K17" s="25">
        <f>配方级描述符!F7</f>
        <v/>
      </c>
      <c r="L17" s="25">
        <f>配方级描述符!G7</f>
        <v/>
      </c>
      <c r="M17" s="25">
        <f>配方级描述符!H7</f>
        <v/>
      </c>
      <c r="N17" s="25">
        <f>配方级描述符!I7</f>
        <v/>
      </c>
      <c r="O17" s="25">
        <f>配方级描述符!J7</f>
        <v/>
      </c>
      <c r="P17" s="25">
        <f>配方级描述符!K7</f>
        <v/>
      </c>
      <c r="Q17" s="25">
        <f>配方级描述符!L7</f>
        <v/>
      </c>
      <c r="R17" s="25">
        <f>配方级描述符!M7</f>
        <v/>
      </c>
      <c r="S17" s="25">
        <f>配方级描述符!N7</f>
        <v/>
      </c>
      <c r="T17" s="25">
        <f>配方级描述符!O7</f>
        <v/>
      </c>
      <c r="U17" s="25">
        <f>配方级描述符!P7</f>
        <v/>
      </c>
      <c r="V17" s="25">
        <f>配方级描述符!Q7</f>
        <v/>
      </c>
      <c r="W17" s="25">
        <f>配方级描述符!R7</f>
        <v/>
      </c>
      <c r="X17" s="25">
        <f>配方级描述符!S7</f>
        <v/>
      </c>
      <c r="Y17" s="25">
        <f>配方级描述符!T7</f>
        <v/>
      </c>
      <c r="Z17" s="25">
        <f>配方级描述符!U7</f>
        <v/>
      </c>
      <c r="AA17" s="25">
        <f>配方级描述符!V7</f>
        <v/>
      </c>
      <c r="AB17" s="25">
        <f>配方级描述符!W7</f>
        <v/>
      </c>
      <c r="AC17" s="25">
        <f>配方级描述符!X7</f>
        <v/>
      </c>
      <c r="AD17" s="25">
        <f>配方级描述符!Y7</f>
        <v/>
      </c>
      <c r="AE17" s="25">
        <f>配方级描述符!Z7</f>
        <v/>
      </c>
      <c r="AF17" s="25">
        <f>配方级描述符!AA7</f>
        <v/>
      </c>
      <c r="AG17" s="25">
        <f>配方级描述符!AB7</f>
        <v/>
      </c>
      <c r="AH17" s="25">
        <f>配方级描述符!AC7</f>
        <v/>
      </c>
      <c r="AI17" s="25">
        <f>配方级描述符!AD7</f>
        <v/>
      </c>
      <c r="AJ17" s="25">
        <f>配方级描述符!AE7</f>
        <v/>
      </c>
      <c r="AK17" s="25">
        <f>配方级描述符!AF7</f>
        <v/>
      </c>
      <c r="AL17" s="25">
        <f>配方级描述符!AG7</f>
        <v/>
      </c>
      <c r="AM17" s="25">
        <f>配方级描述符!AH7</f>
        <v/>
      </c>
      <c r="AN17" s="25">
        <f>配方级描述符!AI7</f>
        <v/>
      </c>
      <c r="AO17" s="25">
        <f>配方级描述符!AJ7</f>
        <v/>
      </c>
      <c r="AP17" s="25">
        <f>配方级描述符!AK7</f>
        <v/>
      </c>
      <c r="AQ17" s="25">
        <f>配方级描述符!AL7</f>
        <v/>
      </c>
      <c r="AR17" s="25">
        <f>配方级描述符!AM7</f>
        <v/>
      </c>
      <c r="AS17" s="25">
        <f>配方级描述符!AN7</f>
        <v/>
      </c>
      <c r="AT17" s="25">
        <f>配方级描述符!AO7</f>
        <v/>
      </c>
      <c r="AU17" s="25">
        <f>配方级描述符!AP7</f>
        <v/>
      </c>
      <c r="AV17" s="25">
        <f>配方级描述符!AQ7</f>
        <v/>
      </c>
      <c r="AW17" s="25">
        <f>配方级描述符!AR7</f>
        <v/>
      </c>
      <c r="AX17" s="25">
        <f>配方级描述符!AS7</f>
        <v/>
      </c>
      <c r="AY17" s="25">
        <f>配方级描述符!AT7</f>
        <v/>
      </c>
      <c r="AZ17" s="25">
        <f>配方级描述符!AU7</f>
        <v/>
      </c>
    </row>
    <row r="18" ht="15" customHeight="1" s="15">
      <c r="A18" s="22" t="inlineStr">
        <is>
          <t>ORG-0001</t>
        </is>
      </c>
      <c r="B18" s="23" t="inlineStr">
        <is>
          <t>有机</t>
        </is>
      </c>
      <c r="C18" s="22">
        <f>IFERROR(INDEX(性能结果!$F:$F,MATCH(1,(性能结果!$A:$A=$A18)*(性能结果!$C:$C=$D18),0)),"")</f>
        <v/>
      </c>
      <c r="D18" s="22" t="inlineStr">
        <is>
          <t>MEK擦拭</t>
        </is>
      </c>
      <c r="E18" s="24">
        <f>IFERROR(INDEX(性能结果!$D:$D,MATCH(1,(性能结果!$A:$A=$A18)*(性能结果!$C:$C=$D18),0)),"")</f>
        <v/>
      </c>
      <c r="F18" s="22" t="n"/>
      <c r="G18" s="22" t="n"/>
      <c r="H18" s="22">
        <f>配方级描述符!C7</f>
        <v/>
      </c>
      <c r="I18" s="22">
        <f>配方级描述符!D7</f>
        <v/>
      </c>
      <c r="J18" s="22">
        <f>配方级描述符!E7</f>
        <v/>
      </c>
      <c r="K18" s="22">
        <f>配方级描述符!F7</f>
        <v/>
      </c>
      <c r="L18" s="22">
        <f>配方级描述符!G7</f>
        <v/>
      </c>
      <c r="M18" s="22">
        <f>配方级描述符!H7</f>
        <v/>
      </c>
      <c r="N18" s="22">
        <f>配方级描述符!I7</f>
        <v/>
      </c>
      <c r="O18" s="22">
        <f>配方级描述符!J7</f>
        <v/>
      </c>
      <c r="P18" s="22">
        <f>配方级描述符!K7</f>
        <v/>
      </c>
      <c r="Q18" s="22">
        <f>配方级描述符!L7</f>
        <v/>
      </c>
      <c r="R18" s="22">
        <f>配方级描述符!M7</f>
        <v/>
      </c>
      <c r="S18" s="22">
        <f>配方级描述符!N7</f>
        <v/>
      </c>
      <c r="T18" s="22">
        <f>配方级描述符!O7</f>
        <v/>
      </c>
      <c r="U18" s="22">
        <f>配方级描述符!P7</f>
        <v/>
      </c>
      <c r="V18" s="22">
        <f>配方级描述符!Q7</f>
        <v/>
      </c>
      <c r="W18" s="22">
        <f>配方级描述符!R7</f>
        <v/>
      </c>
      <c r="X18" s="22">
        <f>配方级描述符!S7</f>
        <v/>
      </c>
      <c r="Y18" s="22">
        <f>配方级描述符!T7</f>
        <v/>
      </c>
      <c r="Z18" s="22">
        <f>配方级描述符!U7</f>
        <v/>
      </c>
      <c r="AA18" s="22">
        <f>配方级描述符!V7</f>
        <v/>
      </c>
      <c r="AB18" s="22">
        <f>配方级描述符!W7</f>
        <v/>
      </c>
      <c r="AC18" s="22">
        <f>配方级描述符!X7</f>
        <v/>
      </c>
      <c r="AD18" s="22">
        <f>配方级描述符!Y7</f>
        <v/>
      </c>
      <c r="AE18" s="22">
        <f>配方级描述符!Z7</f>
        <v/>
      </c>
      <c r="AF18" s="22">
        <f>配方级描述符!AA7</f>
        <v/>
      </c>
      <c r="AG18" s="22">
        <f>配方级描述符!AB7</f>
        <v/>
      </c>
      <c r="AH18" s="22">
        <f>配方级描述符!AC7</f>
        <v/>
      </c>
      <c r="AI18" s="22">
        <f>配方级描述符!AD7</f>
        <v/>
      </c>
      <c r="AJ18" s="22">
        <f>配方级描述符!AE7</f>
        <v/>
      </c>
      <c r="AK18" s="22">
        <f>配方级描述符!AF7</f>
        <v/>
      </c>
      <c r="AL18" s="22">
        <f>配方级描述符!AG7</f>
        <v/>
      </c>
      <c r="AM18" s="22">
        <f>配方级描述符!AH7</f>
        <v/>
      </c>
      <c r="AN18" s="22">
        <f>配方级描述符!AI7</f>
        <v/>
      </c>
      <c r="AO18" s="22">
        <f>配方级描述符!AJ7</f>
        <v/>
      </c>
      <c r="AP18" s="22">
        <f>配方级描述符!AK7</f>
        <v/>
      </c>
      <c r="AQ18" s="22">
        <f>配方级描述符!AL7</f>
        <v/>
      </c>
      <c r="AR18" s="22">
        <f>配方级描述符!AM7</f>
        <v/>
      </c>
      <c r="AS18" s="22">
        <f>配方级描述符!AN7</f>
        <v/>
      </c>
      <c r="AT18" s="22">
        <f>配方级描述符!AO7</f>
        <v/>
      </c>
      <c r="AU18" s="22">
        <f>配方级描述符!AP7</f>
        <v/>
      </c>
      <c r="AV18" s="22">
        <f>配方级描述符!AQ7</f>
        <v/>
      </c>
      <c r="AW18" s="22">
        <f>配方级描述符!AR7</f>
        <v/>
      </c>
      <c r="AX18" s="22">
        <f>配方级描述符!AS7</f>
        <v/>
      </c>
      <c r="AY18" s="22">
        <f>配方级描述符!AT7</f>
        <v/>
      </c>
      <c r="AZ18" s="22">
        <f>配方级描述符!AU7</f>
        <v/>
      </c>
    </row>
    <row r="19" ht="15" customHeight="1" s="15">
      <c r="A19" s="25" t="inlineStr">
        <is>
          <t>ORG-0001</t>
        </is>
      </c>
      <c r="B19" s="26" t="inlineStr">
        <is>
          <t>有机</t>
        </is>
      </c>
      <c r="C19" s="25">
        <f>IFERROR(INDEX(性能结果!$F:$F,MATCH(1,(性能结果!$A:$A=$A19)*(性能结果!$C:$C=$D19),0)),"")</f>
        <v/>
      </c>
      <c r="D19" s="26" t="inlineStr">
        <is>
          <t>水煮等级</t>
        </is>
      </c>
      <c r="E19" s="24">
        <f>IFERROR(INDEX(性能结果!$D:$D,MATCH(1,(性能结果!$A:$A=$A19)*(性能结果!$C:$C=$D19),0)),"")</f>
        <v/>
      </c>
      <c r="F19" s="25" t="n"/>
      <c r="G19" s="25" t="n"/>
      <c r="H19" s="25">
        <f>配方级描述符!C7</f>
        <v/>
      </c>
      <c r="I19" s="25">
        <f>配方级描述符!D7</f>
        <v/>
      </c>
      <c r="J19" s="25">
        <f>配方级描述符!E7</f>
        <v/>
      </c>
      <c r="K19" s="25">
        <f>配方级描述符!F7</f>
        <v/>
      </c>
      <c r="L19" s="25">
        <f>配方级描述符!G7</f>
        <v/>
      </c>
      <c r="M19" s="25">
        <f>配方级描述符!H7</f>
        <v/>
      </c>
      <c r="N19" s="25">
        <f>配方级描述符!I7</f>
        <v/>
      </c>
      <c r="O19" s="25">
        <f>配方级描述符!J7</f>
        <v/>
      </c>
      <c r="P19" s="25">
        <f>配方级描述符!K7</f>
        <v/>
      </c>
      <c r="Q19" s="25">
        <f>配方级描述符!L7</f>
        <v/>
      </c>
      <c r="R19" s="25">
        <f>配方级描述符!M7</f>
        <v/>
      </c>
      <c r="S19" s="25">
        <f>配方级描述符!N7</f>
        <v/>
      </c>
      <c r="T19" s="25">
        <f>配方级描述符!O7</f>
        <v/>
      </c>
      <c r="U19" s="25">
        <f>配方级描述符!P7</f>
        <v/>
      </c>
      <c r="V19" s="25">
        <f>配方级描述符!Q7</f>
        <v/>
      </c>
      <c r="W19" s="25">
        <f>配方级描述符!R7</f>
        <v/>
      </c>
      <c r="X19" s="25">
        <f>配方级描述符!S7</f>
        <v/>
      </c>
      <c r="Y19" s="25">
        <f>配方级描述符!T7</f>
        <v/>
      </c>
      <c r="Z19" s="25">
        <f>配方级描述符!U7</f>
        <v/>
      </c>
      <c r="AA19" s="25">
        <f>配方级描述符!V7</f>
        <v/>
      </c>
      <c r="AB19" s="25">
        <f>配方级描述符!W7</f>
        <v/>
      </c>
      <c r="AC19" s="25">
        <f>配方级描述符!X7</f>
        <v/>
      </c>
      <c r="AD19" s="25">
        <f>配方级描述符!Y7</f>
        <v/>
      </c>
      <c r="AE19" s="25">
        <f>配方级描述符!Z7</f>
        <v/>
      </c>
      <c r="AF19" s="25">
        <f>配方级描述符!AA7</f>
        <v/>
      </c>
      <c r="AG19" s="25">
        <f>配方级描述符!AB7</f>
        <v/>
      </c>
      <c r="AH19" s="25">
        <f>配方级描述符!AC7</f>
        <v/>
      </c>
      <c r="AI19" s="25">
        <f>配方级描述符!AD7</f>
        <v/>
      </c>
      <c r="AJ19" s="25">
        <f>配方级描述符!AE7</f>
        <v/>
      </c>
      <c r="AK19" s="25">
        <f>配方级描述符!AF7</f>
        <v/>
      </c>
      <c r="AL19" s="25">
        <f>配方级描述符!AG7</f>
        <v/>
      </c>
      <c r="AM19" s="25">
        <f>配方级描述符!AH7</f>
        <v/>
      </c>
      <c r="AN19" s="25">
        <f>配方级描述符!AI7</f>
        <v/>
      </c>
      <c r="AO19" s="25">
        <f>配方级描述符!AJ7</f>
        <v/>
      </c>
      <c r="AP19" s="25">
        <f>配方级描述符!AK7</f>
        <v/>
      </c>
      <c r="AQ19" s="25">
        <f>配方级描述符!AL7</f>
        <v/>
      </c>
      <c r="AR19" s="25">
        <f>配方级描述符!AM7</f>
        <v/>
      </c>
      <c r="AS19" s="25">
        <f>配方级描述符!AN7</f>
        <v/>
      </c>
      <c r="AT19" s="25">
        <f>配方级描述符!AO7</f>
        <v/>
      </c>
      <c r="AU19" s="25">
        <f>配方级描述符!AP7</f>
        <v/>
      </c>
      <c r="AV19" s="25">
        <f>配方级描述符!AQ7</f>
        <v/>
      </c>
      <c r="AW19" s="25">
        <f>配方级描述符!AR7</f>
        <v/>
      </c>
      <c r="AX19" s="25">
        <f>配方级描述符!AS7</f>
        <v/>
      </c>
      <c r="AY19" s="25">
        <f>配方级描述符!AT7</f>
        <v/>
      </c>
      <c r="AZ19" s="25">
        <f>配方级描述符!AU7</f>
        <v/>
      </c>
    </row>
    <row r="20" ht="15" customHeight="1" s="15">
      <c r="A20" s="22" t="inlineStr">
        <is>
          <t>ORG-0002</t>
        </is>
      </c>
      <c r="B20" s="23" t="inlineStr">
        <is>
          <t>有机</t>
        </is>
      </c>
      <c r="C20" s="22">
        <f>IFERROR(INDEX(性能结果!$F:$F,MATCH(1,(性能结果!$A:$A=$A20)*(性能结果!$C:$C=$D20),0)),"")</f>
        <v/>
      </c>
      <c r="D20" s="22" t="inlineStr">
        <is>
          <t>T弯</t>
        </is>
      </c>
      <c r="E20" s="24">
        <f>IFERROR(INDEX(性能结果!$D:$D,MATCH(1,(性能结果!$A:$A=$A20)*(性能结果!$C:$C=$D20),0)),"")</f>
        <v/>
      </c>
      <c r="F20" s="22" t="n"/>
      <c r="G20" s="22" t="n"/>
      <c r="H20" s="22">
        <f>配方级描述符!C8</f>
        <v/>
      </c>
      <c r="I20" s="22">
        <f>配方级描述符!D8</f>
        <v/>
      </c>
      <c r="J20" s="22">
        <f>配方级描述符!E8</f>
        <v/>
      </c>
      <c r="K20" s="22">
        <f>配方级描述符!F8</f>
        <v/>
      </c>
      <c r="L20" s="22">
        <f>配方级描述符!G8</f>
        <v/>
      </c>
      <c r="M20" s="22">
        <f>配方级描述符!H8</f>
        <v/>
      </c>
      <c r="N20" s="22">
        <f>配方级描述符!I8</f>
        <v/>
      </c>
      <c r="O20" s="22">
        <f>配方级描述符!J8</f>
        <v/>
      </c>
      <c r="P20" s="22">
        <f>配方级描述符!K8</f>
        <v/>
      </c>
      <c r="Q20" s="22">
        <f>配方级描述符!L8</f>
        <v/>
      </c>
      <c r="R20" s="22">
        <f>配方级描述符!M8</f>
        <v/>
      </c>
      <c r="S20" s="22">
        <f>配方级描述符!N8</f>
        <v/>
      </c>
      <c r="T20" s="22">
        <f>配方级描述符!O8</f>
        <v/>
      </c>
      <c r="U20" s="22">
        <f>配方级描述符!P8</f>
        <v/>
      </c>
      <c r="V20" s="22">
        <f>配方级描述符!Q8</f>
        <v/>
      </c>
      <c r="W20" s="22">
        <f>配方级描述符!R8</f>
        <v/>
      </c>
      <c r="X20" s="22">
        <f>配方级描述符!S8</f>
        <v/>
      </c>
      <c r="Y20" s="22">
        <f>配方级描述符!T8</f>
        <v/>
      </c>
      <c r="Z20" s="22">
        <f>配方级描述符!U8</f>
        <v/>
      </c>
      <c r="AA20" s="22">
        <f>配方级描述符!V8</f>
        <v/>
      </c>
      <c r="AB20" s="22">
        <f>配方级描述符!W8</f>
        <v/>
      </c>
      <c r="AC20" s="22">
        <f>配方级描述符!X8</f>
        <v/>
      </c>
      <c r="AD20" s="22">
        <f>配方级描述符!Y8</f>
        <v/>
      </c>
      <c r="AE20" s="22">
        <f>配方级描述符!Z8</f>
        <v/>
      </c>
      <c r="AF20" s="22">
        <f>配方级描述符!AA8</f>
        <v/>
      </c>
      <c r="AG20" s="22">
        <f>配方级描述符!AB8</f>
        <v/>
      </c>
      <c r="AH20" s="22">
        <f>配方级描述符!AC8</f>
        <v/>
      </c>
      <c r="AI20" s="22">
        <f>配方级描述符!AD8</f>
        <v/>
      </c>
      <c r="AJ20" s="22">
        <f>配方级描述符!AE8</f>
        <v/>
      </c>
      <c r="AK20" s="22">
        <f>配方级描述符!AF8</f>
        <v/>
      </c>
      <c r="AL20" s="22">
        <f>配方级描述符!AG8</f>
        <v/>
      </c>
      <c r="AM20" s="22">
        <f>配方级描述符!AH8</f>
        <v/>
      </c>
      <c r="AN20" s="22">
        <f>配方级描述符!AI8</f>
        <v/>
      </c>
      <c r="AO20" s="22">
        <f>配方级描述符!AJ8</f>
        <v/>
      </c>
      <c r="AP20" s="22">
        <f>配方级描述符!AK8</f>
        <v/>
      </c>
      <c r="AQ20" s="22">
        <f>配方级描述符!AL8</f>
        <v/>
      </c>
      <c r="AR20" s="22">
        <f>配方级描述符!AM8</f>
        <v/>
      </c>
      <c r="AS20" s="22">
        <f>配方级描述符!AN8</f>
        <v/>
      </c>
      <c r="AT20" s="22">
        <f>配方级描述符!AO8</f>
        <v/>
      </c>
      <c r="AU20" s="22">
        <f>配方级描述符!AP8</f>
        <v/>
      </c>
      <c r="AV20" s="22">
        <f>配方级描述符!AQ8</f>
        <v/>
      </c>
      <c r="AW20" s="22">
        <f>配方级描述符!AR8</f>
        <v/>
      </c>
      <c r="AX20" s="22">
        <f>配方级描述符!AS8</f>
        <v/>
      </c>
      <c r="AY20" s="22">
        <f>配方级描述符!AT8</f>
        <v/>
      </c>
      <c r="AZ20" s="22">
        <f>配方级描述符!AU8</f>
        <v/>
      </c>
    </row>
    <row r="21" ht="15" customHeight="1" s="15">
      <c r="A21" s="25" t="inlineStr">
        <is>
          <t>ORG-0002</t>
        </is>
      </c>
      <c r="B21" s="26" t="inlineStr">
        <is>
          <t>有机</t>
        </is>
      </c>
      <c r="C21" s="25">
        <f>IFERROR(INDEX(性能结果!$F:$F,MATCH(1,(性能结果!$A:$A=$A21)*(性能结果!$C:$C=$D21),0)),"")</f>
        <v/>
      </c>
      <c r="D21" s="25" t="inlineStr">
        <is>
          <t>MEK擦拭</t>
        </is>
      </c>
      <c r="E21" s="24">
        <f>IFERROR(INDEX(性能结果!$D:$D,MATCH(1,(性能结果!$A:$A=$A21)*(性能结果!$C:$C=$D21),0)),"")</f>
        <v/>
      </c>
      <c r="F21" s="25" t="n"/>
      <c r="G21" s="25" t="n"/>
      <c r="H21" s="25">
        <f>配方级描述符!C8</f>
        <v/>
      </c>
      <c r="I21" s="25">
        <f>配方级描述符!D8</f>
        <v/>
      </c>
      <c r="J21" s="25">
        <f>配方级描述符!E8</f>
        <v/>
      </c>
      <c r="K21" s="25">
        <f>配方级描述符!F8</f>
        <v/>
      </c>
      <c r="L21" s="25">
        <f>配方级描述符!G8</f>
        <v/>
      </c>
      <c r="M21" s="25">
        <f>配方级描述符!H8</f>
        <v/>
      </c>
      <c r="N21" s="25">
        <f>配方级描述符!I8</f>
        <v/>
      </c>
      <c r="O21" s="25">
        <f>配方级描述符!J8</f>
        <v/>
      </c>
      <c r="P21" s="25">
        <f>配方级描述符!K8</f>
        <v/>
      </c>
      <c r="Q21" s="25">
        <f>配方级描述符!L8</f>
        <v/>
      </c>
      <c r="R21" s="25">
        <f>配方级描述符!M8</f>
        <v/>
      </c>
      <c r="S21" s="25">
        <f>配方级描述符!N8</f>
        <v/>
      </c>
      <c r="T21" s="25">
        <f>配方级描述符!O8</f>
        <v/>
      </c>
      <c r="U21" s="25">
        <f>配方级描述符!P8</f>
        <v/>
      </c>
      <c r="V21" s="25">
        <f>配方级描述符!Q8</f>
        <v/>
      </c>
      <c r="W21" s="25">
        <f>配方级描述符!R8</f>
        <v/>
      </c>
      <c r="X21" s="25">
        <f>配方级描述符!S8</f>
        <v/>
      </c>
      <c r="Y21" s="25">
        <f>配方级描述符!T8</f>
        <v/>
      </c>
      <c r="Z21" s="25">
        <f>配方级描述符!U8</f>
        <v/>
      </c>
      <c r="AA21" s="25">
        <f>配方级描述符!V8</f>
        <v/>
      </c>
      <c r="AB21" s="25">
        <f>配方级描述符!W8</f>
        <v/>
      </c>
      <c r="AC21" s="25">
        <f>配方级描述符!X8</f>
        <v/>
      </c>
      <c r="AD21" s="25">
        <f>配方级描述符!Y8</f>
        <v/>
      </c>
      <c r="AE21" s="25">
        <f>配方级描述符!Z8</f>
        <v/>
      </c>
      <c r="AF21" s="25">
        <f>配方级描述符!AA8</f>
        <v/>
      </c>
      <c r="AG21" s="25">
        <f>配方级描述符!AB8</f>
        <v/>
      </c>
      <c r="AH21" s="25">
        <f>配方级描述符!AC8</f>
        <v/>
      </c>
      <c r="AI21" s="25">
        <f>配方级描述符!AD8</f>
        <v/>
      </c>
      <c r="AJ21" s="25">
        <f>配方级描述符!AE8</f>
        <v/>
      </c>
      <c r="AK21" s="25">
        <f>配方级描述符!AF8</f>
        <v/>
      </c>
      <c r="AL21" s="25">
        <f>配方级描述符!AG8</f>
        <v/>
      </c>
      <c r="AM21" s="25">
        <f>配方级描述符!AH8</f>
        <v/>
      </c>
      <c r="AN21" s="25">
        <f>配方级描述符!AI8</f>
        <v/>
      </c>
      <c r="AO21" s="25">
        <f>配方级描述符!AJ8</f>
        <v/>
      </c>
      <c r="AP21" s="25">
        <f>配方级描述符!AK8</f>
        <v/>
      </c>
      <c r="AQ21" s="25">
        <f>配方级描述符!AL8</f>
        <v/>
      </c>
      <c r="AR21" s="25">
        <f>配方级描述符!AM8</f>
        <v/>
      </c>
      <c r="AS21" s="25">
        <f>配方级描述符!AN8</f>
        <v/>
      </c>
      <c r="AT21" s="25">
        <f>配方级描述符!AO8</f>
        <v/>
      </c>
      <c r="AU21" s="25">
        <f>配方级描述符!AP8</f>
        <v/>
      </c>
      <c r="AV21" s="25">
        <f>配方级描述符!AQ8</f>
        <v/>
      </c>
      <c r="AW21" s="25">
        <f>配方级描述符!AR8</f>
        <v/>
      </c>
      <c r="AX21" s="25">
        <f>配方级描述符!AS8</f>
        <v/>
      </c>
      <c r="AY21" s="25">
        <f>配方级描述符!AT8</f>
        <v/>
      </c>
      <c r="AZ21" s="25">
        <f>配方级描述符!AU8</f>
        <v/>
      </c>
    </row>
    <row r="22" ht="15" customHeight="1" s="15">
      <c r="A22" s="22" t="inlineStr">
        <is>
          <t>ORG-0002</t>
        </is>
      </c>
      <c r="B22" s="23" t="inlineStr">
        <is>
          <t>有机</t>
        </is>
      </c>
      <c r="C22" s="22">
        <f>IFERROR(INDEX(性能结果!$F:$F,MATCH(1,(性能结果!$A:$A=$A22)*(性能结果!$C:$C=$D22),0)),"")</f>
        <v/>
      </c>
      <c r="D22" s="23" t="inlineStr">
        <is>
          <t>水煮等级</t>
        </is>
      </c>
      <c r="E22" s="24">
        <f>IFERROR(INDEX(性能结果!$D:$D,MATCH(1,(性能结果!$A:$A=$A22)*(性能结果!$C:$C=$D22),0)),"")</f>
        <v/>
      </c>
      <c r="F22" s="22" t="n"/>
      <c r="G22" s="22" t="n"/>
      <c r="H22" s="22">
        <f>配方级描述符!C8</f>
        <v/>
      </c>
      <c r="I22" s="22">
        <f>配方级描述符!D8</f>
        <v/>
      </c>
      <c r="J22" s="22">
        <f>配方级描述符!E8</f>
        <v/>
      </c>
      <c r="K22" s="22">
        <f>配方级描述符!F8</f>
        <v/>
      </c>
      <c r="L22" s="22">
        <f>配方级描述符!G8</f>
        <v/>
      </c>
      <c r="M22" s="22">
        <f>配方级描述符!H8</f>
        <v/>
      </c>
      <c r="N22" s="22">
        <f>配方级描述符!I8</f>
        <v/>
      </c>
      <c r="O22" s="22">
        <f>配方级描述符!J8</f>
        <v/>
      </c>
      <c r="P22" s="22">
        <f>配方级描述符!K8</f>
        <v/>
      </c>
      <c r="Q22" s="22">
        <f>配方级描述符!L8</f>
        <v/>
      </c>
      <c r="R22" s="22">
        <f>配方级描述符!M8</f>
        <v/>
      </c>
      <c r="S22" s="22">
        <f>配方级描述符!N8</f>
        <v/>
      </c>
      <c r="T22" s="22">
        <f>配方级描述符!O8</f>
        <v/>
      </c>
      <c r="U22" s="22">
        <f>配方级描述符!P8</f>
        <v/>
      </c>
      <c r="V22" s="22">
        <f>配方级描述符!Q8</f>
        <v/>
      </c>
      <c r="W22" s="22">
        <f>配方级描述符!R8</f>
        <v/>
      </c>
      <c r="X22" s="22">
        <f>配方级描述符!S8</f>
        <v/>
      </c>
      <c r="Y22" s="22">
        <f>配方级描述符!T8</f>
        <v/>
      </c>
      <c r="Z22" s="22">
        <f>配方级描述符!U8</f>
        <v/>
      </c>
      <c r="AA22" s="22">
        <f>配方级描述符!V8</f>
        <v/>
      </c>
      <c r="AB22" s="22">
        <f>配方级描述符!W8</f>
        <v/>
      </c>
      <c r="AC22" s="22">
        <f>配方级描述符!X8</f>
        <v/>
      </c>
      <c r="AD22" s="22">
        <f>配方级描述符!Y8</f>
        <v/>
      </c>
      <c r="AE22" s="22">
        <f>配方级描述符!Z8</f>
        <v/>
      </c>
      <c r="AF22" s="22">
        <f>配方级描述符!AA8</f>
        <v/>
      </c>
      <c r="AG22" s="22">
        <f>配方级描述符!AB8</f>
        <v/>
      </c>
      <c r="AH22" s="22">
        <f>配方级描述符!AC8</f>
        <v/>
      </c>
      <c r="AI22" s="22">
        <f>配方级描述符!AD8</f>
        <v/>
      </c>
      <c r="AJ22" s="22">
        <f>配方级描述符!AE8</f>
        <v/>
      </c>
      <c r="AK22" s="22">
        <f>配方级描述符!AF8</f>
        <v/>
      </c>
      <c r="AL22" s="22">
        <f>配方级描述符!AG8</f>
        <v/>
      </c>
      <c r="AM22" s="22">
        <f>配方级描述符!AH8</f>
        <v/>
      </c>
      <c r="AN22" s="22">
        <f>配方级描述符!AI8</f>
        <v/>
      </c>
      <c r="AO22" s="22">
        <f>配方级描述符!AJ8</f>
        <v/>
      </c>
      <c r="AP22" s="22">
        <f>配方级描述符!AK8</f>
        <v/>
      </c>
      <c r="AQ22" s="22">
        <f>配方级描述符!AL8</f>
        <v/>
      </c>
      <c r="AR22" s="22">
        <f>配方级描述符!AM8</f>
        <v/>
      </c>
      <c r="AS22" s="22">
        <f>配方级描述符!AN8</f>
        <v/>
      </c>
      <c r="AT22" s="22">
        <f>配方级描述符!AO8</f>
        <v/>
      </c>
      <c r="AU22" s="22">
        <f>配方级描述符!AP8</f>
        <v/>
      </c>
      <c r="AV22" s="22">
        <f>配方级描述符!AQ8</f>
        <v/>
      </c>
      <c r="AW22" s="22">
        <f>配方级描述符!AR8</f>
        <v/>
      </c>
      <c r="AX22" s="22">
        <f>配方级描述符!AS8</f>
        <v/>
      </c>
      <c r="AY22" s="22">
        <f>配方级描述符!AT8</f>
        <v/>
      </c>
      <c r="AZ22" s="22">
        <f>配方级描述符!AU8</f>
        <v/>
      </c>
    </row>
    <row r="23" ht="15" customHeight="1" s="15">
      <c r="A23" s="25" t="inlineStr">
        <is>
          <t>ORG-0003</t>
        </is>
      </c>
      <c r="B23" s="26" t="inlineStr">
        <is>
          <t>有机</t>
        </is>
      </c>
      <c r="C23" s="25">
        <f>IFERROR(INDEX(性能结果!$F:$F,MATCH(1,(性能结果!$A:$A=$A23)*(性能结果!$C:$C=$D23),0)),"")</f>
        <v/>
      </c>
      <c r="D23" s="25" t="inlineStr">
        <is>
          <t>T弯</t>
        </is>
      </c>
      <c r="E23" s="24">
        <f>IFERROR(INDEX(性能结果!$D:$D,MATCH(1,(性能结果!$A:$A=$A23)*(性能结果!$C:$C=$D23),0)),"")</f>
        <v/>
      </c>
      <c r="F23" s="25" t="n"/>
      <c r="G23" s="25" t="n"/>
      <c r="H23" s="25">
        <f>配方级描述符!C9</f>
        <v/>
      </c>
      <c r="I23" s="25">
        <f>配方级描述符!D9</f>
        <v/>
      </c>
      <c r="J23" s="25">
        <f>配方级描述符!E9</f>
        <v/>
      </c>
      <c r="K23" s="25">
        <f>配方级描述符!F9</f>
        <v/>
      </c>
      <c r="L23" s="25">
        <f>配方级描述符!G9</f>
        <v/>
      </c>
      <c r="M23" s="25">
        <f>配方级描述符!H9</f>
        <v/>
      </c>
      <c r="N23" s="25">
        <f>配方级描述符!I9</f>
        <v/>
      </c>
      <c r="O23" s="25">
        <f>配方级描述符!J9</f>
        <v/>
      </c>
      <c r="P23" s="25">
        <f>配方级描述符!K9</f>
        <v/>
      </c>
      <c r="Q23" s="25">
        <f>配方级描述符!L9</f>
        <v/>
      </c>
      <c r="R23" s="25">
        <f>配方级描述符!M9</f>
        <v/>
      </c>
      <c r="S23" s="25">
        <f>配方级描述符!N9</f>
        <v/>
      </c>
      <c r="T23" s="25">
        <f>配方级描述符!O9</f>
        <v/>
      </c>
      <c r="U23" s="25">
        <f>配方级描述符!P9</f>
        <v/>
      </c>
      <c r="V23" s="25">
        <f>配方级描述符!Q9</f>
        <v/>
      </c>
      <c r="W23" s="25">
        <f>配方级描述符!R9</f>
        <v/>
      </c>
      <c r="X23" s="25">
        <f>配方级描述符!S9</f>
        <v/>
      </c>
      <c r="Y23" s="25">
        <f>配方级描述符!T9</f>
        <v/>
      </c>
      <c r="Z23" s="25">
        <f>配方级描述符!U9</f>
        <v/>
      </c>
      <c r="AA23" s="25">
        <f>配方级描述符!V9</f>
        <v/>
      </c>
      <c r="AB23" s="25">
        <f>配方级描述符!W9</f>
        <v/>
      </c>
      <c r="AC23" s="25">
        <f>配方级描述符!X9</f>
        <v/>
      </c>
      <c r="AD23" s="25">
        <f>配方级描述符!Y9</f>
        <v/>
      </c>
      <c r="AE23" s="25">
        <f>配方级描述符!Z9</f>
        <v/>
      </c>
      <c r="AF23" s="25">
        <f>配方级描述符!AA9</f>
        <v/>
      </c>
      <c r="AG23" s="25">
        <f>配方级描述符!AB9</f>
        <v/>
      </c>
      <c r="AH23" s="25">
        <f>配方级描述符!AC9</f>
        <v/>
      </c>
      <c r="AI23" s="25">
        <f>配方级描述符!AD9</f>
        <v/>
      </c>
      <c r="AJ23" s="25">
        <f>配方级描述符!AE9</f>
        <v/>
      </c>
      <c r="AK23" s="25">
        <f>配方级描述符!AF9</f>
        <v/>
      </c>
      <c r="AL23" s="25">
        <f>配方级描述符!AG9</f>
        <v/>
      </c>
      <c r="AM23" s="25">
        <f>配方级描述符!AH9</f>
        <v/>
      </c>
      <c r="AN23" s="25">
        <f>配方级描述符!AI9</f>
        <v/>
      </c>
      <c r="AO23" s="25">
        <f>配方级描述符!AJ9</f>
        <v/>
      </c>
      <c r="AP23" s="25">
        <f>配方级描述符!AK9</f>
        <v/>
      </c>
      <c r="AQ23" s="25">
        <f>配方级描述符!AL9</f>
        <v/>
      </c>
      <c r="AR23" s="25">
        <f>配方级描述符!AM9</f>
        <v/>
      </c>
      <c r="AS23" s="25">
        <f>配方级描述符!AN9</f>
        <v/>
      </c>
      <c r="AT23" s="25">
        <f>配方级描述符!AO9</f>
        <v/>
      </c>
      <c r="AU23" s="25">
        <f>配方级描述符!AP9</f>
        <v/>
      </c>
      <c r="AV23" s="25">
        <f>配方级描述符!AQ9</f>
        <v/>
      </c>
      <c r="AW23" s="25">
        <f>配方级描述符!AR9</f>
        <v/>
      </c>
      <c r="AX23" s="25">
        <f>配方级描述符!AS9</f>
        <v/>
      </c>
      <c r="AY23" s="25">
        <f>配方级描述符!AT9</f>
        <v/>
      </c>
      <c r="AZ23" s="25">
        <f>配方级描述符!AU9</f>
        <v/>
      </c>
    </row>
    <row r="24" ht="15" customHeight="1" s="15">
      <c r="A24" s="22" t="inlineStr">
        <is>
          <t>ORG-0003</t>
        </is>
      </c>
      <c r="B24" s="23" t="inlineStr">
        <is>
          <t>有机</t>
        </is>
      </c>
      <c r="C24" s="22">
        <f>IFERROR(INDEX(性能结果!$F:$F,MATCH(1,(性能结果!$A:$A=$A24)*(性能结果!$C:$C=$D24),0)),"")</f>
        <v/>
      </c>
      <c r="D24" s="22" t="inlineStr">
        <is>
          <t>MEK擦拭</t>
        </is>
      </c>
      <c r="E24" s="24">
        <f>IFERROR(INDEX(性能结果!$D:$D,MATCH(1,(性能结果!$A:$A=$A24)*(性能结果!$C:$C=$D24),0)),"")</f>
        <v/>
      </c>
      <c r="F24" s="22" t="n"/>
      <c r="G24" s="22" t="n"/>
      <c r="H24" s="22">
        <f>配方级描述符!C9</f>
        <v/>
      </c>
      <c r="I24" s="22">
        <f>配方级描述符!D9</f>
        <v/>
      </c>
      <c r="J24" s="22">
        <f>配方级描述符!E9</f>
        <v/>
      </c>
      <c r="K24" s="22">
        <f>配方级描述符!F9</f>
        <v/>
      </c>
      <c r="L24" s="22">
        <f>配方级描述符!G9</f>
        <v/>
      </c>
      <c r="M24" s="22">
        <f>配方级描述符!H9</f>
        <v/>
      </c>
      <c r="N24" s="22">
        <f>配方级描述符!I9</f>
        <v/>
      </c>
      <c r="O24" s="22">
        <f>配方级描述符!J9</f>
        <v/>
      </c>
      <c r="P24" s="22">
        <f>配方级描述符!K9</f>
        <v/>
      </c>
      <c r="Q24" s="22">
        <f>配方级描述符!L9</f>
        <v/>
      </c>
      <c r="R24" s="22">
        <f>配方级描述符!M9</f>
        <v/>
      </c>
      <c r="S24" s="22">
        <f>配方级描述符!N9</f>
        <v/>
      </c>
      <c r="T24" s="22">
        <f>配方级描述符!O9</f>
        <v/>
      </c>
      <c r="U24" s="22">
        <f>配方级描述符!P9</f>
        <v/>
      </c>
      <c r="V24" s="22">
        <f>配方级描述符!Q9</f>
        <v/>
      </c>
      <c r="W24" s="22">
        <f>配方级描述符!R9</f>
        <v/>
      </c>
      <c r="X24" s="22">
        <f>配方级描述符!S9</f>
        <v/>
      </c>
      <c r="Y24" s="22">
        <f>配方级描述符!T9</f>
        <v/>
      </c>
      <c r="Z24" s="22">
        <f>配方级描述符!U9</f>
        <v/>
      </c>
      <c r="AA24" s="22">
        <f>配方级描述符!V9</f>
        <v/>
      </c>
      <c r="AB24" s="22">
        <f>配方级描述符!W9</f>
        <v/>
      </c>
      <c r="AC24" s="22">
        <f>配方级描述符!X9</f>
        <v/>
      </c>
      <c r="AD24" s="22">
        <f>配方级描述符!Y9</f>
        <v/>
      </c>
      <c r="AE24" s="22">
        <f>配方级描述符!Z9</f>
        <v/>
      </c>
      <c r="AF24" s="22">
        <f>配方级描述符!AA9</f>
        <v/>
      </c>
      <c r="AG24" s="22">
        <f>配方级描述符!AB9</f>
        <v/>
      </c>
      <c r="AH24" s="22">
        <f>配方级描述符!AC9</f>
        <v/>
      </c>
      <c r="AI24" s="22">
        <f>配方级描述符!AD9</f>
        <v/>
      </c>
      <c r="AJ24" s="22">
        <f>配方级描述符!AE9</f>
        <v/>
      </c>
      <c r="AK24" s="22">
        <f>配方级描述符!AF9</f>
        <v/>
      </c>
      <c r="AL24" s="22">
        <f>配方级描述符!AG9</f>
        <v/>
      </c>
      <c r="AM24" s="22">
        <f>配方级描述符!AH9</f>
        <v/>
      </c>
      <c r="AN24" s="22">
        <f>配方级描述符!AI9</f>
        <v/>
      </c>
      <c r="AO24" s="22">
        <f>配方级描述符!AJ9</f>
        <v/>
      </c>
      <c r="AP24" s="22">
        <f>配方级描述符!AK9</f>
        <v/>
      </c>
      <c r="AQ24" s="22">
        <f>配方级描述符!AL9</f>
        <v/>
      </c>
      <c r="AR24" s="22">
        <f>配方级描述符!AM9</f>
        <v/>
      </c>
      <c r="AS24" s="22">
        <f>配方级描述符!AN9</f>
        <v/>
      </c>
      <c r="AT24" s="22">
        <f>配方级描述符!AO9</f>
        <v/>
      </c>
      <c r="AU24" s="22">
        <f>配方级描述符!AP9</f>
        <v/>
      </c>
      <c r="AV24" s="22">
        <f>配方级描述符!AQ9</f>
        <v/>
      </c>
      <c r="AW24" s="22">
        <f>配方级描述符!AR9</f>
        <v/>
      </c>
      <c r="AX24" s="22">
        <f>配方级描述符!AS9</f>
        <v/>
      </c>
      <c r="AY24" s="22">
        <f>配方级描述符!AT9</f>
        <v/>
      </c>
      <c r="AZ24" s="22">
        <f>配方级描述符!AU9</f>
        <v/>
      </c>
    </row>
    <row r="25" ht="15" customHeight="1" s="15">
      <c r="A25" s="25" t="inlineStr">
        <is>
          <t>ORG-0003</t>
        </is>
      </c>
      <c r="B25" s="26" t="inlineStr">
        <is>
          <t>有机</t>
        </is>
      </c>
      <c r="C25" s="25">
        <f>IFERROR(INDEX(性能结果!$F:$F,MATCH(1,(性能结果!$A:$A=$A25)*(性能结果!$C:$C=$D25),0)),"")</f>
        <v/>
      </c>
      <c r="D25" s="26" t="inlineStr">
        <is>
          <t>水煮等级</t>
        </is>
      </c>
      <c r="E25" s="24">
        <f>IFERROR(INDEX(性能结果!$D:$D,MATCH(1,(性能结果!$A:$A=$A25)*(性能结果!$C:$C=$D25),0)),"")</f>
        <v/>
      </c>
      <c r="F25" s="25" t="n"/>
      <c r="G25" s="25" t="n"/>
      <c r="H25" s="25">
        <f>配方级描述符!C9</f>
        <v/>
      </c>
      <c r="I25" s="25">
        <f>配方级描述符!D9</f>
        <v/>
      </c>
      <c r="J25" s="25">
        <f>配方级描述符!E9</f>
        <v/>
      </c>
      <c r="K25" s="25">
        <f>配方级描述符!F9</f>
        <v/>
      </c>
      <c r="L25" s="25">
        <f>配方级描述符!G9</f>
        <v/>
      </c>
      <c r="M25" s="25">
        <f>配方级描述符!H9</f>
        <v/>
      </c>
      <c r="N25" s="25">
        <f>配方级描述符!I9</f>
        <v/>
      </c>
      <c r="O25" s="25">
        <f>配方级描述符!J9</f>
        <v/>
      </c>
      <c r="P25" s="25">
        <f>配方级描述符!K9</f>
        <v/>
      </c>
      <c r="Q25" s="25">
        <f>配方级描述符!L9</f>
        <v/>
      </c>
      <c r="R25" s="25">
        <f>配方级描述符!M9</f>
        <v/>
      </c>
      <c r="S25" s="25">
        <f>配方级描述符!N9</f>
        <v/>
      </c>
      <c r="T25" s="25">
        <f>配方级描述符!O9</f>
        <v/>
      </c>
      <c r="U25" s="25">
        <f>配方级描述符!P9</f>
        <v/>
      </c>
      <c r="V25" s="25">
        <f>配方级描述符!Q9</f>
        <v/>
      </c>
      <c r="W25" s="25">
        <f>配方级描述符!R9</f>
        <v/>
      </c>
      <c r="X25" s="25">
        <f>配方级描述符!S9</f>
        <v/>
      </c>
      <c r="Y25" s="25">
        <f>配方级描述符!T9</f>
        <v/>
      </c>
      <c r="Z25" s="25">
        <f>配方级描述符!U9</f>
        <v/>
      </c>
      <c r="AA25" s="25">
        <f>配方级描述符!V9</f>
        <v/>
      </c>
      <c r="AB25" s="25">
        <f>配方级描述符!W9</f>
        <v/>
      </c>
      <c r="AC25" s="25">
        <f>配方级描述符!X9</f>
        <v/>
      </c>
      <c r="AD25" s="25">
        <f>配方级描述符!Y9</f>
        <v/>
      </c>
      <c r="AE25" s="25">
        <f>配方级描述符!Z9</f>
        <v/>
      </c>
      <c r="AF25" s="25">
        <f>配方级描述符!AA9</f>
        <v/>
      </c>
      <c r="AG25" s="25">
        <f>配方级描述符!AB9</f>
        <v/>
      </c>
      <c r="AH25" s="25">
        <f>配方级描述符!AC9</f>
        <v/>
      </c>
      <c r="AI25" s="25">
        <f>配方级描述符!AD9</f>
        <v/>
      </c>
      <c r="AJ25" s="25">
        <f>配方级描述符!AE9</f>
        <v/>
      </c>
      <c r="AK25" s="25">
        <f>配方级描述符!AF9</f>
        <v/>
      </c>
      <c r="AL25" s="25">
        <f>配方级描述符!AG9</f>
        <v/>
      </c>
      <c r="AM25" s="25">
        <f>配方级描述符!AH9</f>
        <v/>
      </c>
      <c r="AN25" s="25">
        <f>配方级描述符!AI9</f>
        <v/>
      </c>
      <c r="AO25" s="25">
        <f>配方级描述符!AJ9</f>
        <v/>
      </c>
      <c r="AP25" s="25">
        <f>配方级描述符!AK9</f>
        <v/>
      </c>
      <c r="AQ25" s="25">
        <f>配方级描述符!AL9</f>
        <v/>
      </c>
      <c r="AR25" s="25">
        <f>配方级描述符!AM9</f>
        <v/>
      </c>
      <c r="AS25" s="25">
        <f>配方级描述符!AN9</f>
        <v/>
      </c>
      <c r="AT25" s="25">
        <f>配方级描述符!AO9</f>
        <v/>
      </c>
      <c r="AU25" s="25">
        <f>配方级描述符!AP9</f>
        <v/>
      </c>
      <c r="AV25" s="25">
        <f>配方级描述符!AQ9</f>
        <v/>
      </c>
      <c r="AW25" s="25">
        <f>配方级描述符!AR9</f>
        <v/>
      </c>
      <c r="AX25" s="25">
        <f>配方级描述符!AS9</f>
        <v/>
      </c>
      <c r="AY25" s="25">
        <f>配方级描述符!AT9</f>
        <v/>
      </c>
      <c r="AZ25" s="25">
        <f>配方级描述符!AU9</f>
        <v/>
      </c>
    </row>
    <row r="26" ht="15" customHeight="1" s="15">
      <c r="A26" s="22" t="inlineStr">
        <is>
          <t>PES-0001</t>
        </is>
      </c>
      <c r="B26" s="23" t="inlineStr">
        <is>
          <t>聚酯</t>
        </is>
      </c>
      <c r="C26" s="22">
        <f>IFERROR(INDEX(性能结果!$F:$F,MATCH(1,(性能结果!$A:$A=$A26)*(性能结果!$C:$C=$D26),0)),"")</f>
        <v/>
      </c>
      <c r="D26" s="22" t="inlineStr">
        <is>
          <t>T弯</t>
        </is>
      </c>
      <c r="E26" s="24">
        <f>IFERROR(INDEX(性能结果!$D:$D,MATCH(1,(性能结果!$A:$A=$A26)*(性能结果!$C:$C=$D26),0)),"")</f>
        <v/>
      </c>
      <c r="F26" s="22" t="n"/>
      <c r="G26" s="22" t="n"/>
      <c r="H26" s="22">
        <f>配方级描述符!C10</f>
        <v/>
      </c>
      <c r="I26" s="22">
        <f>配方级描述符!D10</f>
        <v/>
      </c>
      <c r="J26" s="22">
        <f>配方级描述符!E10</f>
        <v/>
      </c>
      <c r="K26" s="22">
        <f>配方级描述符!F10</f>
        <v/>
      </c>
      <c r="L26" s="22">
        <f>配方级描述符!G10</f>
        <v/>
      </c>
      <c r="M26" s="22">
        <f>配方级描述符!H10</f>
        <v/>
      </c>
      <c r="N26" s="22">
        <f>配方级描述符!I10</f>
        <v/>
      </c>
      <c r="O26" s="22">
        <f>配方级描述符!J10</f>
        <v/>
      </c>
      <c r="P26" s="22">
        <f>配方级描述符!K10</f>
        <v/>
      </c>
      <c r="Q26" s="22">
        <f>配方级描述符!L10</f>
        <v/>
      </c>
      <c r="R26" s="22">
        <f>配方级描述符!M10</f>
        <v/>
      </c>
      <c r="S26" s="22">
        <f>配方级描述符!N10</f>
        <v/>
      </c>
      <c r="T26" s="22">
        <f>配方级描述符!O10</f>
        <v/>
      </c>
      <c r="U26" s="22">
        <f>配方级描述符!P10</f>
        <v/>
      </c>
      <c r="V26" s="22">
        <f>配方级描述符!Q10</f>
        <v/>
      </c>
      <c r="W26" s="22">
        <f>配方级描述符!R10</f>
        <v/>
      </c>
      <c r="X26" s="22">
        <f>配方级描述符!S10</f>
        <v/>
      </c>
      <c r="Y26" s="22">
        <f>配方级描述符!T10</f>
        <v/>
      </c>
      <c r="Z26" s="22">
        <f>配方级描述符!U10</f>
        <v/>
      </c>
      <c r="AA26" s="22">
        <f>配方级描述符!V10</f>
        <v/>
      </c>
      <c r="AB26" s="22">
        <f>配方级描述符!W10</f>
        <v/>
      </c>
      <c r="AC26" s="22">
        <f>配方级描述符!X10</f>
        <v/>
      </c>
      <c r="AD26" s="22">
        <f>配方级描述符!Y10</f>
        <v/>
      </c>
      <c r="AE26" s="22">
        <f>配方级描述符!Z10</f>
        <v/>
      </c>
      <c r="AF26" s="22">
        <f>配方级描述符!AA10</f>
        <v/>
      </c>
      <c r="AG26" s="22">
        <f>配方级描述符!AB10</f>
        <v/>
      </c>
      <c r="AH26" s="22">
        <f>配方级描述符!AC10</f>
        <v/>
      </c>
      <c r="AI26" s="22">
        <f>配方级描述符!AD10</f>
        <v/>
      </c>
      <c r="AJ26" s="22">
        <f>配方级描述符!AE10</f>
        <v/>
      </c>
      <c r="AK26" s="22">
        <f>配方级描述符!AF10</f>
        <v/>
      </c>
      <c r="AL26" s="22">
        <f>配方级描述符!AG10</f>
        <v/>
      </c>
      <c r="AM26" s="22">
        <f>配方级描述符!AH10</f>
        <v/>
      </c>
      <c r="AN26" s="22">
        <f>配方级描述符!AI10</f>
        <v/>
      </c>
      <c r="AO26" s="22">
        <f>配方级描述符!AJ10</f>
        <v/>
      </c>
      <c r="AP26" s="22">
        <f>配方级描述符!AK10</f>
        <v/>
      </c>
      <c r="AQ26" s="22">
        <f>配方级描述符!AL10</f>
        <v/>
      </c>
      <c r="AR26" s="22">
        <f>配方级描述符!AM10</f>
        <v/>
      </c>
      <c r="AS26" s="22">
        <f>配方级描述符!AN10</f>
        <v/>
      </c>
      <c r="AT26" s="22">
        <f>配方级描述符!AO10</f>
        <v/>
      </c>
      <c r="AU26" s="22">
        <f>配方级描述符!AP10</f>
        <v/>
      </c>
      <c r="AV26" s="22">
        <f>配方级描述符!AQ10</f>
        <v/>
      </c>
      <c r="AW26" s="22">
        <f>配方级描述符!AR10</f>
        <v/>
      </c>
      <c r="AX26" s="22">
        <f>配方级描述符!AS10</f>
        <v/>
      </c>
      <c r="AY26" s="22">
        <f>配方级描述符!AT10</f>
        <v/>
      </c>
      <c r="AZ26" s="22">
        <f>配方级描述符!AU10</f>
        <v/>
      </c>
    </row>
    <row r="27" ht="15" customHeight="1" s="15">
      <c r="A27" s="25" t="inlineStr">
        <is>
          <t>PES-0001</t>
        </is>
      </c>
      <c r="B27" s="26" t="inlineStr">
        <is>
          <t>聚酯</t>
        </is>
      </c>
      <c r="C27" s="25">
        <f>IFERROR(INDEX(性能结果!$F:$F,MATCH(1,(性能结果!$A:$A=$A27)*(性能结果!$C:$C=$D27),0)),"")</f>
        <v/>
      </c>
      <c r="D27" s="25" t="inlineStr">
        <is>
          <t>MEK擦拭</t>
        </is>
      </c>
      <c r="E27" s="24">
        <f>IFERROR(INDEX(性能结果!$D:$D,MATCH(1,(性能结果!$A:$A=$A27)*(性能结果!$C:$C=$D27),0)),"")</f>
        <v/>
      </c>
      <c r="F27" s="25" t="n"/>
      <c r="G27" s="25" t="n"/>
      <c r="H27" s="25">
        <f>配方级描述符!C10</f>
        <v/>
      </c>
      <c r="I27" s="25">
        <f>配方级描述符!D10</f>
        <v/>
      </c>
      <c r="J27" s="25">
        <f>配方级描述符!E10</f>
        <v/>
      </c>
      <c r="K27" s="25">
        <f>配方级描述符!F10</f>
        <v/>
      </c>
      <c r="L27" s="25">
        <f>配方级描述符!G10</f>
        <v/>
      </c>
      <c r="M27" s="25">
        <f>配方级描述符!H10</f>
        <v/>
      </c>
      <c r="N27" s="25">
        <f>配方级描述符!I10</f>
        <v/>
      </c>
      <c r="O27" s="25">
        <f>配方级描述符!J10</f>
        <v/>
      </c>
      <c r="P27" s="25">
        <f>配方级描述符!K10</f>
        <v/>
      </c>
      <c r="Q27" s="25">
        <f>配方级描述符!L10</f>
        <v/>
      </c>
      <c r="R27" s="25">
        <f>配方级描述符!M10</f>
        <v/>
      </c>
      <c r="S27" s="25">
        <f>配方级描述符!N10</f>
        <v/>
      </c>
      <c r="T27" s="25">
        <f>配方级描述符!O10</f>
        <v/>
      </c>
      <c r="U27" s="25">
        <f>配方级描述符!P10</f>
        <v/>
      </c>
      <c r="V27" s="25">
        <f>配方级描述符!Q10</f>
        <v/>
      </c>
      <c r="W27" s="25">
        <f>配方级描述符!R10</f>
        <v/>
      </c>
      <c r="X27" s="25">
        <f>配方级描述符!S10</f>
        <v/>
      </c>
      <c r="Y27" s="25">
        <f>配方级描述符!T10</f>
        <v/>
      </c>
      <c r="Z27" s="25">
        <f>配方级描述符!U10</f>
        <v/>
      </c>
      <c r="AA27" s="25">
        <f>配方级描述符!V10</f>
        <v/>
      </c>
      <c r="AB27" s="25">
        <f>配方级描述符!W10</f>
        <v/>
      </c>
      <c r="AC27" s="25">
        <f>配方级描述符!X10</f>
        <v/>
      </c>
      <c r="AD27" s="25">
        <f>配方级描述符!Y10</f>
        <v/>
      </c>
      <c r="AE27" s="25">
        <f>配方级描述符!Z10</f>
        <v/>
      </c>
      <c r="AF27" s="25">
        <f>配方级描述符!AA10</f>
        <v/>
      </c>
      <c r="AG27" s="25">
        <f>配方级描述符!AB10</f>
        <v/>
      </c>
      <c r="AH27" s="25">
        <f>配方级描述符!AC10</f>
        <v/>
      </c>
      <c r="AI27" s="25">
        <f>配方级描述符!AD10</f>
        <v/>
      </c>
      <c r="AJ27" s="25">
        <f>配方级描述符!AE10</f>
        <v/>
      </c>
      <c r="AK27" s="25">
        <f>配方级描述符!AF10</f>
        <v/>
      </c>
      <c r="AL27" s="25">
        <f>配方级描述符!AG10</f>
        <v/>
      </c>
      <c r="AM27" s="25">
        <f>配方级描述符!AH10</f>
        <v/>
      </c>
      <c r="AN27" s="25">
        <f>配方级描述符!AI10</f>
        <v/>
      </c>
      <c r="AO27" s="25">
        <f>配方级描述符!AJ10</f>
        <v/>
      </c>
      <c r="AP27" s="25">
        <f>配方级描述符!AK10</f>
        <v/>
      </c>
      <c r="AQ27" s="25">
        <f>配方级描述符!AL10</f>
        <v/>
      </c>
      <c r="AR27" s="25">
        <f>配方级描述符!AM10</f>
        <v/>
      </c>
      <c r="AS27" s="25">
        <f>配方级描述符!AN10</f>
        <v/>
      </c>
      <c r="AT27" s="25">
        <f>配方级描述符!AO10</f>
        <v/>
      </c>
      <c r="AU27" s="25">
        <f>配方级描述符!AP10</f>
        <v/>
      </c>
      <c r="AV27" s="25">
        <f>配方级描述符!AQ10</f>
        <v/>
      </c>
      <c r="AW27" s="25">
        <f>配方级描述符!AR10</f>
        <v/>
      </c>
      <c r="AX27" s="25">
        <f>配方级描述符!AS10</f>
        <v/>
      </c>
      <c r="AY27" s="25">
        <f>配方级描述符!AT10</f>
        <v/>
      </c>
      <c r="AZ27" s="25">
        <f>配方级描述符!AU10</f>
        <v/>
      </c>
    </row>
    <row r="28" ht="15" customHeight="1" s="15">
      <c r="A28" s="22" t="inlineStr">
        <is>
          <t>PES-0001</t>
        </is>
      </c>
      <c r="B28" s="23" t="inlineStr">
        <is>
          <t>聚酯</t>
        </is>
      </c>
      <c r="C28" s="22">
        <f>IFERROR(INDEX(性能结果!$F:$F,MATCH(1,(性能结果!$A:$A=$A28)*(性能结果!$C:$C=$D28),0)),"")</f>
        <v/>
      </c>
      <c r="D28" s="23" t="inlineStr">
        <is>
          <t>水煮等级</t>
        </is>
      </c>
      <c r="E28" s="24">
        <f>IFERROR(INDEX(性能结果!$D:$D,MATCH(1,(性能结果!$A:$A=$A28)*(性能结果!$C:$C=$D28),0)),"")</f>
        <v/>
      </c>
      <c r="F28" s="22" t="n"/>
      <c r="G28" s="22" t="n"/>
      <c r="H28" s="22">
        <f>配方级描述符!C10</f>
        <v/>
      </c>
      <c r="I28" s="22">
        <f>配方级描述符!D10</f>
        <v/>
      </c>
      <c r="J28" s="22">
        <f>配方级描述符!E10</f>
        <v/>
      </c>
      <c r="K28" s="22">
        <f>配方级描述符!F10</f>
        <v/>
      </c>
      <c r="L28" s="22">
        <f>配方级描述符!G10</f>
        <v/>
      </c>
      <c r="M28" s="22">
        <f>配方级描述符!H10</f>
        <v/>
      </c>
      <c r="N28" s="22">
        <f>配方级描述符!I10</f>
        <v/>
      </c>
      <c r="O28" s="22">
        <f>配方级描述符!J10</f>
        <v/>
      </c>
      <c r="P28" s="22">
        <f>配方级描述符!K10</f>
        <v/>
      </c>
      <c r="Q28" s="22">
        <f>配方级描述符!L10</f>
        <v/>
      </c>
      <c r="R28" s="22">
        <f>配方级描述符!M10</f>
        <v/>
      </c>
      <c r="S28" s="22">
        <f>配方级描述符!N10</f>
        <v/>
      </c>
      <c r="T28" s="22">
        <f>配方级描述符!O10</f>
        <v/>
      </c>
      <c r="U28" s="22">
        <f>配方级描述符!P10</f>
        <v/>
      </c>
      <c r="V28" s="22">
        <f>配方级描述符!Q10</f>
        <v/>
      </c>
      <c r="W28" s="22">
        <f>配方级描述符!R10</f>
        <v/>
      </c>
      <c r="X28" s="22">
        <f>配方级描述符!S10</f>
        <v/>
      </c>
      <c r="Y28" s="22">
        <f>配方级描述符!T10</f>
        <v/>
      </c>
      <c r="Z28" s="22">
        <f>配方级描述符!U10</f>
        <v/>
      </c>
      <c r="AA28" s="22">
        <f>配方级描述符!V10</f>
        <v/>
      </c>
      <c r="AB28" s="22">
        <f>配方级描述符!W10</f>
        <v/>
      </c>
      <c r="AC28" s="22">
        <f>配方级描述符!X10</f>
        <v/>
      </c>
      <c r="AD28" s="22">
        <f>配方级描述符!Y10</f>
        <v/>
      </c>
      <c r="AE28" s="22">
        <f>配方级描述符!Z10</f>
        <v/>
      </c>
      <c r="AF28" s="22">
        <f>配方级描述符!AA10</f>
        <v/>
      </c>
      <c r="AG28" s="22">
        <f>配方级描述符!AB10</f>
        <v/>
      </c>
      <c r="AH28" s="22">
        <f>配方级描述符!AC10</f>
        <v/>
      </c>
      <c r="AI28" s="22">
        <f>配方级描述符!AD10</f>
        <v/>
      </c>
      <c r="AJ28" s="22">
        <f>配方级描述符!AE10</f>
        <v/>
      </c>
      <c r="AK28" s="22">
        <f>配方级描述符!AF10</f>
        <v/>
      </c>
      <c r="AL28" s="22">
        <f>配方级描述符!AG10</f>
        <v/>
      </c>
      <c r="AM28" s="22">
        <f>配方级描述符!AH10</f>
        <v/>
      </c>
      <c r="AN28" s="22">
        <f>配方级描述符!AI10</f>
        <v/>
      </c>
      <c r="AO28" s="22">
        <f>配方级描述符!AJ10</f>
        <v/>
      </c>
      <c r="AP28" s="22">
        <f>配方级描述符!AK10</f>
        <v/>
      </c>
      <c r="AQ28" s="22">
        <f>配方级描述符!AL10</f>
        <v/>
      </c>
      <c r="AR28" s="22">
        <f>配方级描述符!AM10</f>
        <v/>
      </c>
      <c r="AS28" s="22">
        <f>配方级描述符!AN10</f>
        <v/>
      </c>
      <c r="AT28" s="22">
        <f>配方级描述符!AO10</f>
        <v/>
      </c>
      <c r="AU28" s="22">
        <f>配方级描述符!AP10</f>
        <v/>
      </c>
      <c r="AV28" s="22">
        <f>配方级描述符!AQ10</f>
        <v/>
      </c>
      <c r="AW28" s="22">
        <f>配方级描述符!AR10</f>
        <v/>
      </c>
      <c r="AX28" s="22">
        <f>配方级描述符!AS10</f>
        <v/>
      </c>
      <c r="AY28" s="22">
        <f>配方级描述符!AT10</f>
        <v/>
      </c>
      <c r="AZ28" s="22">
        <f>配方级描述符!AU10</f>
        <v/>
      </c>
    </row>
    <row r="29" ht="15" customHeight="1" s="15">
      <c r="A29" s="25" t="inlineStr">
        <is>
          <t>PES-0002</t>
        </is>
      </c>
      <c r="B29" s="26" t="inlineStr">
        <is>
          <t>聚酯</t>
        </is>
      </c>
      <c r="C29" s="25">
        <f>IFERROR(INDEX(性能结果!$F:$F,MATCH(1,(性能结果!$A:$A=$A29)*(性能结果!$C:$C=$D29),0)),"")</f>
        <v/>
      </c>
      <c r="D29" s="25" t="inlineStr">
        <is>
          <t>T弯</t>
        </is>
      </c>
      <c r="E29" s="24">
        <f>IFERROR(INDEX(性能结果!$D:$D,MATCH(1,(性能结果!$A:$A=$A29)*(性能结果!$C:$C=$D29),0)),"")</f>
        <v/>
      </c>
      <c r="F29" s="25" t="n"/>
      <c r="G29" s="25" t="n"/>
      <c r="H29" s="25">
        <f>配方级描述符!C11</f>
        <v/>
      </c>
      <c r="I29" s="25">
        <f>配方级描述符!D11</f>
        <v/>
      </c>
      <c r="J29" s="25">
        <f>配方级描述符!E11</f>
        <v/>
      </c>
      <c r="K29" s="25">
        <f>配方级描述符!F11</f>
        <v/>
      </c>
      <c r="L29" s="25">
        <f>配方级描述符!G11</f>
        <v/>
      </c>
      <c r="M29" s="25">
        <f>配方级描述符!H11</f>
        <v/>
      </c>
      <c r="N29" s="25">
        <f>配方级描述符!I11</f>
        <v/>
      </c>
      <c r="O29" s="25">
        <f>配方级描述符!J11</f>
        <v/>
      </c>
      <c r="P29" s="25">
        <f>配方级描述符!K11</f>
        <v/>
      </c>
      <c r="Q29" s="25">
        <f>配方级描述符!L11</f>
        <v/>
      </c>
      <c r="R29" s="25">
        <f>配方级描述符!M11</f>
        <v/>
      </c>
      <c r="S29" s="25">
        <f>配方级描述符!N11</f>
        <v/>
      </c>
      <c r="T29" s="25">
        <f>配方级描述符!O11</f>
        <v/>
      </c>
      <c r="U29" s="25">
        <f>配方级描述符!P11</f>
        <v/>
      </c>
      <c r="V29" s="25">
        <f>配方级描述符!Q11</f>
        <v/>
      </c>
      <c r="W29" s="25">
        <f>配方级描述符!R11</f>
        <v/>
      </c>
      <c r="X29" s="25">
        <f>配方级描述符!S11</f>
        <v/>
      </c>
      <c r="Y29" s="25">
        <f>配方级描述符!T11</f>
        <v/>
      </c>
      <c r="Z29" s="25">
        <f>配方级描述符!U11</f>
        <v/>
      </c>
      <c r="AA29" s="25">
        <f>配方级描述符!V11</f>
        <v/>
      </c>
      <c r="AB29" s="25">
        <f>配方级描述符!W11</f>
        <v/>
      </c>
      <c r="AC29" s="25">
        <f>配方级描述符!X11</f>
        <v/>
      </c>
      <c r="AD29" s="25">
        <f>配方级描述符!Y11</f>
        <v/>
      </c>
      <c r="AE29" s="25">
        <f>配方级描述符!Z11</f>
        <v/>
      </c>
      <c r="AF29" s="25">
        <f>配方级描述符!AA11</f>
        <v/>
      </c>
      <c r="AG29" s="25">
        <f>配方级描述符!AB11</f>
        <v/>
      </c>
      <c r="AH29" s="25">
        <f>配方级描述符!AC11</f>
        <v/>
      </c>
      <c r="AI29" s="25">
        <f>配方级描述符!AD11</f>
        <v/>
      </c>
      <c r="AJ29" s="25">
        <f>配方级描述符!AE11</f>
        <v/>
      </c>
      <c r="AK29" s="25">
        <f>配方级描述符!AF11</f>
        <v/>
      </c>
      <c r="AL29" s="25">
        <f>配方级描述符!AG11</f>
        <v/>
      </c>
      <c r="AM29" s="25">
        <f>配方级描述符!AH11</f>
        <v/>
      </c>
      <c r="AN29" s="25">
        <f>配方级描述符!AI11</f>
        <v/>
      </c>
      <c r="AO29" s="25">
        <f>配方级描述符!AJ11</f>
        <v/>
      </c>
      <c r="AP29" s="25">
        <f>配方级描述符!AK11</f>
        <v/>
      </c>
      <c r="AQ29" s="25">
        <f>配方级描述符!AL11</f>
        <v/>
      </c>
      <c r="AR29" s="25">
        <f>配方级描述符!AM11</f>
        <v/>
      </c>
      <c r="AS29" s="25">
        <f>配方级描述符!AN11</f>
        <v/>
      </c>
      <c r="AT29" s="25">
        <f>配方级描述符!AO11</f>
        <v/>
      </c>
      <c r="AU29" s="25">
        <f>配方级描述符!AP11</f>
        <v/>
      </c>
      <c r="AV29" s="25">
        <f>配方级描述符!AQ11</f>
        <v/>
      </c>
      <c r="AW29" s="25">
        <f>配方级描述符!AR11</f>
        <v/>
      </c>
      <c r="AX29" s="25">
        <f>配方级描述符!AS11</f>
        <v/>
      </c>
      <c r="AY29" s="25">
        <f>配方级描述符!AT11</f>
        <v/>
      </c>
      <c r="AZ29" s="25">
        <f>配方级描述符!AU11</f>
        <v/>
      </c>
    </row>
    <row r="30" ht="15" customHeight="1" s="15">
      <c r="A30" s="22" t="inlineStr">
        <is>
          <t>PES-0002</t>
        </is>
      </c>
      <c r="B30" s="23" t="inlineStr">
        <is>
          <t>聚酯</t>
        </is>
      </c>
      <c r="C30" s="22">
        <f>IFERROR(INDEX(性能结果!$F:$F,MATCH(1,(性能结果!$A:$A=$A30)*(性能结果!$C:$C=$D30),0)),"")</f>
        <v/>
      </c>
      <c r="D30" s="22" t="inlineStr">
        <is>
          <t>MEK擦拭</t>
        </is>
      </c>
      <c r="E30" s="24">
        <f>IFERROR(INDEX(性能结果!$D:$D,MATCH(1,(性能结果!$A:$A=$A30)*(性能结果!$C:$C=$D30),0)),"")</f>
        <v/>
      </c>
      <c r="F30" s="22" t="n"/>
      <c r="G30" s="22" t="n"/>
      <c r="H30" s="22">
        <f>配方级描述符!C11</f>
        <v/>
      </c>
      <c r="I30" s="22">
        <f>配方级描述符!D11</f>
        <v/>
      </c>
      <c r="J30" s="22">
        <f>配方级描述符!E11</f>
        <v/>
      </c>
      <c r="K30" s="22">
        <f>配方级描述符!F11</f>
        <v/>
      </c>
      <c r="L30" s="22">
        <f>配方级描述符!G11</f>
        <v/>
      </c>
      <c r="M30" s="22">
        <f>配方级描述符!H11</f>
        <v/>
      </c>
      <c r="N30" s="22">
        <f>配方级描述符!I11</f>
        <v/>
      </c>
      <c r="O30" s="22">
        <f>配方级描述符!J11</f>
        <v/>
      </c>
      <c r="P30" s="22">
        <f>配方级描述符!K11</f>
        <v/>
      </c>
      <c r="Q30" s="22">
        <f>配方级描述符!L11</f>
        <v/>
      </c>
      <c r="R30" s="22">
        <f>配方级描述符!M11</f>
        <v/>
      </c>
      <c r="S30" s="22">
        <f>配方级描述符!N11</f>
        <v/>
      </c>
      <c r="T30" s="22">
        <f>配方级描述符!O11</f>
        <v/>
      </c>
      <c r="U30" s="22">
        <f>配方级描述符!P11</f>
        <v/>
      </c>
      <c r="V30" s="22">
        <f>配方级描述符!Q11</f>
        <v/>
      </c>
      <c r="W30" s="22">
        <f>配方级描述符!R11</f>
        <v/>
      </c>
      <c r="X30" s="22">
        <f>配方级描述符!S11</f>
        <v/>
      </c>
      <c r="Y30" s="22">
        <f>配方级描述符!T11</f>
        <v/>
      </c>
      <c r="Z30" s="22">
        <f>配方级描述符!U11</f>
        <v/>
      </c>
      <c r="AA30" s="22">
        <f>配方级描述符!V11</f>
        <v/>
      </c>
      <c r="AB30" s="22">
        <f>配方级描述符!W11</f>
        <v/>
      </c>
      <c r="AC30" s="22">
        <f>配方级描述符!X11</f>
        <v/>
      </c>
      <c r="AD30" s="22">
        <f>配方级描述符!Y11</f>
        <v/>
      </c>
      <c r="AE30" s="22">
        <f>配方级描述符!Z11</f>
        <v/>
      </c>
      <c r="AF30" s="22">
        <f>配方级描述符!AA11</f>
        <v/>
      </c>
      <c r="AG30" s="22">
        <f>配方级描述符!AB11</f>
        <v/>
      </c>
      <c r="AH30" s="22">
        <f>配方级描述符!AC11</f>
        <v/>
      </c>
      <c r="AI30" s="22">
        <f>配方级描述符!AD11</f>
        <v/>
      </c>
      <c r="AJ30" s="22">
        <f>配方级描述符!AE11</f>
        <v/>
      </c>
      <c r="AK30" s="22">
        <f>配方级描述符!AF11</f>
        <v/>
      </c>
      <c r="AL30" s="22">
        <f>配方级描述符!AG11</f>
        <v/>
      </c>
      <c r="AM30" s="22">
        <f>配方级描述符!AH11</f>
        <v/>
      </c>
      <c r="AN30" s="22">
        <f>配方级描述符!AI11</f>
        <v/>
      </c>
      <c r="AO30" s="22">
        <f>配方级描述符!AJ11</f>
        <v/>
      </c>
      <c r="AP30" s="22">
        <f>配方级描述符!AK11</f>
        <v/>
      </c>
      <c r="AQ30" s="22">
        <f>配方级描述符!AL11</f>
        <v/>
      </c>
      <c r="AR30" s="22">
        <f>配方级描述符!AM11</f>
        <v/>
      </c>
      <c r="AS30" s="22">
        <f>配方级描述符!AN11</f>
        <v/>
      </c>
      <c r="AT30" s="22">
        <f>配方级描述符!AO11</f>
        <v/>
      </c>
      <c r="AU30" s="22">
        <f>配方级描述符!AP11</f>
        <v/>
      </c>
      <c r="AV30" s="22">
        <f>配方级描述符!AQ11</f>
        <v/>
      </c>
      <c r="AW30" s="22">
        <f>配方级描述符!AR11</f>
        <v/>
      </c>
      <c r="AX30" s="22">
        <f>配方级描述符!AS11</f>
        <v/>
      </c>
      <c r="AY30" s="22">
        <f>配方级描述符!AT11</f>
        <v/>
      </c>
      <c r="AZ30" s="22">
        <f>配方级描述符!AU11</f>
        <v/>
      </c>
    </row>
    <row r="31" ht="15" customHeight="1" s="15">
      <c r="A31" s="25" t="inlineStr">
        <is>
          <t>PES-0002</t>
        </is>
      </c>
      <c r="B31" s="26" t="inlineStr">
        <is>
          <t>聚酯</t>
        </is>
      </c>
      <c r="C31" s="25">
        <f>IFERROR(INDEX(性能结果!$F:$F,MATCH(1,(性能结果!$A:$A=$A31)*(性能结果!$C:$C=$D31),0)),"")</f>
        <v/>
      </c>
      <c r="D31" s="26" t="inlineStr">
        <is>
          <t>水煮等级</t>
        </is>
      </c>
      <c r="E31" s="24">
        <f>IFERROR(INDEX(性能结果!$D:$D,MATCH(1,(性能结果!$A:$A=$A31)*(性能结果!$C:$C=$D31),0)),"")</f>
        <v/>
      </c>
      <c r="F31" s="25" t="n"/>
      <c r="G31" s="25" t="n"/>
      <c r="H31" s="25">
        <f>配方级描述符!C11</f>
        <v/>
      </c>
      <c r="I31" s="25">
        <f>配方级描述符!D11</f>
        <v/>
      </c>
      <c r="J31" s="25">
        <f>配方级描述符!E11</f>
        <v/>
      </c>
      <c r="K31" s="25">
        <f>配方级描述符!F11</f>
        <v/>
      </c>
      <c r="L31" s="25">
        <f>配方级描述符!G11</f>
        <v/>
      </c>
      <c r="M31" s="25">
        <f>配方级描述符!H11</f>
        <v/>
      </c>
      <c r="N31" s="25">
        <f>配方级描述符!I11</f>
        <v/>
      </c>
      <c r="O31" s="25">
        <f>配方级描述符!J11</f>
        <v/>
      </c>
      <c r="P31" s="25">
        <f>配方级描述符!K11</f>
        <v/>
      </c>
      <c r="Q31" s="25">
        <f>配方级描述符!L11</f>
        <v/>
      </c>
      <c r="R31" s="25">
        <f>配方级描述符!M11</f>
        <v/>
      </c>
      <c r="S31" s="25">
        <f>配方级描述符!N11</f>
        <v/>
      </c>
      <c r="T31" s="25">
        <f>配方级描述符!O11</f>
        <v/>
      </c>
      <c r="U31" s="25">
        <f>配方级描述符!P11</f>
        <v/>
      </c>
      <c r="V31" s="25">
        <f>配方级描述符!Q11</f>
        <v/>
      </c>
      <c r="W31" s="25">
        <f>配方级描述符!R11</f>
        <v/>
      </c>
      <c r="X31" s="25">
        <f>配方级描述符!S11</f>
        <v/>
      </c>
      <c r="Y31" s="25">
        <f>配方级描述符!T11</f>
        <v/>
      </c>
      <c r="Z31" s="25">
        <f>配方级描述符!U11</f>
        <v/>
      </c>
      <c r="AA31" s="25">
        <f>配方级描述符!V11</f>
        <v/>
      </c>
      <c r="AB31" s="25">
        <f>配方级描述符!W11</f>
        <v/>
      </c>
      <c r="AC31" s="25">
        <f>配方级描述符!X11</f>
        <v/>
      </c>
      <c r="AD31" s="25">
        <f>配方级描述符!Y11</f>
        <v/>
      </c>
      <c r="AE31" s="25">
        <f>配方级描述符!Z11</f>
        <v/>
      </c>
      <c r="AF31" s="25">
        <f>配方级描述符!AA11</f>
        <v/>
      </c>
      <c r="AG31" s="25">
        <f>配方级描述符!AB11</f>
        <v/>
      </c>
      <c r="AH31" s="25">
        <f>配方级描述符!AC11</f>
        <v/>
      </c>
      <c r="AI31" s="25">
        <f>配方级描述符!AD11</f>
        <v/>
      </c>
      <c r="AJ31" s="25">
        <f>配方级描述符!AE11</f>
        <v/>
      </c>
      <c r="AK31" s="25">
        <f>配方级描述符!AF11</f>
        <v/>
      </c>
      <c r="AL31" s="25">
        <f>配方级描述符!AG11</f>
        <v/>
      </c>
      <c r="AM31" s="25">
        <f>配方级描述符!AH11</f>
        <v/>
      </c>
      <c r="AN31" s="25">
        <f>配方级描述符!AI11</f>
        <v/>
      </c>
      <c r="AO31" s="25">
        <f>配方级描述符!AJ11</f>
        <v/>
      </c>
      <c r="AP31" s="25">
        <f>配方级描述符!AK11</f>
        <v/>
      </c>
      <c r="AQ31" s="25">
        <f>配方级描述符!AL11</f>
        <v/>
      </c>
      <c r="AR31" s="25">
        <f>配方级描述符!AM11</f>
        <v/>
      </c>
      <c r="AS31" s="25">
        <f>配方级描述符!AN11</f>
        <v/>
      </c>
      <c r="AT31" s="25">
        <f>配方级描述符!AO11</f>
        <v/>
      </c>
      <c r="AU31" s="25">
        <f>配方级描述符!AP11</f>
        <v/>
      </c>
      <c r="AV31" s="25">
        <f>配方级描述符!AQ11</f>
        <v/>
      </c>
      <c r="AW31" s="25">
        <f>配方级描述符!AR11</f>
        <v/>
      </c>
      <c r="AX31" s="25">
        <f>配方级描述符!AS11</f>
        <v/>
      </c>
      <c r="AY31" s="25">
        <f>配方级描述符!AT11</f>
        <v/>
      </c>
      <c r="AZ31" s="25">
        <f>配方级描述符!AU11</f>
        <v/>
      </c>
    </row>
    <row r="32" ht="15" customHeight="1" s="15">
      <c r="A32" s="22" t="inlineStr">
        <is>
          <t>PES-0003</t>
        </is>
      </c>
      <c r="B32" s="23" t="inlineStr">
        <is>
          <t>聚酯</t>
        </is>
      </c>
      <c r="C32" s="22">
        <f>IFERROR(INDEX(性能结果!$F:$F,MATCH(1,(性能结果!$A:$A=$A32)*(性能结果!$C:$C=$D32),0)),"")</f>
        <v/>
      </c>
      <c r="D32" s="22" t="inlineStr">
        <is>
          <t>T弯</t>
        </is>
      </c>
      <c r="E32" s="24">
        <f>IFERROR(INDEX(性能结果!$D:$D,MATCH(1,(性能结果!$A:$A=$A32)*(性能结果!$C:$C=$D32),0)),"")</f>
        <v/>
      </c>
      <c r="F32" s="22" t="n"/>
      <c r="G32" s="22" t="n"/>
      <c r="H32" s="22">
        <f>配方级描述符!C12</f>
        <v/>
      </c>
      <c r="I32" s="22">
        <f>配方级描述符!D12</f>
        <v/>
      </c>
      <c r="J32" s="22">
        <f>配方级描述符!E12</f>
        <v/>
      </c>
      <c r="K32" s="22">
        <f>配方级描述符!F12</f>
        <v/>
      </c>
      <c r="L32" s="22">
        <f>配方级描述符!G12</f>
        <v/>
      </c>
      <c r="M32" s="22">
        <f>配方级描述符!H12</f>
        <v/>
      </c>
      <c r="N32" s="22">
        <f>配方级描述符!I12</f>
        <v/>
      </c>
      <c r="O32" s="22">
        <f>配方级描述符!J12</f>
        <v/>
      </c>
      <c r="P32" s="22">
        <f>配方级描述符!K12</f>
        <v/>
      </c>
      <c r="Q32" s="22">
        <f>配方级描述符!L12</f>
        <v/>
      </c>
      <c r="R32" s="22">
        <f>配方级描述符!M12</f>
        <v/>
      </c>
      <c r="S32" s="22">
        <f>配方级描述符!N12</f>
        <v/>
      </c>
      <c r="T32" s="22">
        <f>配方级描述符!O12</f>
        <v/>
      </c>
      <c r="U32" s="22">
        <f>配方级描述符!P12</f>
        <v/>
      </c>
      <c r="V32" s="22">
        <f>配方级描述符!Q12</f>
        <v/>
      </c>
      <c r="W32" s="22">
        <f>配方级描述符!R12</f>
        <v/>
      </c>
      <c r="X32" s="22">
        <f>配方级描述符!S12</f>
        <v/>
      </c>
      <c r="Y32" s="22">
        <f>配方级描述符!T12</f>
        <v/>
      </c>
      <c r="Z32" s="22">
        <f>配方级描述符!U12</f>
        <v/>
      </c>
      <c r="AA32" s="22">
        <f>配方级描述符!V12</f>
        <v/>
      </c>
      <c r="AB32" s="22">
        <f>配方级描述符!W12</f>
        <v/>
      </c>
      <c r="AC32" s="22">
        <f>配方级描述符!X12</f>
        <v/>
      </c>
      <c r="AD32" s="22">
        <f>配方级描述符!Y12</f>
        <v/>
      </c>
      <c r="AE32" s="22">
        <f>配方级描述符!Z12</f>
        <v/>
      </c>
      <c r="AF32" s="22">
        <f>配方级描述符!AA12</f>
        <v/>
      </c>
      <c r="AG32" s="22">
        <f>配方级描述符!AB12</f>
        <v/>
      </c>
      <c r="AH32" s="22">
        <f>配方级描述符!AC12</f>
        <v/>
      </c>
      <c r="AI32" s="22">
        <f>配方级描述符!AD12</f>
        <v/>
      </c>
      <c r="AJ32" s="22">
        <f>配方级描述符!AE12</f>
        <v/>
      </c>
      <c r="AK32" s="22">
        <f>配方级描述符!AF12</f>
        <v/>
      </c>
      <c r="AL32" s="22">
        <f>配方级描述符!AG12</f>
        <v/>
      </c>
      <c r="AM32" s="22">
        <f>配方级描述符!AH12</f>
        <v/>
      </c>
      <c r="AN32" s="22">
        <f>配方级描述符!AI12</f>
        <v/>
      </c>
      <c r="AO32" s="22">
        <f>配方级描述符!AJ12</f>
        <v/>
      </c>
      <c r="AP32" s="22">
        <f>配方级描述符!AK12</f>
        <v/>
      </c>
      <c r="AQ32" s="22">
        <f>配方级描述符!AL12</f>
        <v/>
      </c>
      <c r="AR32" s="22">
        <f>配方级描述符!AM12</f>
        <v/>
      </c>
      <c r="AS32" s="22">
        <f>配方级描述符!AN12</f>
        <v/>
      </c>
      <c r="AT32" s="22">
        <f>配方级描述符!AO12</f>
        <v/>
      </c>
      <c r="AU32" s="22">
        <f>配方级描述符!AP12</f>
        <v/>
      </c>
      <c r="AV32" s="22">
        <f>配方级描述符!AQ12</f>
        <v/>
      </c>
      <c r="AW32" s="22">
        <f>配方级描述符!AR12</f>
        <v/>
      </c>
      <c r="AX32" s="22">
        <f>配方级描述符!AS12</f>
        <v/>
      </c>
      <c r="AY32" s="22">
        <f>配方级描述符!AT12</f>
        <v/>
      </c>
      <c r="AZ32" s="22">
        <f>配方级描述符!AU12</f>
        <v/>
      </c>
    </row>
    <row r="33" ht="15" customHeight="1" s="15">
      <c r="A33" s="25" t="inlineStr">
        <is>
          <t>PES-0003</t>
        </is>
      </c>
      <c r="B33" s="26" t="inlineStr">
        <is>
          <t>聚酯</t>
        </is>
      </c>
      <c r="C33" s="25">
        <f>IFERROR(INDEX(性能结果!$F:$F,MATCH(1,(性能结果!$A:$A=$A33)*(性能结果!$C:$C=$D33),0)),"")</f>
        <v/>
      </c>
      <c r="D33" s="25" t="inlineStr">
        <is>
          <t>MEK擦拭</t>
        </is>
      </c>
      <c r="E33" s="24">
        <f>IFERROR(INDEX(性能结果!$D:$D,MATCH(1,(性能结果!$A:$A=$A33)*(性能结果!$C:$C=$D33),0)),"")</f>
        <v/>
      </c>
      <c r="F33" s="25" t="n"/>
      <c r="G33" s="25" t="n"/>
      <c r="H33" s="25">
        <f>配方级描述符!C12</f>
        <v/>
      </c>
      <c r="I33" s="25">
        <f>配方级描述符!D12</f>
        <v/>
      </c>
      <c r="J33" s="25">
        <f>配方级描述符!E12</f>
        <v/>
      </c>
      <c r="K33" s="25">
        <f>配方级描述符!F12</f>
        <v/>
      </c>
      <c r="L33" s="25">
        <f>配方级描述符!G12</f>
        <v/>
      </c>
      <c r="M33" s="25">
        <f>配方级描述符!H12</f>
        <v/>
      </c>
      <c r="N33" s="25">
        <f>配方级描述符!I12</f>
        <v/>
      </c>
      <c r="O33" s="25">
        <f>配方级描述符!J12</f>
        <v/>
      </c>
      <c r="P33" s="25">
        <f>配方级描述符!K12</f>
        <v/>
      </c>
      <c r="Q33" s="25">
        <f>配方级描述符!L12</f>
        <v/>
      </c>
      <c r="R33" s="25">
        <f>配方级描述符!M12</f>
        <v/>
      </c>
      <c r="S33" s="25">
        <f>配方级描述符!N12</f>
        <v/>
      </c>
      <c r="T33" s="25">
        <f>配方级描述符!O12</f>
        <v/>
      </c>
      <c r="U33" s="25">
        <f>配方级描述符!P12</f>
        <v/>
      </c>
      <c r="V33" s="25">
        <f>配方级描述符!Q12</f>
        <v/>
      </c>
      <c r="W33" s="25">
        <f>配方级描述符!R12</f>
        <v/>
      </c>
      <c r="X33" s="25">
        <f>配方级描述符!S12</f>
        <v/>
      </c>
      <c r="Y33" s="25">
        <f>配方级描述符!T12</f>
        <v/>
      </c>
      <c r="Z33" s="25">
        <f>配方级描述符!U12</f>
        <v/>
      </c>
      <c r="AA33" s="25">
        <f>配方级描述符!V12</f>
        <v/>
      </c>
      <c r="AB33" s="25">
        <f>配方级描述符!W12</f>
        <v/>
      </c>
      <c r="AC33" s="25">
        <f>配方级描述符!X12</f>
        <v/>
      </c>
      <c r="AD33" s="25">
        <f>配方级描述符!Y12</f>
        <v/>
      </c>
      <c r="AE33" s="25">
        <f>配方级描述符!Z12</f>
        <v/>
      </c>
      <c r="AF33" s="25">
        <f>配方级描述符!AA12</f>
        <v/>
      </c>
      <c r="AG33" s="25">
        <f>配方级描述符!AB12</f>
        <v/>
      </c>
      <c r="AH33" s="25">
        <f>配方级描述符!AC12</f>
        <v/>
      </c>
      <c r="AI33" s="25">
        <f>配方级描述符!AD12</f>
        <v/>
      </c>
      <c r="AJ33" s="25">
        <f>配方级描述符!AE12</f>
        <v/>
      </c>
      <c r="AK33" s="25">
        <f>配方级描述符!AF12</f>
        <v/>
      </c>
      <c r="AL33" s="25">
        <f>配方级描述符!AG12</f>
        <v/>
      </c>
      <c r="AM33" s="25">
        <f>配方级描述符!AH12</f>
        <v/>
      </c>
      <c r="AN33" s="25">
        <f>配方级描述符!AI12</f>
        <v/>
      </c>
      <c r="AO33" s="25">
        <f>配方级描述符!AJ12</f>
        <v/>
      </c>
      <c r="AP33" s="25">
        <f>配方级描述符!AK12</f>
        <v/>
      </c>
      <c r="AQ33" s="25">
        <f>配方级描述符!AL12</f>
        <v/>
      </c>
      <c r="AR33" s="25">
        <f>配方级描述符!AM12</f>
        <v/>
      </c>
      <c r="AS33" s="25">
        <f>配方级描述符!AN12</f>
        <v/>
      </c>
      <c r="AT33" s="25">
        <f>配方级描述符!AO12</f>
        <v/>
      </c>
      <c r="AU33" s="25">
        <f>配方级描述符!AP12</f>
        <v/>
      </c>
      <c r="AV33" s="25">
        <f>配方级描述符!AQ12</f>
        <v/>
      </c>
      <c r="AW33" s="25">
        <f>配方级描述符!AR12</f>
        <v/>
      </c>
      <c r="AX33" s="25">
        <f>配方级描述符!AS12</f>
        <v/>
      </c>
      <c r="AY33" s="25">
        <f>配方级描述符!AT12</f>
        <v/>
      </c>
      <c r="AZ33" s="25">
        <f>配方级描述符!AU12</f>
        <v/>
      </c>
    </row>
    <row r="34" ht="15" customHeight="1" s="15">
      <c r="A34" s="22" t="inlineStr">
        <is>
          <t>PES-0003</t>
        </is>
      </c>
      <c r="B34" s="23" t="inlineStr">
        <is>
          <t>聚酯</t>
        </is>
      </c>
      <c r="C34" s="22">
        <f>IFERROR(INDEX(性能结果!$F:$F,MATCH(1,(性能结果!$A:$A=$A34)*(性能结果!$C:$C=$D34),0)),"")</f>
        <v/>
      </c>
      <c r="D34" s="23" t="inlineStr">
        <is>
          <t>水煮等级</t>
        </is>
      </c>
      <c r="E34" s="24">
        <f>IFERROR(INDEX(性能结果!$D:$D,MATCH(1,(性能结果!$A:$A=$A34)*(性能结果!$C:$C=$D34),0)),"")</f>
        <v/>
      </c>
      <c r="F34" s="22" t="n"/>
      <c r="G34" s="22" t="n"/>
      <c r="H34" s="22">
        <f>配方级描述符!C12</f>
        <v/>
      </c>
      <c r="I34" s="22">
        <f>配方级描述符!D12</f>
        <v/>
      </c>
      <c r="J34" s="22">
        <f>配方级描述符!E12</f>
        <v/>
      </c>
      <c r="K34" s="22">
        <f>配方级描述符!F12</f>
        <v/>
      </c>
      <c r="L34" s="22">
        <f>配方级描述符!G12</f>
        <v/>
      </c>
      <c r="M34" s="22">
        <f>配方级描述符!H12</f>
        <v/>
      </c>
      <c r="N34" s="22">
        <f>配方级描述符!I12</f>
        <v/>
      </c>
      <c r="O34" s="22">
        <f>配方级描述符!J12</f>
        <v/>
      </c>
      <c r="P34" s="22">
        <f>配方级描述符!K12</f>
        <v/>
      </c>
      <c r="Q34" s="22">
        <f>配方级描述符!L12</f>
        <v/>
      </c>
      <c r="R34" s="22">
        <f>配方级描述符!M12</f>
        <v/>
      </c>
      <c r="S34" s="22">
        <f>配方级描述符!N12</f>
        <v/>
      </c>
      <c r="T34" s="22">
        <f>配方级描述符!O12</f>
        <v/>
      </c>
      <c r="U34" s="22">
        <f>配方级描述符!P12</f>
        <v/>
      </c>
      <c r="V34" s="22">
        <f>配方级描述符!Q12</f>
        <v/>
      </c>
      <c r="W34" s="22">
        <f>配方级描述符!R12</f>
        <v/>
      </c>
      <c r="X34" s="22">
        <f>配方级描述符!S12</f>
        <v/>
      </c>
      <c r="Y34" s="22">
        <f>配方级描述符!T12</f>
        <v/>
      </c>
      <c r="Z34" s="22">
        <f>配方级描述符!U12</f>
        <v/>
      </c>
      <c r="AA34" s="22">
        <f>配方级描述符!V12</f>
        <v/>
      </c>
      <c r="AB34" s="22">
        <f>配方级描述符!W12</f>
        <v/>
      </c>
      <c r="AC34" s="22">
        <f>配方级描述符!X12</f>
        <v/>
      </c>
      <c r="AD34" s="22">
        <f>配方级描述符!Y12</f>
        <v/>
      </c>
      <c r="AE34" s="22">
        <f>配方级描述符!Z12</f>
        <v/>
      </c>
      <c r="AF34" s="22">
        <f>配方级描述符!AA12</f>
        <v/>
      </c>
      <c r="AG34" s="22">
        <f>配方级描述符!AB12</f>
        <v/>
      </c>
      <c r="AH34" s="22">
        <f>配方级描述符!AC12</f>
        <v/>
      </c>
      <c r="AI34" s="22">
        <f>配方级描述符!AD12</f>
        <v/>
      </c>
      <c r="AJ34" s="22">
        <f>配方级描述符!AE12</f>
        <v/>
      </c>
      <c r="AK34" s="22">
        <f>配方级描述符!AF12</f>
        <v/>
      </c>
      <c r="AL34" s="22">
        <f>配方级描述符!AG12</f>
        <v/>
      </c>
      <c r="AM34" s="22">
        <f>配方级描述符!AH12</f>
        <v/>
      </c>
      <c r="AN34" s="22">
        <f>配方级描述符!AI12</f>
        <v/>
      </c>
      <c r="AO34" s="22">
        <f>配方级描述符!AJ12</f>
        <v/>
      </c>
      <c r="AP34" s="22">
        <f>配方级描述符!AK12</f>
        <v/>
      </c>
      <c r="AQ34" s="22">
        <f>配方级描述符!AL12</f>
        <v/>
      </c>
      <c r="AR34" s="22">
        <f>配方级描述符!AM12</f>
        <v/>
      </c>
      <c r="AS34" s="22">
        <f>配方级描述符!AN12</f>
        <v/>
      </c>
      <c r="AT34" s="22">
        <f>配方级描述符!AO12</f>
        <v/>
      </c>
      <c r="AU34" s="22">
        <f>配方级描述符!AP12</f>
        <v/>
      </c>
      <c r="AV34" s="22">
        <f>配方级描述符!AQ12</f>
        <v/>
      </c>
      <c r="AW34" s="22">
        <f>配方级描述符!AR12</f>
        <v/>
      </c>
      <c r="AX34" s="22">
        <f>配方级描述符!AS12</f>
        <v/>
      </c>
      <c r="AY34" s="22">
        <f>配方级描述符!AT12</f>
        <v/>
      </c>
      <c r="AZ34" s="22">
        <f>配方级描述符!AU12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A1:F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34" customWidth="1" style="14" min="1" max="2"/>
    <col width="8" customWidth="1" style="14" min="3" max="3"/>
    <col width="12" customWidth="1" style="14" min="4" max="4"/>
    <col width="46" customWidth="1" style="14" min="5" max="5"/>
    <col width="14" customWidth="1" style="14" min="6" max="6"/>
  </cols>
  <sheetData>
    <row r="1" ht="15" customHeight="1" s="15">
      <c r="A1" s="20" t="inlineStr">
        <is>
          <t>字段名</t>
        </is>
      </c>
      <c r="B1" s="20" t="inlineStr">
        <is>
          <t>所属工作表</t>
        </is>
      </c>
      <c r="C1" s="20" t="inlineStr">
        <is>
          <t>类型</t>
        </is>
      </c>
      <c r="D1" s="20" t="inlineStr">
        <is>
          <t>单位</t>
        </is>
      </c>
      <c r="E1" s="20" t="inlineStr">
        <is>
          <t>口径说明</t>
        </is>
      </c>
      <c r="F1" s="20" t="inlineStr">
        <is>
          <t>示例</t>
        </is>
      </c>
    </row>
    <row r="2" ht="15" customHeight="1" s="15">
      <c r="A2" s="23" t="inlineStr">
        <is>
          <t>样本ID</t>
        </is>
      </c>
      <c r="B2" s="23" t="inlineStr">
        <is>
          <t>配方明细/性能结果/工艺条件/配方级描述符/建模输入</t>
        </is>
      </c>
      <c r="C2" s="23" t="inlineStr">
        <is>
          <t>文本</t>
        </is>
      </c>
      <c r="D2" s="22" t="inlineStr">
        <is>
          <t>-</t>
        </is>
      </c>
      <c r="E2" s="23" t="inlineStr">
        <is>
          <t>全局唯一，关联各表</t>
        </is>
      </c>
      <c r="F2" s="22" t="inlineStr">
        <is>
          <t>EP-0001</t>
        </is>
      </c>
    </row>
    <row r="3" ht="15" customHeight="1" s="15">
      <c r="A3" s="26" t="inlineStr">
        <is>
          <t>体系</t>
        </is>
      </c>
      <c r="B3" s="26" t="inlineStr">
        <is>
          <t>配方明细</t>
        </is>
      </c>
      <c r="C3" s="26" t="inlineStr">
        <is>
          <t>文本</t>
        </is>
      </c>
      <c r="D3" s="25" t="inlineStr">
        <is>
          <t>-</t>
        </is>
      </c>
      <c r="E3" s="26" t="inlineStr">
        <is>
          <t>化学体系类别：环氧酚醛/有机/聚酯/聚氨酯/丙烯酸等</t>
        </is>
      </c>
      <c r="F3" s="26" t="inlineStr">
        <is>
          <t>环氧酚醛</t>
        </is>
      </c>
    </row>
    <row r="4" ht="15" customHeight="1" s="15">
      <c r="A4" s="23" t="inlineStr">
        <is>
          <t>原料代码</t>
        </is>
      </c>
      <c r="B4" s="23" t="inlineStr">
        <is>
          <t>原料主数据/配方明细</t>
        </is>
      </c>
      <c r="C4" s="23" t="inlineStr">
        <is>
          <t>文本</t>
        </is>
      </c>
      <c r="D4" s="22" t="inlineStr">
        <is>
          <t>-</t>
        </is>
      </c>
      <c r="E4" s="23" t="inlineStr">
        <is>
          <t>原料唯一编码，与原料主数据一致</t>
        </is>
      </c>
      <c r="F4" s="22" t="inlineStr">
        <is>
          <t>IR190</t>
        </is>
      </c>
    </row>
    <row r="5" ht="15" customHeight="1" s="15">
      <c r="A5" s="26" t="inlineStr">
        <is>
          <t>用量</t>
        </is>
      </c>
      <c r="B5" s="26" t="inlineStr">
        <is>
          <t>配方明细</t>
        </is>
      </c>
      <c r="C5" s="26" t="inlineStr">
        <is>
          <t>数值</t>
        </is>
      </c>
      <c r="D5" s="25" t="inlineStr">
        <is>
          <t>g</t>
        </is>
      </c>
      <c r="E5" s="26" t="inlineStr">
        <is>
          <t>该组分在样本中的质量份</t>
        </is>
      </c>
      <c r="F5" s="25" t="inlineStr">
        <is>
          <t>66.0</t>
        </is>
      </c>
    </row>
    <row r="6" ht="15" customHeight="1" s="15">
      <c r="A6" s="23" t="inlineStr">
        <is>
          <t>角色</t>
        </is>
      </c>
      <c r="B6" s="23" t="inlineStr">
        <is>
          <t>原料主数据/配方明细</t>
        </is>
      </c>
      <c r="C6" s="23" t="inlineStr">
        <is>
          <t>枚举</t>
        </is>
      </c>
      <c r="D6" s="22" t="inlineStr">
        <is>
          <t>-</t>
        </is>
      </c>
      <c r="E6" s="23" t="inlineStr">
        <is>
          <t>树脂/固化剂/溶剂/助剂/颜料</t>
        </is>
      </c>
      <c r="F6" s="23" t="inlineStr">
        <is>
          <t>树脂</t>
        </is>
      </c>
    </row>
    <row r="7" ht="15" customHeight="1" s="15">
      <c r="A7" s="26" t="inlineStr">
        <is>
          <t>树脂类型</t>
        </is>
      </c>
      <c r="B7" s="26" t="inlineStr">
        <is>
          <t>原料主数据/配方明细</t>
        </is>
      </c>
      <c r="C7" s="26" t="inlineStr">
        <is>
          <t>枚举</t>
        </is>
      </c>
      <c r="D7" s="25" t="inlineStr">
        <is>
          <t>-</t>
        </is>
      </c>
      <c r="E7" s="26" t="inlineStr">
        <is>
          <t>环氧/酚醛/聚酯/乙烯基/丙烯酸/聚氨酯/其他</t>
        </is>
      </c>
      <c r="F7" s="26" t="inlineStr">
        <is>
          <t>环氧</t>
        </is>
      </c>
    </row>
    <row r="8" ht="15" customHeight="1" s="15">
      <c r="A8" s="22" t="inlineStr">
        <is>
          <t>SMILES</t>
        </is>
      </c>
      <c r="B8" s="23" t="inlineStr">
        <is>
          <t>原料主数据</t>
        </is>
      </c>
      <c r="C8" s="23" t="inlineStr">
        <is>
          <t>文本</t>
        </is>
      </c>
      <c r="D8" s="22" t="inlineStr">
        <is>
          <t>-</t>
        </is>
      </c>
      <c r="E8" s="23" t="inlineStr">
        <is>
          <t>原料结构式，可自动计算RDKit/Mordred分子描述符</t>
        </is>
      </c>
      <c r="F8" s="22" t="inlineStr">
        <is>
          <t>CCCCO</t>
        </is>
      </c>
    </row>
    <row r="9" ht="15" customHeight="1" s="15">
      <c r="A9" s="26" t="inlineStr">
        <is>
          <t>固含NV</t>
        </is>
      </c>
      <c r="B9" s="26" t="inlineStr">
        <is>
          <t>原料主数据</t>
        </is>
      </c>
      <c r="C9" s="26" t="inlineStr">
        <is>
          <t>数值</t>
        </is>
      </c>
      <c r="D9" s="25" t="inlineStr">
        <is>
          <t>%</t>
        </is>
      </c>
      <c r="E9" s="26" t="inlineStr">
        <is>
          <t>按到货状态的固体含量</t>
        </is>
      </c>
      <c r="F9" s="25" t="inlineStr">
        <is>
          <t>36</t>
        </is>
      </c>
    </row>
    <row r="10" ht="15" customHeight="1" s="15">
      <c r="A10" s="23" t="inlineStr">
        <is>
          <t>密度</t>
        </is>
      </c>
      <c r="B10" s="23" t="inlineStr">
        <is>
          <t>原料主数据</t>
        </is>
      </c>
      <c r="C10" s="23" t="inlineStr">
        <is>
          <t>数值</t>
        </is>
      </c>
      <c r="D10" s="22" t="inlineStr">
        <is>
          <t>g/cm³</t>
        </is>
      </c>
      <c r="E10" s="23" t="inlineStr">
        <is>
          <t>原料密度</t>
        </is>
      </c>
      <c r="F10" s="22" t="inlineStr">
        <is>
          <t>1.00</t>
        </is>
      </c>
    </row>
    <row r="11" ht="15" customHeight="1" s="15">
      <c r="A11" s="26" t="inlineStr">
        <is>
          <t>分子量</t>
        </is>
      </c>
      <c r="B11" s="26" t="inlineStr">
        <is>
          <t>原料主数据</t>
        </is>
      </c>
      <c r="C11" s="26" t="inlineStr">
        <is>
          <t>数值</t>
        </is>
      </c>
      <c r="D11" s="25" t="inlineStr">
        <is>
          <t>g/mol</t>
        </is>
      </c>
      <c r="E11" s="26" t="inlineStr">
        <is>
          <t>数均分子量（树脂可为典型值）</t>
        </is>
      </c>
      <c r="F11" s="25" t="inlineStr">
        <is>
          <t>1400</t>
        </is>
      </c>
    </row>
    <row r="12" ht="15" customHeight="1" s="15">
      <c r="A12" s="23" t="inlineStr">
        <is>
          <t>环氧当量EEW</t>
        </is>
      </c>
      <c r="B12" s="23" t="inlineStr">
        <is>
          <t>原料主数据</t>
        </is>
      </c>
      <c r="C12" s="23" t="inlineStr">
        <is>
          <t>数值</t>
        </is>
      </c>
      <c r="D12" s="22" t="inlineStr">
        <is>
          <t>g/eq</t>
        </is>
      </c>
      <c r="E12" s="23" t="inlineStr">
        <is>
          <t>含1mol环氧基的到货产品质量</t>
        </is>
      </c>
      <c r="F12" s="22" t="inlineStr">
        <is>
          <t>2640</t>
        </is>
      </c>
    </row>
    <row r="13" ht="15" customHeight="1" s="15">
      <c r="A13" s="26" t="inlineStr">
        <is>
          <t>酸值AV</t>
        </is>
      </c>
      <c r="B13" s="26" t="inlineStr">
        <is>
          <t>原料主数据</t>
        </is>
      </c>
      <c r="C13" s="26" t="inlineStr">
        <is>
          <t>数值</t>
        </is>
      </c>
      <c r="D13" s="25" t="inlineStr">
        <is>
          <t>mgKOH/g</t>
        </is>
      </c>
      <c r="E13" s="26" t="inlineStr">
        <is>
          <t>中和1g样品游离酸所需KOH</t>
        </is>
      </c>
      <c r="F13" s="25" t="inlineStr">
        <is>
          <t>0.5</t>
        </is>
      </c>
    </row>
    <row r="14" ht="15" customHeight="1" s="15">
      <c r="A14" s="23" t="inlineStr">
        <is>
          <t>羟值OHV</t>
        </is>
      </c>
      <c r="B14" s="23" t="inlineStr">
        <is>
          <t>原料主数据</t>
        </is>
      </c>
      <c r="C14" s="23" t="inlineStr">
        <is>
          <t>数值</t>
        </is>
      </c>
      <c r="D14" s="22" t="inlineStr">
        <is>
          <t>mgKOH/g</t>
        </is>
      </c>
      <c r="E14" s="23" t="inlineStr">
        <is>
          <t>中和1g样品羟基所需KOH</t>
        </is>
      </c>
      <c r="F14" s="22" t="inlineStr">
        <is>
          <t>30</t>
        </is>
      </c>
    </row>
    <row r="15" ht="15" customHeight="1" s="15">
      <c r="A15" s="26" t="inlineStr">
        <is>
          <t>胺值</t>
        </is>
      </c>
      <c r="B15" s="26" t="inlineStr">
        <is>
          <t>原料主数据</t>
        </is>
      </c>
      <c r="C15" s="26" t="inlineStr">
        <is>
          <t>数值</t>
        </is>
      </c>
      <c r="D15" s="25" t="inlineStr">
        <is>
          <t>mgKOH/g</t>
        </is>
      </c>
      <c r="E15" s="26" t="inlineStr">
        <is>
          <t>中和1g样品胺基所需KOH</t>
        </is>
      </c>
      <c r="F15" s="25" t="inlineStr">
        <is>
          <t>0</t>
        </is>
      </c>
    </row>
    <row r="16" ht="15" customHeight="1" s="15">
      <c r="A16" s="23" t="inlineStr">
        <is>
          <t>官能度</t>
        </is>
      </c>
      <c r="B16" s="23" t="inlineStr">
        <is>
          <t>原料主数据</t>
        </is>
      </c>
      <c r="C16" s="23" t="inlineStr">
        <is>
          <t>数值</t>
        </is>
      </c>
      <c r="D16" s="22" t="inlineStr">
        <is>
          <t>-</t>
        </is>
      </c>
      <c r="E16" s="23" t="inlineStr">
        <is>
          <t>每分子平均活性基团数</t>
        </is>
      </c>
      <c r="F16" s="22" t="inlineStr">
        <is>
          <t>2</t>
        </is>
      </c>
    </row>
    <row r="17" ht="15" customHeight="1" s="15">
      <c r="A17" s="25" t="inlineStr">
        <is>
          <t>Tg</t>
        </is>
      </c>
      <c r="B17" s="26" t="inlineStr">
        <is>
          <t>原料主数据</t>
        </is>
      </c>
      <c r="C17" s="26" t="inlineStr">
        <is>
          <t>数值</t>
        </is>
      </c>
      <c r="D17" s="25" t="inlineStr">
        <is>
          <t>℃</t>
        </is>
      </c>
      <c r="E17" s="26" t="inlineStr">
        <is>
          <t>玻璃化转变温度</t>
        </is>
      </c>
      <c r="F17" s="25" t="inlineStr">
        <is>
          <t>70</t>
        </is>
      </c>
    </row>
    <row r="18" ht="15" customHeight="1" s="15">
      <c r="A18" s="23" t="inlineStr">
        <is>
          <t>沸点/闪点</t>
        </is>
      </c>
      <c r="B18" s="23" t="inlineStr">
        <is>
          <t>原料主数据</t>
        </is>
      </c>
      <c r="C18" s="23" t="inlineStr">
        <is>
          <t>数值</t>
        </is>
      </c>
      <c r="D18" s="22" t="inlineStr">
        <is>
          <t>℃</t>
        </is>
      </c>
      <c r="E18" s="23" t="inlineStr">
        <is>
          <t>常压沸点/闭杯闪点</t>
        </is>
      </c>
      <c r="F18" s="22" t="inlineStr">
        <is>
          <t>250/100</t>
        </is>
      </c>
    </row>
    <row r="19" ht="15" customHeight="1" s="15">
      <c r="A19" s="25" t="inlineStr">
        <is>
          <t>Hansen δD/δP/δH</t>
        </is>
      </c>
      <c r="B19" s="26" t="inlineStr">
        <is>
          <t>原料主数据</t>
        </is>
      </c>
      <c r="C19" s="26" t="inlineStr">
        <is>
          <t>数值</t>
        </is>
      </c>
      <c r="D19" s="25" t="inlineStr">
        <is>
          <t>MPa^0.5</t>
        </is>
      </c>
      <c r="E19" s="25" t="inlineStr">
        <is>
          <t>Hansen溶解度参数三分量</t>
        </is>
      </c>
      <c r="F19" s="25" t="inlineStr">
        <is>
          <t>18.5/6.0/8.5</t>
        </is>
      </c>
    </row>
    <row r="20" ht="15" customHeight="1" s="15">
      <c r="A20" s="23" t="inlineStr">
        <is>
          <t>极性指数</t>
        </is>
      </c>
      <c r="B20" s="23" t="inlineStr">
        <is>
          <t>原料主数据</t>
        </is>
      </c>
      <c r="C20" s="23" t="inlineStr">
        <is>
          <t>数值</t>
        </is>
      </c>
      <c r="D20" s="22" t="inlineStr">
        <is>
          <t>-</t>
        </is>
      </c>
      <c r="E20" s="23" t="inlineStr">
        <is>
          <t>溶剂极性指数（树脂可填0）</t>
        </is>
      </c>
      <c r="F20" s="22" t="inlineStr">
        <is>
          <t>3.0</t>
        </is>
      </c>
    </row>
    <row r="21" ht="15" customHeight="1" s="15">
      <c r="A21" s="26" t="inlineStr">
        <is>
          <t>相对挥发速率</t>
        </is>
      </c>
      <c r="B21" s="26" t="inlineStr">
        <is>
          <t>原料主数据</t>
        </is>
      </c>
      <c r="C21" s="26" t="inlineStr">
        <is>
          <t>数值</t>
        </is>
      </c>
      <c r="D21" s="25" t="inlineStr">
        <is>
          <t>-</t>
        </is>
      </c>
      <c r="E21" s="26" t="inlineStr">
        <is>
          <t>以乙酸丁酯=1</t>
        </is>
      </c>
      <c r="F21" s="25" t="inlineStr">
        <is>
          <t>0.07</t>
        </is>
      </c>
    </row>
    <row r="22" ht="15" customHeight="1" s="15">
      <c r="A22" s="22" t="inlineStr">
        <is>
          <t>C/H/O/N/S/Cl</t>
        </is>
      </c>
      <c r="B22" s="23" t="inlineStr">
        <is>
          <t>原料主数据</t>
        </is>
      </c>
      <c r="C22" s="23" t="inlineStr">
        <is>
          <t>数值</t>
        </is>
      </c>
      <c r="D22" s="22" t="inlineStr">
        <is>
          <t>%</t>
        </is>
      </c>
      <c r="E22" s="23" t="inlineStr">
        <is>
          <t>元素质量分数</t>
        </is>
      </c>
      <c r="F22" s="22" t="inlineStr">
        <is>
          <t>72/7/20/0/0/0</t>
        </is>
      </c>
    </row>
    <row r="23" ht="15" customHeight="1" s="15">
      <c r="A23" s="26" t="inlineStr">
        <is>
          <t>环氧基/羟基/羧基/酯基/胺基/酰胺/芳香环/醚键</t>
        </is>
      </c>
      <c r="B23" s="26" t="inlineStr">
        <is>
          <t>原料主数据</t>
        </is>
      </c>
      <c r="C23" s="26" t="inlineStr">
        <is>
          <t>数值</t>
        </is>
      </c>
      <c r="D23" s="25" t="inlineStr">
        <is>
          <t>mol/100g</t>
        </is>
      </c>
      <c r="E23" s="26" t="inlineStr">
        <is>
          <t>官能团密度</t>
        </is>
      </c>
      <c r="F23" s="25" t="inlineStr">
        <is>
          <t>0.038</t>
        </is>
      </c>
    </row>
    <row r="24" ht="15" customHeight="1" s="15">
      <c r="A24" s="23" t="inlineStr">
        <is>
          <t>蜡含量/颜料含量</t>
        </is>
      </c>
      <c r="B24" s="23" t="inlineStr">
        <is>
          <t>原料主数据</t>
        </is>
      </c>
      <c r="C24" s="23" t="inlineStr">
        <is>
          <t>数值</t>
        </is>
      </c>
      <c r="D24" s="22" t="inlineStr">
        <is>
          <t>%</t>
        </is>
      </c>
      <c r="E24" s="23" t="inlineStr">
        <is>
          <t>原料中蜡/颜料质量分数</t>
        </is>
      </c>
      <c r="F24" s="22" t="inlineStr">
        <is>
          <t>25</t>
        </is>
      </c>
    </row>
    <row r="25" ht="15" customHeight="1" s="15">
      <c r="A25" s="26" t="inlineStr">
        <is>
          <t>总用量</t>
        </is>
      </c>
      <c r="B25" s="26" t="inlineStr">
        <is>
          <t>配方级描述符</t>
        </is>
      </c>
      <c r="C25" s="26" t="inlineStr">
        <is>
          <t>公式</t>
        </is>
      </c>
      <c r="D25" s="25" t="inlineStr">
        <is>
          <t>g</t>
        </is>
      </c>
      <c r="E25" s="26" t="inlineStr">
        <is>
          <t>样本各组分用量之和</t>
        </is>
      </c>
      <c r="F25" s="25" t="inlineStr">
        <is>
          <t>SUMIF(配方明细,A2,用量)</t>
        </is>
      </c>
    </row>
    <row r="26" ht="15" customHeight="1" s="15">
      <c r="A26" s="23" t="inlineStr">
        <is>
          <t>树脂/固化剂/溶剂/助剂/颜料占比</t>
        </is>
      </c>
      <c r="B26" s="23" t="inlineStr">
        <is>
          <t>配方级描述符</t>
        </is>
      </c>
      <c r="C26" s="23" t="inlineStr">
        <is>
          <t>公式</t>
        </is>
      </c>
      <c r="D26" s="22" t="inlineStr">
        <is>
          <t>-</t>
        </is>
      </c>
      <c r="E26" s="23" t="inlineStr">
        <is>
          <t>各角色质量分数</t>
        </is>
      </c>
      <c r="F26" s="22" t="inlineStr">
        <is>
          <t>0.72</t>
        </is>
      </c>
    </row>
    <row r="27" ht="15" customHeight="1" s="15">
      <c r="A27" s="26" t="inlineStr">
        <is>
          <t>加权固含等</t>
        </is>
      </c>
      <c r="B27" s="26" t="inlineStr">
        <is>
          <t>配方级描述符</t>
        </is>
      </c>
      <c r="C27" s="26" t="inlineStr">
        <is>
          <t>公式</t>
        </is>
      </c>
      <c r="D27" s="25" t="inlineStr">
        <is>
          <t>-</t>
        </is>
      </c>
      <c r="E27" s="26" t="inlineStr">
        <is>
          <t>按质量分数加权的原料描述符</t>
        </is>
      </c>
      <c r="F27" s="25" t="inlineStr">
        <is>
          <t>SUMPRODUCT(匹配*贡献)/总用量</t>
        </is>
      </c>
    </row>
    <row r="28" ht="15" customHeight="1" s="15">
      <c r="A28" s="23" t="inlineStr">
        <is>
          <t>环氧基密度等</t>
        </is>
      </c>
      <c r="B28" s="23" t="inlineStr">
        <is>
          <t>配方级描述符</t>
        </is>
      </c>
      <c r="C28" s="23" t="inlineStr">
        <is>
          <t>公式</t>
        </is>
      </c>
      <c r="D28" s="22" t="inlineStr">
        <is>
          <t>mol/100g</t>
        </is>
      </c>
      <c r="E28" s="23" t="inlineStr">
        <is>
          <t>每100g配方的官能团摩尔数</t>
        </is>
      </c>
      <c r="F28" s="22" t="inlineStr">
        <is>
          <t>0.05</t>
        </is>
      </c>
    </row>
    <row r="29" ht="15" customHeight="1" s="15">
      <c r="A29" s="26" t="inlineStr">
        <is>
          <t>目标属性</t>
        </is>
      </c>
      <c r="B29" s="26" t="inlineStr">
        <is>
          <t>性能结果/建模输入</t>
        </is>
      </c>
      <c r="C29" s="26" t="inlineStr">
        <is>
          <t>文本</t>
        </is>
      </c>
      <c r="D29" s="25" t="inlineStr">
        <is>
          <t>-</t>
        </is>
      </c>
      <c r="E29" s="26" t="inlineStr">
        <is>
          <t>性能名称：T弯/MEK擦拭/水煮等级等</t>
        </is>
      </c>
      <c r="F29" s="25" t="inlineStr">
        <is>
          <t>T弯</t>
        </is>
      </c>
    </row>
    <row r="30" ht="15" customHeight="1" s="15">
      <c r="A30" s="23" t="inlineStr">
        <is>
          <t>测试值</t>
        </is>
      </c>
      <c r="B30" s="23" t="inlineStr">
        <is>
          <t>性能结果/建模输入</t>
        </is>
      </c>
      <c r="C30" s="23" t="inlineStr">
        <is>
          <t>数值</t>
        </is>
      </c>
      <c r="D30" s="22" t="inlineStr">
        <is>
          <t>-</t>
        </is>
      </c>
      <c r="E30" s="23" t="inlineStr">
        <is>
          <t>性能测试结果（实测值）</t>
        </is>
      </c>
      <c r="F30" s="22" t="inlineStr">
        <is>
          <t>17.415</t>
        </is>
      </c>
    </row>
    <row r="31" ht="15" customHeight="1" s="15">
      <c r="A31" s="26" t="inlineStr">
        <is>
          <t>标签状态</t>
        </is>
      </c>
      <c r="B31" s="26" t="inlineStr">
        <is>
          <t>性能结果/建模输入</t>
        </is>
      </c>
      <c r="C31" s="26" t="inlineStr">
        <is>
          <t>枚举</t>
        </is>
      </c>
      <c r="D31" s="25" t="inlineStr">
        <is>
          <t>-</t>
        </is>
      </c>
      <c r="E31" s="26" t="inlineStr">
        <is>
          <t>实测/伪标签/推荐测试/人工复核</t>
        </is>
      </c>
      <c r="F31" s="26" t="inlineStr">
        <is>
          <t>实测</t>
        </is>
      </c>
    </row>
    <row r="32" ht="15" customHeight="1" s="15">
      <c r="A32" s="23" t="inlineStr">
        <is>
          <t>标签来源</t>
        </is>
      </c>
      <c r="B32" s="23" t="inlineStr">
        <is>
          <t>性能结果</t>
        </is>
      </c>
      <c r="C32" s="23" t="inlineStr">
        <is>
          <t>文本</t>
        </is>
      </c>
      <c r="D32" s="22" t="inlineStr">
        <is>
          <t>-</t>
        </is>
      </c>
      <c r="E32" s="23" t="inlineStr">
        <is>
          <t>实验室/模型预测/主动学习/人工复核</t>
        </is>
      </c>
      <c r="F32" s="23" t="inlineStr">
        <is>
          <t>实验室</t>
        </is>
      </c>
    </row>
    <row r="33" ht="15" customHeight="1" s="15">
      <c r="A33" s="26" t="inlineStr">
        <is>
          <t>不确定性</t>
        </is>
      </c>
      <c r="B33" s="26" t="inlineStr">
        <is>
          <t>性能结果/建模输入</t>
        </is>
      </c>
      <c r="C33" s="26" t="inlineStr">
        <is>
          <t>数值</t>
        </is>
      </c>
      <c r="D33" s="25" t="inlineStr">
        <is>
          <t>-</t>
        </is>
      </c>
      <c r="E33" s="26" t="inlineStr">
        <is>
          <t>模型预测的树间标准差（RF）</t>
        </is>
      </c>
      <c r="F33" s="25" t="inlineStr">
        <is>
          <t>0.42</t>
        </is>
      </c>
    </row>
    <row r="34" ht="15" customHeight="1" s="15">
      <c r="A34" s="23" t="inlineStr">
        <is>
          <t>预测值</t>
        </is>
      </c>
      <c r="B34" s="23" t="inlineStr">
        <is>
          <t>建模输入</t>
        </is>
      </c>
      <c r="C34" s="23" t="inlineStr">
        <is>
          <t>数值</t>
        </is>
      </c>
      <c r="D34" s="22" t="inlineStr">
        <is>
          <t>-</t>
        </is>
      </c>
      <c r="E34" s="23" t="inlineStr">
        <is>
          <t>模型对无标签样本的预测（伪标签候选）</t>
        </is>
      </c>
      <c r="F34" s="22" t="inlineStr">
        <is>
          <t>18.6</t>
        </is>
      </c>
    </row>
    <row r="35" ht="15" customHeight="1" s="15">
      <c r="A35" s="26" t="inlineStr">
        <is>
          <t>烘烤温度/时间</t>
        </is>
      </c>
      <c r="B35" s="26" t="inlineStr">
        <is>
          <t>工艺条件</t>
        </is>
      </c>
      <c r="C35" s="26" t="inlineStr">
        <is>
          <t>数值</t>
        </is>
      </c>
      <c r="D35" s="25" t="inlineStr">
        <is>
          <t>℃/min</t>
        </is>
      </c>
      <c r="E35" s="26" t="inlineStr">
        <is>
          <t>固化工艺参数</t>
        </is>
      </c>
      <c r="F35" s="25" t="inlineStr">
        <is>
          <t>205/17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2026-08-21T17:21:29Z</dcterms:created>
  <dcterms:modified xmlns:dcterms="http://purl.org/dc/terms/" xmlns:xsi="http://www.w3.org/2001/XMLSchema-instance" xsi:type="dcterms:W3CDTF">2026-08-21T17:38:10Z</dcterms:modified>
  <cp:revision>0</cp:revision>
</cp:coreProperties>
</file>