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体系配置" sheetId="2" state="visible" r:id="rId2"/>
    <sheet xmlns:r="http://schemas.openxmlformats.org/officeDocument/2006/relationships" name="原料主数据" sheetId="3" state="visible" r:id="rId3"/>
    <sheet xmlns:r="http://schemas.openxmlformats.org/officeDocument/2006/relationships" name="配方明细" sheetId="4" state="visible" r:id="rId4"/>
    <sheet xmlns:r="http://schemas.openxmlformats.org/officeDocument/2006/relationships" name="性能结果" sheetId="5" state="visible" r:id="rId5"/>
    <sheet xmlns:r="http://schemas.openxmlformats.org/officeDocument/2006/relationships" name="工艺条件" sheetId="6" state="visible" r:id="rId6"/>
    <sheet xmlns:r="http://schemas.openxmlformats.org/officeDocument/2006/relationships" name="配方级描述符" sheetId="7" state="visible" r:id="rId7"/>
    <sheet xmlns:r="http://schemas.openxmlformats.org/officeDocument/2006/relationships" name="建模输入" sheetId="8" state="visible" r:id="rId8"/>
    <sheet xmlns:r="http://schemas.openxmlformats.org/officeDocument/2006/relationships" name="数据字典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2937"/>
      <sz val="14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7F9FC"/>
      </patternFill>
    </fill>
    <fill>
      <patternFill patternType="solid">
        <fgColor rgb="00FFFFFF"/>
      </patternFill>
    </fill>
    <fill>
      <patternFill patternType="solid">
        <fgColor rgb="00EAF2FF"/>
      </patternFill>
    </fill>
    <fill>
      <patternFill patternType="solid">
        <fgColor rgb="00E3F5EA"/>
      </patternFill>
    </fill>
    <fill>
      <patternFill patternType="solid">
        <fgColor rgb="00FFF1DE"/>
      </patternFill>
    </fill>
  </fills>
  <borders count="2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2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2" fillId="7" borderId="1" applyAlignment="1" pivotButton="0" quotePrefix="0" xfId="0">
      <alignment vertical="center" wrapText="1"/>
    </xf>
  </cellXfs>
  <cellStyles count="1">
    <cellStyle name="Normal" xfId="0" builtinId="0" hidden="0"/>
  </cellStyles>
  <dxfs count="1">
    <dxf>
      <fill>
        <patternFill patternType="solid">
          <fgColor rgb="00FDE8E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42"/>
  <sheetViews>
    <sheetView workbookViewId="0">
      <selection activeCell="A1" sqref="A1"/>
    </sheetView>
  </sheetViews>
  <sheetFormatPr baseColWidth="8" defaultRowHeight="15"/>
  <cols>
    <col width="3" customWidth="1" min="1" max="1"/>
    <col width="120" customWidth="1" min="2" max="2"/>
  </cols>
  <sheetData>
    <row r="1">
      <c r="B1" s="1" t="inlineStr">
        <is>
          <t>终极版涂料配方-性能数据集模板 v3</t>
        </is>
      </c>
    </row>
    <row r="2">
      <c r="B2" s="2" t="inlineStr"/>
    </row>
    <row r="3">
      <c r="B3" s="3" t="inlineStr">
        <is>
          <t>一、模板定位</t>
        </is>
      </c>
    </row>
    <row r="4">
      <c r="B4" s="2" t="inlineStr"/>
    </row>
    <row r="5">
      <c r="B5" s="2" t="inlineStr"/>
    </row>
    <row r="6">
      <c r="B6" s="3" t="inlineStr">
        <is>
          <t>二、v3 核心改进</t>
        </is>
      </c>
    </row>
    <row r="7">
      <c r="B7" s="2" t="inlineStr"/>
    </row>
    <row r="8">
      <c r="B8" s="2" t="inlineStr"/>
    </row>
    <row r="9">
      <c r="B9" s="2" t="inlineStr"/>
    </row>
    <row r="10">
      <c r="B10" s="2" t="inlineStr"/>
    </row>
    <row r="11">
      <c r="B11" s="2" t="inlineStr"/>
    </row>
    <row r="12">
      <c r="B12" s="3" t="inlineStr">
        <is>
          <t>三、工作表结构</t>
        </is>
      </c>
    </row>
    <row r="13">
      <c r="B13" s="2" t="inlineStr"/>
    </row>
    <row r="14">
      <c r="B14" s="2" t="inlineStr"/>
    </row>
    <row r="15">
      <c r="B15" s="2" t="inlineStr"/>
    </row>
    <row r="16">
      <c r="B16" s="2" t="inlineStr"/>
    </row>
    <row r="17">
      <c r="B17" s="2" t="inlineStr"/>
    </row>
    <row r="18">
      <c r="B18" s="2" t="inlineStr"/>
    </row>
    <row r="19">
      <c r="B19" s="2" t="inlineStr"/>
    </row>
    <row r="20">
      <c r="B20" s="2" t="inlineStr"/>
    </row>
    <row r="21">
      <c r="B21" s="3" t="inlineStr">
        <is>
          <t>四、填写流程</t>
        </is>
      </c>
    </row>
    <row r="22">
      <c r="B22" s="2" t="inlineStr"/>
    </row>
    <row r="23">
      <c r="B23" s="2" t="inlineStr"/>
    </row>
    <row r="24">
      <c r="B24" s="2" t="inlineStr"/>
    </row>
    <row r="25">
      <c r="B25" s="2" t="inlineStr"/>
    </row>
    <row r="26">
      <c r="B26" s="2" t="inlineStr"/>
    </row>
    <row r="27">
      <c r="B27" s="3" t="inlineStr">
        <is>
          <t>五、系列编码（关键建模技术）</t>
        </is>
      </c>
    </row>
    <row r="28">
      <c r="B28" s="2" t="inlineStr"/>
    </row>
    <row r="29">
      <c r="B29" s="2" t="inlineStr"/>
    </row>
    <row r="30">
      <c r="B30" s="2" t="inlineStr"/>
    </row>
    <row r="31">
      <c r="B31" s="2" t="inlineStr"/>
    </row>
    <row r="32">
      <c r="B32" s="3" t="inlineStr">
        <is>
          <t>六、标签补充闭环（解决缺标签问题）</t>
        </is>
      </c>
    </row>
    <row r="33">
      <c r="B33" s="2" t="inlineStr"/>
    </row>
    <row r="34">
      <c r="B34" s="2" t="inlineStr"/>
    </row>
    <row r="35">
      <c r="B35" s="2" t="inlineStr"/>
    </row>
    <row r="36">
      <c r="B36" s="2" t="inlineStr"/>
    </row>
    <row r="37">
      <c r="B37" s="2" t="inlineStr"/>
    </row>
    <row r="38">
      <c r="B38" s="2" t="inlineStr">
        <is>
          <t>七、关键规则</t>
        </is>
      </c>
    </row>
    <row r="39">
      <c r="B39" s="2" t="inlineStr"/>
    </row>
    <row r="40">
      <c r="B40" s="2" t="inlineStr"/>
    </row>
    <row r="41">
      <c r="B41" s="2" t="inlineStr"/>
    </row>
    <row r="42">
      <c r="B4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2" customWidth="1" min="3" max="3"/>
    <col width="14" customWidth="1" min="4" max="4"/>
    <col width="8" customWidth="1" min="5" max="5"/>
    <col width="12" customWidth="1" min="6" max="6"/>
    <col width="10" customWidth="1" min="7" max="7"/>
    <col width="24" customWidth="1" min="8" max="8"/>
  </cols>
  <sheetData>
    <row r="1">
      <c r="A1" s="4" t="inlineStr">
        <is>
          <t>体系名称</t>
        </is>
      </c>
      <c r="B1" s="4" t="inlineStr">
        <is>
          <t>固化机制</t>
        </is>
      </c>
      <c r="C1" s="4" t="inlineStr">
        <is>
          <t>典型树脂类型</t>
        </is>
      </c>
      <c r="D1" s="4" t="inlineStr">
        <is>
          <t>目标属性</t>
        </is>
      </c>
      <c r="E1" s="4" t="inlineStr">
        <is>
          <t>单位</t>
        </is>
      </c>
      <c r="F1" s="4" t="inlineStr">
        <is>
          <t>方向</t>
        </is>
      </c>
      <c r="G1" s="4" t="inlineStr">
        <is>
          <t>数据类型</t>
        </is>
      </c>
      <c r="H1" s="4" t="inlineStr">
        <is>
          <t>适用标准/说明</t>
        </is>
      </c>
    </row>
    <row r="2">
      <c r="A2" s="5" t="inlineStr">
        <is>
          <t>环氧酚醛</t>
        </is>
      </c>
      <c r="B2" s="6" t="inlineStr">
        <is>
          <t>环氧-酚醛缩合</t>
        </is>
      </c>
      <c r="C2" s="6" t="inlineStr">
        <is>
          <t>环氧/酚醛</t>
        </is>
      </c>
      <c r="D2" s="5" t="inlineStr">
        <is>
          <t>T弯</t>
        </is>
      </c>
      <c r="E2" s="5" t="inlineStr">
        <is>
          <t>mm</t>
        </is>
      </c>
      <c r="F2" s="5" t="inlineStr">
        <is>
          <t>越低越好</t>
        </is>
      </c>
      <c r="G2" s="5" t="inlineStr">
        <is>
          <t>连续</t>
        </is>
      </c>
      <c r="H2" s="6" t="inlineStr">
        <is>
          <t>杯突/弯曲试验</t>
        </is>
      </c>
    </row>
    <row r="3">
      <c r="A3" s="5" t="inlineStr">
        <is>
          <t>环氧酚醛</t>
        </is>
      </c>
      <c r="B3" s="7" t="inlineStr">
        <is>
          <t>环氧-酚醛缩合</t>
        </is>
      </c>
      <c r="C3" s="7" t="inlineStr">
        <is>
          <t>环氧/酚醛</t>
        </is>
      </c>
      <c r="D3" s="5" t="inlineStr">
        <is>
          <t>MEK擦拭</t>
        </is>
      </c>
      <c r="E3" s="5" t="inlineStr">
        <is>
          <t>次</t>
        </is>
      </c>
      <c r="F3" s="5" t="inlineStr">
        <is>
          <t>越高越好</t>
        </is>
      </c>
      <c r="G3" s="5" t="inlineStr">
        <is>
          <t>计数</t>
        </is>
      </c>
      <c r="H3" s="7" t="inlineStr">
        <is>
          <t>MEK溶剂擦拭</t>
        </is>
      </c>
    </row>
    <row r="4">
      <c r="A4" s="5" t="inlineStr">
        <is>
          <t>环氧酚醛</t>
        </is>
      </c>
      <c r="B4" s="6" t="inlineStr">
        <is>
          <t>环氧-酚醛缩合</t>
        </is>
      </c>
      <c r="C4" s="6" t="inlineStr">
        <is>
          <t>环氧/酚醛</t>
        </is>
      </c>
      <c r="D4" s="5" t="inlineStr">
        <is>
          <t>水煮等级</t>
        </is>
      </c>
      <c r="E4" s="5" t="inlineStr">
        <is>
          <t>级</t>
        </is>
      </c>
      <c r="F4" s="5" t="inlineStr">
        <is>
          <t>越低越好</t>
        </is>
      </c>
      <c r="G4" s="5" t="inlineStr">
        <is>
          <t>等级</t>
        </is>
      </c>
      <c r="H4" s="6" t="inlineStr">
        <is>
          <t>1-5级水煮</t>
        </is>
      </c>
    </row>
    <row r="5">
      <c r="A5" s="5" t="inlineStr">
        <is>
          <t>有机</t>
        </is>
      </c>
      <c r="B5" s="7" t="inlineStr">
        <is>
          <t>羟基-氨基树脂</t>
        </is>
      </c>
      <c r="C5" s="7" t="inlineStr">
        <is>
          <t>丙烯酸/乙烯基/环氧</t>
        </is>
      </c>
      <c r="D5" s="5" t="inlineStr">
        <is>
          <t>T弯</t>
        </is>
      </c>
      <c r="E5" s="5" t="inlineStr">
        <is>
          <t>mm</t>
        </is>
      </c>
      <c r="F5" s="5" t="inlineStr">
        <is>
          <t>越低越好</t>
        </is>
      </c>
      <c r="G5" s="5" t="inlineStr">
        <is>
          <t>连续</t>
        </is>
      </c>
      <c r="H5" s="7" t="inlineStr">
        <is>
          <t>弯曲试验</t>
        </is>
      </c>
    </row>
    <row r="6">
      <c r="A6" s="5" t="inlineStr">
        <is>
          <t>有机</t>
        </is>
      </c>
      <c r="B6" s="6" t="inlineStr">
        <is>
          <t>羟基-氨基树脂</t>
        </is>
      </c>
      <c r="C6" s="6" t="inlineStr">
        <is>
          <t>丙烯酸/乙烯基/环氧</t>
        </is>
      </c>
      <c r="D6" s="5" t="inlineStr">
        <is>
          <t>MEK擦拭</t>
        </is>
      </c>
      <c r="E6" s="5" t="inlineStr">
        <is>
          <t>次</t>
        </is>
      </c>
      <c r="F6" s="5" t="inlineStr">
        <is>
          <t>越高越好</t>
        </is>
      </c>
      <c r="G6" s="5" t="inlineStr">
        <is>
          <t>计数</t>
        </is>
      </c>
      <c r="H6" s="6" t="inlineStr">
        <is>
          <t>MEK溶剂擦拭</t>
        </is>
      </c>
    </row>
    <row r="7">
      <c r="A7" s="5" t="inlineStr">
        <is>
          <t>有机</t>
        </is>
      </c>
      <c r="B7" s="7" t="inlineStr">
        <is>
          <t>羟基-氨基树脂</t>
        </is>
      </c>
      <c r="C7" s="7" t="inlineStr">
        <is>
          <t>丙烯酸/乙烯基/环氧</t>
        </is>
      </c>
      <c r="D7" s="5" t="inlineStr">
        <is>
          <t>附着力</t>
        </is>
      </c>
      <c r="E7" s="5" t="inlineStr">
        <is>
          <t>级</t>
        </is>
      </c>
      <c r="F7" s="5" t="inlineStr">
        <is>
          <t>越高越好</t>
        </is>
      </c>
      <c r="G7" s="5" t="inlineStr">
        <is>
          <t>等级</t>
        </is>
      </c>
      <c r="H7" s="7" t="inlineStr">
        <is>
          <t>划格试验</t>
        </is>
      </c>
    </row>
    <row r="8">
      <c r="A8" s="5" t="inlineStr">
        <is>
          <t>聚酯</t>
        </is>
      </c>
      <c r="B8" s="6" t="inlineStr">
        <is>
          <t>羟基-氨基树脂</t>
        </is>
      </c>
      <c r="C8" s="6" t="inlineStr">
        <is>
          <t>聚酯</t>
        </is>
      </c>
      <c r="D8" s="5" t="inlineStr">
        <is>
          <t>T弯</t>
        </is>
      </c>
      <c r="E8" s="5" t="inlineStr">
        <is>
          <t>mm</t>
        </is>
      </c>
      <c r="F8" s="5" t="inlineStr">
        <is>
          <t>越低越好</t>
        </is>
      </c>
      <c r="G8" s="5" t="inlineStr">
        <is>
          <t>连续</t>
        </is>
      </c>
      <c r="H8" s="6" t="inlineStr">
        <is>
          <t>弯曲试验</t>
        </is>
      </c>
    </row>
    <row r="9">
      <c r="A9" s="5" t="inlineStr">
        <is>
          <t>聚酯</t>
        </is>
      </c>
      <c r="B9" s="7" t="inlineStr">
        <is>
          <t>羟基-氨基树脂</t>
        </is>
      </c>
      <c r="C9" s="7" t="inlineStr">
        <is>
          <t>聚酯</t>
        </is>
      </c>
      <c r="D9" s="5" t="inlineStr">
        <is>
          <t>MEK擦拭</t>
        </is>
      </c>
      <c r="E9" s="5" t="inlineStr">
        <is>
          <t>次</t>
        </is>
      </c>
      <c r="F9" s="5" t="inlineStr">
        <is>
          <t>越高越好</t>
        </is>
      </c>
      <c r="G9" s="5" t="inlineStr">
        <is>
          <t>计数</t>
        </is>
      </c>
      <c r="H9" s="7" t="inlineStr">
        <is>
          <t>MEK溶剂擦拭</t>
        </is>
      </c>
    </row>
    <row r="10">
      <c r="A10" s="5" t="inlineStr">
        <is>
          <t>聚酯</t>
        </is>
      </c>
      <c r="B10" s="6" t="inlineStr">
        <is>
          <t>羟基-氨基树脂</t>
        </is>
      </c>
      <c r="C10" s="6" t="inlineStr">
        <is>
          <t>聚酯</t>
        </is>
      </c>
      <c r="D10" s="5" t="inlineStr">
        <is>
          <t>水煮等级</t>
        </is>
      </c>
      <c r="E10" s="5" t="inlineStr">
        <is>
          <t>级</t>
        </is>
      </c>
      <c r="F10" s="5" t="inlineStr">
        <is>
          <t>越低越好</t>
        </is>
      </c>
      <c r="G10" s="5" t="inlineStr">
        <is>
          <t>等级</t>
        </is>
      </c>
      <c r="H10" s="6" t="inlineStr">
        <is>
          <t>1-5级水煮</t>
        </is>
      </c>
    </row>
    <row r="11">
      <c r="A11" s="5" t="inlineStr">
        <is>
          <t>聚氨酯</t>
        </is>
      </c>
      <c r="B11" s="7" t="inlineStr">
        <is>
          <t>羟基-异氰酸酯</t>
        </is>
      </c>
      <c r="C11" s="7" t="inlineStr">
        <is>
          <t>聚酯/丙烯酸/聚氨酯</t>
        </is>
      </c>
      <c r="D11" s="5" t="inlineStr">
        <is>
          <t>T弯</t>
        </is>
      </c>
      <c r="E11" s="5" t="inlineStr">
        <is>
          <t>mm</t>
        </is>
      </c>
      <c r="F11" s="5" t="inlineStr">
        <is>
          <t>越低越好</t>
        </is>
      </c>
      <c r="G11" s="5" t="inlineStr">
        <is>
          <t>连续</t>
        </is>
      </c>
      <c r="H11" s="7" t="inlineStr">
        <is>
          <t>弯曲试验</t>
        </is>
      </c>
    </row>
    <row r="12">
      <c r="A12" s="5" t="inlineStr">
        <is>
          <t>聚氨酯</t>
        </is>
      </c>
      <c r="B12" s="6" t="inlineStr">
        <is>
          <t>羟基-异氰酸酯</t>
        </is>
      </c>
      <c r="C12" s="6" t="inlineStr">
        <is>
          <t>聚酯/丙烯酸/聚氨酯</t>
        </is>
      </c>
      <c r="D12" s="5" t="inlineStr">
        <is>
          <t>MEK擦拭</t>
        </is>
      </c>
      <c r="E12" s="5" t="inlineStr">
        <is>
          <t>次</t>
        </is>
      </c>
      <c r="F12" s="5" t="inlineStr">
        <is>
          <t>越高越好</t>
        </is>
      </c>
      <c r="G12" s="5" t="inlineStr">
        <is>
          <t>计数</t>
        </is>
      </c>
      <c r="H12" s="6" t="inlineStr">
        <is>
          <t>MEK溶剂擦拭</t>
        </is>
      </c>
    </row>
    <row r="13">
      <c r="A13" s="5" t="inlineStr">
        <is>
          <t>聚氨酯</t>
        </is>
      </c>
      <c r="B13" s="7" t="inlineStr">
        <is>
          <t>羟基-异氰酸酯</t>
        </is>
      </c>
      <c r="C13" s="7" t="inlineStr">
        <is>
          <t>聚酯/丙烯酸/聚氨酯</t>
        </is>
      </c>
      <c r="D13" s="5" t="inlineStr">
        <is>
          <t>硬度</t>
        </is>
      </c>
      <c r="E13" s="5" t="inlineStr">
        <is>
          <t>H</t>
        </is>
      </c>
      <c r="F13" s="5" t="inlineStr">
        <is>
          <t>越高越好</t>
        </is>
      </c>
      <c r="G13" s="5" t="inlineStr">
        <is>
          <t>等级</t>
        </is>
      </c>
      <c r="H13" s="7" t="inlineStr">
        <is>
          <t>铅笔硬度</t>
        </is>
      </c>
    </row>
    <row r="14">
      <c r="A14" s="5" t="inlineStr">
        <is>
          <t>丙烯酸</t>
        </is>
      </c>
      <c r="B14" s="6" t="inlineStr">
        <is>
          <t>自由基聚合/羟基-氨基</t>
        </is>
      </c>
      <c r="C14" s="6" t="inlineStr">
        <is>
          <t>丙烯酸</t>
        </is>
      </c>
      <c r="D14" s="5" t="inlineStr">
        <is>
          <t>T弯</t>
        </is>
      </c>
      <c r="E14" s="5" t="inlineStr">
        <is>
          <t>mm</t>
        </is>
      </c>
      <c r="F14" s="5" t="inlineStr">
        <is>
          <t>越低越好</t>
        </is>
      </c>
      <c r="G14" s="5" t="inlineStr">
        <is>
          <t>连续</t>
        </is>
      </c>
      <c r="H14" s="6" t="inlineStr">
        <is>
          <t>弯曲试验</t>
        </is>
      </c>
    </row>
    <row r="15">
      <c r="A15" s="5" t="inlineStr">
        <is>
          <t>丙烯酸</t>
        </is>
      </c>
      <c r="B15" s="7" t="inlineStr">
        <is>
          <t>自由基聚合/羟基-氨基</t>
        </is>
      </c>
      <c r="C15" s="7" t="inlineStr">
        <is>
          <t>丙烯酸</t>
        </is>
      </c>
      <c r="D15" s="5" t="inlineStr">
        <is>
          <t>MEK擦拭</t>
        </is>
      </c>
      <c r="E15" s="5" t="inlineStr">
        <is>
          <t>次</t>
        </is>
      </c>
      <c r="F15" s="5" t="inlineStr">
        <is>
          <t>越高越好</t>
        </is>
      </c>
      <c r="G15" s="5" t="inlineStr">
        <is>
          <t>计数</t>
        </is>
      </c>
      <c r="H15" s="7" t="inlineStr">
        <is>
          <t>MEK溶剂擦拭</t>
        </is>
      </c>
    </row>
    <row r="16">
      <c r="A16" s="5" t="inlineStr">
        <is>
          <t>环氧胺</t>
        </is>
      </c>
      <c r="B16" s="6" t="inlineStr">
        <is>
          <t>环氧-胺加成</t>
        </is>
      </c>
      <c r="C16" s="6" t="inlineStr">
        <is>
          <t>环氧</t>
        </is>
      </c>
      <c r="D16" s="5" t="inlineStr">
        <is>
          <t>T弯</t>
        </is>
      </c>
      <c r="E16" s="5" t="inlineStr">
        <is>
          <t>mm</t>
        </is>
      </c>
      <c r="F16" s="5" t="inlineStr">
        <is>
          <t>越低越好</t>
        </is>
      </c>
      <c r="G16" s="5" t="inlineStr">
        <is>
          <t>连续</t>
        </is>
      </c>
      <c r="H16" s="6" t="inlineStr">
        <is>
          <t>弯曲试验</t>
        </is>
      </c>
    </row>
    <row r="17">
      <c r="A17" s="5" t="inlineStr">
        <is>
          <t>环氧胺</t>
        </is>
      </c>
      <c r="B17" s="7" t="inlineStr">
        <is>
          <t>环氧-胺加成</t>
        </is>
      </c>
      <c r="C17" s="7" t="inlineStr">
        <is>
          <t>环氧</t>
        </is>
      </c>
      <c r="D17" s="5" t="inlineStr">
        <is>
          <t>MEK擦拭</t>
        </is>
      </c>
      <c r="E17" s="5" t="inlineStr">
        <is>
          <t>次</t>
        </is>
      </c>
      <c r="F17" s="5" t="inlineStr">
        <is>
          <t>越高越好</t>
        </is>
      </c>
      <c r="G17" s="5" t="inlineStr">
        <is>
          <t>计数</t>
        </is>
      </c>
      <c r="H17" s="7" t="inlineStr">
        <is>
          <t>MEK溶剂擦拭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0" customWidth="1" min="3" max="3"/>
    <col width="8" customWidth="1" min="4" max="4"/>
    <col width="9" customWidth="1" min="5" max="5"/>
    <col width="18" customWidth="1" min="6" max="6"/>
    <col width="10" customWidth="1" min="7" max="7"/>
    <col width="10" customWidth="1" min="8" max="8"/>
    <col width="10" customWidth="1" min="9" max="9"/>
    <col width="11" customWidth="1" min="10" max="10"/>
    <col width="12" customWidth="1" min="11" max="11"/>
    <col width="12" customWidth="1" min="12" max="12"/>
    <col width="12" customWidth="1" min="13" max="13"/>
    <col width="11" customWidth="1" min="14" max="14"/>
    <col width="8" customWidth="1" min="15" max="15"/>
    <col width="8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0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9" customWidth="1" min="37" max="37"/>
    <col width="9" customWidth="1" min="38" max="38"/>
    <col width="14" customWidth="1" min="39" max="39"/>
    <col width="20" customWidth="1" min="40" max="40"/>
  </cols>
  <sheetData>
    <row r="1">
      <c r="A1" s="4" t="inlineStr">
        <is>
          <t>原料代码</t>
        </is>
      </c>
      <c r="B1" s="4" t="inlineStr">
        <is>
          <t>原料名称</t>
        </is>
      </c>
      <c r="C1" s="4" t="inlineStr">
        <is>
          <t>所属体系</t>
        </is>
      </c>
      <c r="D1" s="4" t="inlineStr">
        <is>
          <t>角色</t>
        </is>
      </c>
      <c r="E1" s="4" t="inlineStr">
        <is>
          <t>树脂类型</t>
        </is>
      </c>
      <c r="F1" s="4" t="inlineStr">
        <is>
          <t>SMILES</t>
        </is>
      </c>
      <c r="G1" s="4" t="inlineStr">
        <is>
          <t>描述符状态</t>
        </is>
      </c>
      <c r="H1" s="4" t="inlineStr">
        <is>
          <t>固含NV(%)</t>
        </is>
      </c>
      <c r="I1" s="4" t="inlineStr">
        <is>
          <t>密度(g/cm³)</t>
        </is>
      </c>
      <c r="J1" s="4" t="inlineStr">
        <is>
          <t>分子量(g/mol)</t>
        </is>
      </c>
      <c r="K1" s="4" t="inlineStr">
        <is>
          <t>环氧当量EEW(g/eq)</t>
        </is>
      </c>
      <c r="L1" s="4" t="inlineStr">
        <is>
          <t>酸值AV(mgKOH/g)</t>
        </is>
      </c>
      <c r="M1" s="4" t="inlineStr">
        <is>
          <t>羟值OHV(mgKOH/g)</t>
        </is>
      </c>
      <c r="N1" s="4" t="inlineStr">
        <is>
          <t>胺值(mgKOH/g)</t>
        </is>
      </c>
      <c r="O1" s="4" t="inlineStr">
        <is>
          <t>官能度</t>
        </is>
      </c>
      <c r="P1" s="4" t="inlineStr">
        <is>
          <t>Tg(℃)</t>
        </is>
      </c>
      <c r="Q1" s="4" t="inlineStr">
        <is>
          <t>沸点(℃)</t>
        </is>
      </c>
      <c r="R1" s="4" t="inlineStr">
        <is>
          <t>闪点(℃)</t>
        </is>
      </c>
      <c r="S1" s="4" t="inlineStr">
        <is>
          <t>Hansen δD</t>
        </is>
      </c>
      <c r="T1" s="4" t="inlineStr">
        <is>
          <t>Hansen δP</t>
        </is>
      </c>
      <c r="U1" s="4" t="inlineStr">
        <is>
          <t>Hansen δH</t>
        </is>
      </c>
      <c r="V1" s="4" t="inlineStr">
        <is>
          <t>极性指数</t>
        </is>
      </c>
      <c r="W1" s="4" t="inlineStr">
        <is>
          <t>相对挥发速率</t>
        </is>
      </c>
      <c r="X1" s="4" t="inlineStr">
        <is>
          <t>C(%)</t>
        </is>
      </c>
      <c r="Y1" s="4" t="inlineStr">
        <is>
          <t>H(%)</t>
        </is>
      </c>
      <c r="Z1" s="4" t="inlineStr">
        <is>
          <t>O(%)</t>
        </is>
      </c>
      <c r="AA1" s="4" t="inlineStr">
        <is>
          <t>N(%)</t>
        </is>
      </c>
      <c r="AB1" s="4" t="inlineStr">
        <is>
          <t>S(%)</t>
        </is>
      </c>
      <c r="AC1" s="4" t="inlineStr">
        <is>
          <t>Cl(%)</t>
        </is>
      </c>
      <c r="AD1" s="4" t="inlineStr">
        <is>
          <t>环氧基(mol/100g)</t>
        </is>
      </c>
      <c r="AE1" s="4" t="inlineStr">
        <is>
          <t>羟基(mol/100g)</t>
        </is>
      </c>
      <c r="AF1" s="4" t="inlineStr">
        <is>
          <t>羧基(mol/100g)</t>
        </is>
      </c>
      <c r="AG1" s="4" t="inlineStr">
        <is>
          <t>酯基(mol/100g)</t>
        </is>
      </c>
      <c r="AH1" s="4" t="inlineStr">
        <is>
          <t>胺基(mol/100g)</t>
        </is>
      </c>
      <c r="AI1" s="4" t="inlineStr">
        <is>
          <t>酰胺(mol/100g)</t>
        </is>
      </c>
      <c r="AJ1" s="4" t="inlineStr">
        <is>
          <t>芳香环(mol/100g)</t>
        </is>
      </c>
      <c r="AK1" s="4" t="inlineStr">
        <is>
          <t>醚键(mol/100g)</t>
        </is>
      </c>
      <c r="AL1" s="4" t="inlineStr">
        <is>
          <t>蜡含量(%)</t>
        </is>
      </c>
      <c r="AM1" s="4" t="inlineStr">
        <is>
          <t>颜料含量(%)</t>
        </is>
      </c>
      <c r="AN1" s="4" t="inlineStr">
        <is>
          <t>数据来源</t>
        </is>
      </c>
      <c r="AO1" s="4" t="inlineStr">
        <is>
          <t>备注</t>
        </is>
      </c>
    </row>
    <row r="2">
      <c r="A2" s="6" t="inlineStr">
        <is>
          <t>IR190</t>
        </is>
      </c>
      <c r="B2" s="6" t="inlineStr">
        <is>
          <t>9型环氧树脂36%固含</t>
        </is>
      </c>
      <c r="C2" s="6" t="inlineStr">
        <is>
          <t>环氧酚醛</t>
        </is>
      </c>
      <c r="D2" s="6" t="inlineStr">
        <is>
          <t>树脂</t>
        </is>
      </c>
      <c r="E2" s="6" t="inlineStr">
        <is>
          <t>环氧</t>
        </is>
      </c>
      <c r="F2" s="6" t="inlineStr"/>
      <c r="G2" s="6" t="inlineStr">
        <is>
          <t>专有估算</t>
        </is>
      </c>
      <c r="H2" s="5" t="n">
        <v>36</v>
      </c>
      <c r="I2" s="6" t="n">
        <v>1</v>
      </c>
      <c r="J2" s="6" t="n">
        <v>1400</v>
      </c>
      <c r="K2" s="5" t="n">
        <v>2640</v>
      </c>
      <c r="L2" s="5" t="n">
        <v>0.5</v>
      </c>
      <c r="M2" s="5" t="n">
        <v>30</v>
      </c>
      <c r="N2" s="5" t="n">
        <v>0</v>
      </c>
      <c r="O2" s="5" t="n">
        <v>2</v>
      </c>
      <c r="P2" s="6" t="n">
        <v>70</v>
      </c>
      <c r="Q2" s="6" t="n">
        <v>250</v>
      </c>
      <c r="R2" s="6" t="n">
        <v>100</v>
      </c>
      <c r="S2" s="6" t="n">
        <v>18.5</v>
      </c>
      <c r="T2" s="6" t="n">
        <v>6</v>
      </c>
      <c r="U2" s="6" t="n">
        <v>8.5</v>
      </c>
      <c r="V2" s="6" t="n">
        <v>3</v>
      </c>
      <c r="W2" s="6" t="n">
        <v>0</v>
      </c>
      <c r="X2" s="6" t="n">
        <v>72</v>
      </c>
      <c r="Y2" s="6" t="n">
        <v>7</v>
      </c>
      <c r="Z2" s="6" t="n">
        <v>20</v>
      </c>
      <c r="AA2" s="6" t="n">
        <v>0</v>
      </c>
      <c r="AB2" s="6" t="n">
        <v>0</v>
      </c>
      <c r="AC2" s="6" t="n">
        <v>0</v>
      </c>
      <c r="AD2" s="5" t="n">
        <v>0.038</v>
      </c>
      <c r="AE2" s="5" t="n">
        <v>0.018</v>
      </c>
      <c r="AF2" s="5" t="n">
        <v>0.001</v>
      </c>
      <c r="AG2" s="5" t="n">
        <v>0.01</v>
      </c>
      <c r="AH2" s="5" t="n">
        <v>0</v>
      </c>
      <c r="AI2" s="5" t="n">
        <v>0</v>
      </c>
      <c r="AJ2" s="5" t="n">
        <v>0.4</v>
      </c>
      <c r="AK2" s="5" t="n">
        <v>0.15</v>
      </c>
      <c r="AL2" s="6" t="n">
        <v>0</v>
      </c>
      <c r="AM2" s="6" t="n">
        <v>0</v>
      </c>
      <c r="AN2" s="6" t="inlineStr">
        <is>
          <t>类别典型值/文件信息</t>
        </is>
      </c>
      <c r="AO2" s="6" t="inlineStr"/>
    </row>
    <row r="3">
      <c r="A3" s="7" t="inlineStr">
        <is>
          <t>IR809</t>
        </is>
      </c>
      <c r="B3" s="7" t="inlineStr">
        <is>
          <t>环氧树脂55%固含</t>
        </is>
      </c>
      <c r="C3" s="7" t="inlineStr">
        <is>
          <t>环氧酚醛</t>
        </is>
      </c>
      <c r="D3" s="7" t="inlineStr">
        <is>
          <t>树脂</t>
        </is>
      </c>
      <c r="E3" s="7" t="inlineStr">
        <is>
          <t>环氧</t>
        </is>
      </c>
      <c r="F3" s="7" t="inlineStr"/>
      <c r="G3" s="7" t="inlineStr">
        <is>
          <t>专有估算</t>
        </is>
      </c>
      <c r="H3" s="5" t="n">
        <v>55</v>
      </c>
      <c r="I3" s="7" t="n">
        <v>1.02</v>
      </c>
      <c r="J3" s="7" t="n">
        <v>1200</v>
      </c>
      <c r="K3" s="5" t="n">
        <v>1600</v>
      </c>
      <c r="L3" s="5" t="n">
        <v>0.5</v>
      </c>
      <c r="M3" s="5" t="n">
        <v>35</v>
      </c>
      <c r="N3" s="5" t="n">
        <v>0</v>
      </c>
      <c r="O3" s="5" t="n">
        <v>2</v>
      </c>
      <c r="P3" s="7" t="n">
        <v>65</v>
      </c>
      <c r="Q3" s="7" t="n">
        <v>250</v>
      </c>
      <c r="R3" s="7" t="n">
        <v>100</v>
      </c>
      <c r="S3" s="7" t="n">
        <v>18.3</v>
      </c>
      <c r="T3" s="7" t="n">
        <v>6.2</v>
      </c>
      <c r="U3" s="7" t="n">
        <v>8.800000000000001</v>
      </c>
      <c r="V3" s="7" t="n">
        <v>3.1</v>
      </c>
      <c r="W3" s="7" t="n">
        <v>0</v>
      </c>
      <c r="X3" s="7" t="n">
        <v>71</v>
      </c>
      <c r="Y3" s="7" t="n">
        <v>7</v>
      </c>
      <c r="Z3" s="7" t="n">
        <v>21</v>
      </c>
      <c r="AA3" s="7" t="n">
        <v>0</v>
      </c>
      <c r="AB3" s="7" t="n">
        <v>0</v>
      </c>
      <c r="AC3" s="7" t="n">
        <v>0</v>
      </c>
      <c r="AD3" s="5" t="n">
        <v>0.062</v>
      </c>
      <c r="AE3" s="5" t="n">
        <v>0.021</v>
      </c>
      <c r="AF3" s="5" t="n">
        <v>0.001</v>
      </c>
      <c r="AG3" s="5" t="n">
        <v>0.01</v>
      </c>
      <c r="AH3" s="5" t="n">
        <v>0</v>
      </c>
      <c r="AI3" s="5" t="n">
        <v>0</v>
      </c>
      <c r="AJ3" s="5" t="n">
        <v>0.38</v>
      </c>
      <c r="AK3" s="5" t="n">
        <v>0.16</v>
      </c>
      <c r="AL3" s="7" t="n">
        <v>0</v>
      </c>
      <c r="AM3" s="7" t="n">
        <v>0</v>
      </c>
      <c r="AN3" s="7" t="inlineStr">
        <is>
          <t>类别典型值/文件信息</t>
        </is>
      </c>
      <c r="AO3" s="7" t="inlineStr"/>
    </row>
    <row r="4">
      <c r="A4" s="6" t="inlineStr">
        <is>
          <t>住友55754G</t>
        </is>
      </c>
      <c r="B4" s="6" t="inlineStr">
        <is>
          <t>住友环氧树脂</t>
        </is>
      </c>
      <c r="C4" s="6" t="inlineStr">
        <is>
          <t>环氧酚醛</t>
        </is>
      </c>
      <c r="D4" s="6" t="inlineStr">
        <is>
          <t>树脂</t>
        </is>
      </c>
      <c r="E4" s="6" t="inlineStr">
        <is>
          <t>环氧</t>
        </is>
      </c>
      <c r="F4" s="6" t="inlineStr"/>
      <c r="G4" s="6" t="inlineStr">
        <is>
          <t>专有估算</t>
        </is>
      </c>
      <c r="H4" s="5" t="n">
        <v>100</v>
      </c>
      <c r="I4" s="6" t="n">
        <v>1.15</v>
      </c>
      <c r="J4" s="6" t="n">
        <v>1000</v>
      </c>
      <c r="K4" s="5" t="n">
        <v>950</v>
      </c>
      <c r="L4" s="5" t="n">
        <v>0.3</v>
      </c>
      <c r="M4" s="5" t="n">
        <v>40</v>
      </c>
      <c r="N4" s="5" t="n">
        <v>0</v>
      </c>
      <c r="O4" s="5" t="n">
        <v>2</v>
      </c>
      <c r="P4" s="6" t="n">
        <v>75</v>
      </c>
      <c r="Q4" s="6" t="n">
        <v>300</v>
      </c>
      <c r="R4" s="6" t="n">
        <v>150</v>
      </c>
      <c r="S4" s="6" t="n">
        <v>18.8</v>
      </c>
      <c r="T4" s="6" t="n">
        <v>6</v>
      </c>
      <c r="U4" s="6" t="n">
        <v>8.199999999999999</v>
      </c>
      <c r="V4" s="6" t="n">
        <v>3</v>
      </c>
      <c r="W4" s="6" t="n">
        <v>0</v>
      </c>
      <c r="X4" s="6" t="n">
        <v>73</v>
      </c>
      <c r="Y4" s="6" t="n">
        <v>7</v>
      </c>
      <c r="Z4" s="6" t="n">
        <v>19</v>
      </c>
      <c r="AA4" s="6" t="n">
        <v>0</v>
      </c>
      <c r="AB4" s="6" t="n">
        <v>0</v>
      </c>
      <c r="AC4" s="6" t="n">
        <v>0</v>
      </c>
      <c r="AD4" s="5" t="n">
        <v>0.105</v>
      </c>
      <c r="AE4" s="5" t="n">
        <v>0.024</v>
      </c>
      <c r="AF4" s="5" t="n">
        <v>0.001</v>
      </c>
      <c r="AG4" s="5" t="n">
        <v>0.01</v>
      </c>
      <c r="AH4" s="5" t="n">
        <v>0</v>
      </c>
      <c r="AI4" s="5" t="n">
        <v>0</v>
      </c>
      <c r="AJ4" s="5" t="n">
        <v>0.42</v>
      </c>
      <c r="AK4" s="5" t="n">
        <v>0.15</v>
      </c>
      <c r="AL4" s="6" t="n">
        <v>0</v>
      </c>
      <c r="AM4" s="6" t="n">
        <v>0</v>
      </c>
      <c r="AN4" s="6" t="inlineStr">
        <is>
          <t>类别典型值/文件信息</t>
        </is>
      </c>
      <c r="AO4" s="6" t="inlineStr"/>
    </row>
    <row r="5">
      <c r="A5" s="7" t="inlineStr">
        <is>
          <t>IR191</t>
        </is>
      </c>
      <c r="B5" s="7" t="inlineStr">
        <is>
          <t>IR191</t>
        </is>
      </c>
      <c r="C5" s="7" t="inlineStr">
        <is>
          <t>通用</t>
        </is>
      </c>
      <c r="D5" s="7" t="inlineStr">
        <is>
          <t>树脂</t>
        </is>
      </c>
      <c r="E5" s="7" t="inlineStr">
        <is>
          <t>环氧</t>
        </is>
      </c>
      <c r="F5" s="7" t="inlineStr"/>
      <c r="G5" s="7" t="inlineStr">
        <is>
          <t>专有估算</t>
        </is>
      </c>
      <c r="H5" s="5" t="n">
        <v>36</v>
      </c>
      <c r="I5" s="7" t="n">
        <v>1</v>
      </c>
      <c r="J5" s="7" t="n">
        <v>1400</v>
      </c>
      <c r="K5" s="5" t="n">
        <v>2650</v>
      </c>
      <c r="L5" s="5" t="n">
        <v>0.5</v>
      </c>
      <c r="M5" s="5" t="n">
        <v>30</v>
      </c>
      <c r="N5" s="5" t="n">
        <v>0</v>
      </c>
      <c r="O5" s="5" t="n">
        <v>2</v>
      </c>
      <c r="P5" s="7" t="n">
        <v>70</v>
      </c>
      <c r="Q5" s="7" t="n">
        <v>250</v>
      </c>
      <c r="R5" s="7" t="n">
        <v>100</v>
      </c>
      <c r="S5" s="7" t="n">
        <v>18.5</v>
      </c>
      <c r="T5" s="7" t="n">
        <v>6</v>
      </c>
      <c r="U5" s="7" t="n">
        <v>8.5</v>
      </c>
      <c r="V5" s="7" t="n">
        <v>3</v>
      </c>
      <c r="W5" s="7" t="n">
        <v>0</v>
      </c>
      <c r="X5" s="7" t="n">
        <v>72</v>
      </c>
      <c r="Y5" s="7" t="n">
        <v>7</v>
      </c>
      <c r="Z5" s="7" t="n">
        <v>20</v>
      </c>
      <c r="AA5" s="7" t="n">
        <v>0</v>
      </c>
      <c r="AB5" s="7" t="n">
        <v>0</v>
      </c>
      <c r="AC5" s="7" t="n">
        <v>0</v>
      </c>
      <c r="AD5" s="5" t="n">
        <v>0.038</v>
      </c>
      <c r="AE5" s="5" t="n">
        <v>0.018</v>
      </c>
      <c r="AF5" s="5" t="n">
        <v>0.001</v>
      </c>
      <c r="AG5" s="5" t="n">
        <v>0.01</v>
      </c>
      <c r="AH5" s="5" t="n">
        <v>0</v>
      </c>
      <c r="AI5" s="5" t="n">
        <v>0</v>
      </c>
      <c r="AJ5" s="5" t="n">
        <v>0.4</v>
      </c>
      <c r="AK5" s="5" t="n">
        <v>0.15</v>
      </c>
      <c r="AL5" s="7" t="n">
        <v>0</v>
      </c>
      <c r="AM5" s="7" t="n">
        <v>0</v>
      </c>
      <c r="AN5" s="7" t="inlineStr">
        <is>
          <t>类别典型值/文件信息</t>
        </is>
      </c>
      <c r="AO5" s="7" t="inlineStr"/>
    </row>
    <row r="6">
      <c r="A6" s="6" t="inlineStr">
        <is>
          <t>IR170</t>
        </is>
      </c>
      <c r="B6" s="6" t="inlineStr">
        <is>
          <t>IR170</t>
        </is>
      </c>
      <c r="C6" s="6" t="inlineStr">
        <is>
          <t>通用</t>
        </is>
      </c>
      <c r="D6" s="6" t="inlineStr">
        <is>
          <t>树脂</t>
        </is>
      </c>
      <c r="E6" s="6" t="inlineStr">
        <is>
          <t>环氧</t>
        </is>
      </c>
      <c r="F6" s="6" t="inlineStr"/>
      <c r="G6" s="6" t="inlineStr">
        <is>
          <t>专有估算</t>
        </is>
      </c>
      <c r="H6" s="5" t="n">
        <v>50</v>
      </c>
      <c r="I6" s="6" t="n">
        <v>1.02</v>
      </c>
      <c r="J6" s="6" t="n">
        <v>1300</v>
      </c>
      <c r="K6" s="5" t="n">
        <v>1800</v>
      </c>
      <c r="L6" s="5" t="n">
        <v>0.5</v>
      </c>
      <c r="M6" s="5" t="n">
        <v>32</v>
      </c>
      <c r="N6" s="5" t="n">
        <v>0</v>
      </c>
      <c r="O6" s="5" t="n">
        <v>2</v>
      </c>
      <c r="P6" s="6" t="n">
        <v>68</v>
      </c>
      <c r="Q6" s="6" t="n">
        <v>250</v>
      </c>
      <c r="R6" s="6" t="n">
        <v>100</v>
      </c>
      <c r="S6" s="6" t="n">
        <v>18.4</v>
      </c>
      <c r="T6" s="6" t="n">
        <v>6.1</v>
      </c>
      <c r="U6" s="6" t="n">
        <v>8.6</v>
      </c>
      <c r="V6" s="6" t="n">
        <v>3</v>
      </c>
      <c r="W6" s="6" t="n">
        <v>0</v>
      </c>
      <c r="X6" s="6" t="n">
        <v>72</v>
      </c>
      <c r="Y6" s="6" t="n">
        <v>7</v>
      </c>
      <c r="Z6" s="6" t="n">
        <v>20</v>
      </c>
      <c r="AA6" s="6" t="n">
        <v>0</v>
      </c>
      <c r="AB6" s="6" t="n">
        <v>0</v>
      </c>
      <c r="AC6" s="6" t="n">
        <v>0</v>
      </c>
      <c r="AD6" s="5" t="n">
        <v>0.056</v>
      </c>
      <c r="AE6" s="5" t="n">
        <v>0.019</v>
      </c>
      <c r="AF6" s="5" t="n">
        <v>0.001</v>
      </c>
      <c r="AG6" s="5" t="n">
        <v>0.01</v>
      </c>
      <c r="AH6" s="5" t="n">
        <v>0</v>
      </c>
      <c r="AI6" s="5" t="n">
        <v>0</v>
      </c>
      <c r="AJ6" s="5" t="n">
        <v>0.4</v>
      </c>
      <c r="AK6" s="5" t="n">
        <v>0.15</v>
      </c>
      <c r="AL6" s="6" t="n">
        <v>0</v>
      </c>
      <c r="AM6" s="6" t="n">
        <v>0</v>
      </c>
      <c r="AN6" s="6" t="inlineStr">
        <is>
          <t>类别典型值/文件信息</t>
        </is>
      </c>
      <c r="AO6" s="6" t="inlineStr"/>
    </row>
    <row r="7">
      <c r="A7" s="7" t="inlineStr">
        <is>
          <t>IR877</t>
        </is>
      </c>
      <c r="B7" s="7" t="inlineStr">
        <is>
          <t>环氧树脂</t>
        </is>
      </c>
      <c r="C7" s="7" t="inlineStr">
        <is>
          <t>有机</t>
        </is>
      </c>
      <c r="D7" s="7" t="inlineStr">
        <is>
          <t>树脂</t>
        </is>
      </c>
      <c r="E7" s="7" t="inlineStr">
        <is>
          <t>环氧</t>
        </is>
      </c>
      <c r="F7" s="7" t="inlineStr"/>
      <c r="G7" s="7" t="inlineStr">
        <is>
          <t>专有估算</t>
        </is>
      </c>
      <c r="H7" s="5" t="n">
        <v>60</v>
      </c>
      <c r="I7" s="7" t="n">
        <v>1.03</v>
      </c>
      <c r="J7" s="7" t="n">
        <v>1200</v>
      </c>
      <c r="K7" s="5" t="n">
        <v>1500</v>
      </c>
      <c r="L7" s="5" t="n">
        <v>0.5</v>
      </c>
      <c r="M7" s="5" t="n">
        <v>35</v>
      </c>
      <c r="N7" s="5" t="n">
        <v>0</v>
      </c>
      <c r="O7" s="5" t="n">
        <v>2</v>
      </c>
      <c r="P7" s="7" t="n">
        <v>66</v>
      </c>
      <c r="Q7" s="7" t="n">
        <v>250</v>
      </c>
      <c r="R7" s="7" t="n">
        <v>100</v>
      </c>
      <c r="S7" s="7" t="n">
        <v>18.3</v>
      </c>
      <c r="T7" s="7" t="n">
        <v>6.2</v>
      </c>
      <c r="U7" s="7" t="n">
        <v>8.699999999999999</v>
      </c>
      <c r="V7" s="7" t="n">
        <v>3.1</v>
      </c>
      <c r="W7" s="7" t="n">
        <v>0</v>
      </c>
      <c r="X7" s="7" t="n">
        <v>71</v>
      </c>
      <c r="Y7" s="7" t="n">
        <v>7</v>
      </c>
      <c r="Z7" s="7" t="n">
        <v>21</v>
      </c>
      <c r="AA7" s="7" t="n">
        <v>0</v>
      </c>
      <c r="AB7" s="7" t="n">
        <v>0</v>
      </c>
      <c r="AC7" s="7" t="n">
        <v>0</v>
      </c>
      <c r="AD7" s="5" t="n">
        <v>0.067</v>
      </c>
      <c r="AE7" s="5" t="n">
        <v>0.021</v>
      </c>
      <c r="AF7" s="5" t="n">
        <v>0.001</v>
      </c>
      <c r="AG7" s="5" t="n">
        <v>0.01</v>
      </c>
      <c r="AH7" s="5" t="n">
        <v>0</v>
      </c>
      <c r="AI7" s="5" t="n">
        <v>0</v>
      </c>
      <c r="AJ7" s="5" t="n">
        <v>0.38</v>
      </c>
      <c r="AK7" s="5" t="n">
        <v>0.16</v>
      </c>
      <c r="AL7" s="7" t="n">
        <v>0</v>
      </c>
      <c r="AM7" s="7" t="n">
        <v>0</v>
      </c>
      <c r="AN7" s="7" t="inlineStr">
        <is>
          <t>类别典型值/文件信息</t>
        </is>
      </c>
      <c r="AO7" s="7" t="inlineStr"/>
    </row>
    <row r="8">
      <c r="A8" s="6" t="inlineStr">
        <is>
          <t>IR909</t>
        </is>
      </c>
      <c r="B8" s="6" t="inlineStr">
        <is>
          <t>环氧树脂</t>
        </is>
      </c>
      <c r="C8" s="6" t="inlineStr">
        <is>
          <t>聚酯</t>
        </is>
      </c>
      <c r="D8" s="6" t="inlineStr">
        <is>
          <t>树脂</t>
        </is>
      </c>
      <c r="E8" s="6" t="inlineStr">
        <is>
          <t>环氧</t>
        </is>
      </c>
      <c r="F8" s="6" t="inlineStr"/>
      <c r="G8" s="6" t="inlineStr">
        <is>
          <t>专有估算</t>
        </is>
      </c>
      <c r="H8" s="5" t="n">
        <v>60</v>
      </c>
      <c r="I8" s="6" t="n">
        <v>1.03</v>
      </c>
      <c r="J8" s="6" t="n">
        <v>1200</v>
      </c>
      <c r="K8" s="5" t="n">
        <v>1500</v>
      </c>
      <c r="L8" s="5" t="n">
        <v>0.5</v>
      </c>
      <c r="M8" s="5" t="n">
        <v>35</v>
      </c>
      <c r="N8" s="5" t="n">
        <v>0</v>
      </c>
      <c r="O8" s="5" t="n">
        <v>2</v>
      </c>
      <c r="P8" s="6" t="n">
        <v>66</v>
      </c>
      <c r="Q8" s="6" t="n">
        <v>250</v>
      </c>
      <c r="R8" s="6" t="n">
        <v>100</v>
      </c>
      <c r="S8" s="6" t="n">
        <v>18.3</v>
      </c>
      <c r="T8" s="6" t="n">
        <v>6.2</v>
      </c>
      <c r="U8" s="6" t="n">
        <v>8.699999999999999</v>
      </c>
      <c r="V8" s="6" t="n">
        <v>3.1</v>
      </c>
      <c r="W8" s="6" t="n">
        <v>0</v>
      </c>
      <c r="X8" s="6" t="n">
        <v>71</v>
      </c>
      <c r="Y8" s="6" t="n">
        <v>7</v>
      </c>
      <c r="Z8" s="6" t="n">
        <v>21</v>
      </c>
      <c r="AA8" s="6" t="n">
        <v>0</v>
      </c>
      <c r="AB8" s="6" t="n">
        <v>0</v>
      </c>
      <c r="AC8" s="6" t="n">
        <v>0</v>
      </c>
      <c r="AD8" s="5" t="n">
        <v>0.067</v>
      </c>
      <c r="AE8" s="5" t="n">
        <v>0.021</v>
      </c>
      <c r="AF8" s="5" t="n">
        <v>0.001</v>
      </c>
      <c r="AG8" s="5" t="n">
        <v>0.01</v>
      </c>
      <c r="AH8" s="5" t="n">
        <v>0</v>
      </c>
      <c r="AI8" s="5" t="n">
        <v>0</v>
      </c>
      <c r="AJ8" s="5" t="n">
        <v>0.38</v>
      </c>
      <c r="AK8" s="5" t="n">
        <v>0.16</v>
      </c>
      <c r="AL8" s="6" t="n">
        <v>0</v>
      </c>
      <c r="AM8" s="6" t="n">
        <v>0</v>
      </c>
      <c r="AN8" s="6" t="inlineStr">
        <is>
          <t>类别典型值/文件信息</t>
        </is>
      </c>
      <c r="AO8" s="6" t="inlineStr"/>
    </row>
    <row r="9">
      <c r="A9" s="7" t="inlineStr">
        <is>
          <t>IR557</t>
        </is>
      </c>
      <c r="B9" s="7" t="inlineStr">
        <is>
          <t>环氧树脂</t>
        </is>
      </c>
      <c r="C9" s="7" t="inlineStr">
        <is>
          <t>聚酯</t>
        </is>
      </c>
      <c r="D9" s="7" t="inlineStr">
        <is>
          <t>树脂</t>
        </is>
      </c>
      <c r="E9" s="7" t="inlineStr">
        <is>
          <t>环氧</t>
        </is>
      </c>
      <c r="F9" s="7" t="inlineStr"/>
      <c r="G9" s="7" t="inlineStr">
        <is>
          <t>专有估算</t>
        </is>
      </c>
      <c r="H9" s="5" t="n">
        <v>60</v>
      </c>
      <c r="I9" s="7" t="n">
        <v>1.03</v>
      </c>
      <c r="J9" s="7" t="n">
        <v>1200</v>
      </c>
      <c r="K9" s="5" t="n">
        <v>1500</v>
      </c>
      <c r="L9" s="5" t="n">
        <v>0.5</v>
      </c>
      <c r="M9" s="5" t="n">
        <v>35</v>
      </c>
      <c r="N9" s="5" t="n">
        <v>0</v>
      </c>
      <c r="O9" s="5" t="n">
        <v>2</v>
      </c>
      <c r="P9" s="7" t="n">
        <v>66</v>
      </c>
      <c r="Q9" s="7" t="n">
        <v>250</v>
      </c>
      <c r="R9" s="7" t="n">
        <v>100</v>
      </c>
      <c r="S9" s="7" t="n">
        <v>18.3</v>
      </c>
      <c r="T9" s="7" t="n">
        <v>6.2</v>
      </c>
      <c r="U9" s="7" t="n">
        <v>8.699999999999999</v>
      </c>
      <c r="V9" s="7" t="n">
        <v>3.1</v>
      </c>
      <c r="W9" s="7" t="n">
        <v>0</v>
      </c>
      <c r="X9" s="7" t="n">
        <v>71</v>
      </c>
      <c r="Y9" s="7" t="n">
        <v>7</v>
      </c>
      <c r="Z9" s="7" t="n">
        <v>21</v>
      </c>
      <c r="AA9" s="7" t="n">
        <v>0</v>
      </c>
      <c r="AB9" s="7" t="n">
        <v>0</v>
      </c>
      <c r="AC9" s="7" t="n">
        <v>0</v>
      </c>
      <c r="AD9" s="5" t="n">
        <v>0.067</v>
      </c>
      <c r="AE9" s="5" t="n">
        <v>0.021</v>
      </c>
      <c r="AF9" s="5" t="n">
        <v>0.001</v>
      </c>
      <c r="AG9" s="5" t="n">
        <v>0.01</v>
      </c>
      <c r="AH9" s="5" t="n">
        <v>0</v>
      </c>
      <c r="AI9" s="5" t="n">
        <v>0</v>
      </c>
      <c r="AJ9" s="5" t="n">
        <v>0.38</v>
      </c>
      <c r="AK9" s="5" t="n">
        <v>0.16</v>
      </c>
      <c r="AL9" s="7" t="n">
        <v>0</v>
      </c>
      <c r="AM9" s="7" t="n">
        <v>0</v>
      </c>
      <c r="AN9" s="7" t="inlineStr">
        <is>
          <t>类别典型值/文件信息</t>
        </is>
      </c>
      <c r="AO9" s="7" t="inlineStr"/>
    </row>
    <row r="10">
      <c r="A10" s="6" t="inlineStr">
        <is>
          <t>R170M</t>
        </is>
      </c>
      <c r="B10" s="6" t="inlineStr">
        <is>
          <t>环氧树脂</t>
        </is>
      </c>
      <c r="C10" s="6" t="inlineStr">
        <is>
          <t>聚酯</t>
        </is>
      </c>
      <c r="D10" s="6" t="inlineStr">
        <is>
          <t>树脂</t>
        </is>
      </c>
      <c r="E10" s="6" t="inlineStr">
        <is>
          <t>环氧</t>
        </is>
      </c>
      <c r="F10" s="6" t="inlineStr"/>
      <c r="G10" s="6" t="inlineStr">
        <is>
          <t>专有估算</t>
        </is>
      </c>
      <c r="H10" s="5" t="n">
        <v>60</v>
      </c>
      <c r="I10" s="6" t="n">
        <v>1.03</v>
      </c>
      <c r="J10" s="6" t="n">
        <v>1200</v>
      </c>
      <c r="K10" s="5" t="n">
        <v>1500</v>
      </c>
      <c r="L10" s="5" t="n">
        <v>0.5</v>
      </c>
      <c r="M10" s="5" t="n">
        <v>35</v>
      </c>
      <c r="N10" s="5" t="n">
        <v>0</v>
      </c>
      <c r="O10" s="5" t="n">
        <v>2</v>
      </c>
      <c r="P10" s="6" t="n">
        <v>66</v>
      </c>
      <c r="Q10" s="6" t="n">
        <v>250</v>
      </c>
      <c r="R10" s="6" t="n">
        <v>100</v>
      </c>
      <c r="S10" s="6" t="n">
        <v>18.3</v>
      </c>
      <c r="T10" s="6" t="n">
        <v>6.2</v>
      </c>
      <c r="U10" s="6" t="n">
        <v>8.699999999999999</v>
      </c>
      <c r="V10" s="6" t="n">
        <v>3.1</v>
      </c>
      <c r="W10" s="6" t="n">
        <v>0</v>
      </c>
      <c r="X10" s="6" t="n">
        <v>71</v>
      </c>
      <c r="Y10" s="6" t="n">
        <v>7</v>
      </c>
      <c r="Z10" s="6" t="n">
        <v>21</v>
      </c>
      <c r="AA10" s="6" t="n">
        <v>0</v>
      </c>
      <c r="AB10" s="6" t="n">
        <v>0</v>
      </c>
      <c r="AC10" s="6" t="n">
        <v>0</v>
      </c>
      <c r="AD10" s="5" t="n">
        <v>0.067</v>
      </c>
      <c r="AE10" s="5" t="n">
        <v>0.021</v>
      </c>
      <c r="AF10" s="5" t="n">
        <v>0.001</v>
      </c>
      <c r="AG10" s="5" t="n">
        <v>0.01</v>
      </c>
      <c r="AH10" s="5" t="n">
        <v>0</v>
      </c>
      <c r="AI10" s="5" t="n">
        <v>0</v>
      </c>
      <c r="AJ10" s="5" t="n">
        <v>0.38</v>
      </c>
      <c r="AK10" s="5" t="n">
        <v>0.16</v>
      </c>
      <c r="AL10" s="6" t="n">
        <v>0</v>
      </c>
      <c r="AM10" s="6" t="n">
        <v>0</v>
      </c>
      <c r="AN10" s="6" t="inlineStr">
        <is>
          <t>类别典型值/文件信息</t>
        </is>
      </c>
      <c r="AO10" s="6" t="inlineStr"/>
    </row>
    <row r="11">
      <c r="A11" s="7" t="inlineStr">
        <is>
          <t>IR868</t>
        </is>
      </c>
      <c r="B11" s="7" t="inlineStr">
        <is>
          <t>环氧树脂</t>
        </is>
      </c>
      <c r="C11" s="7" t="inlineStr">
        <is>
          <t>聚酯</t>
        </is>
      </c>
      <c r="D11" s="7" t="inlineStr">
        <is>
          <t>树脂</t>
        </is>
      </c>
      <c r="E11" s="7" t="inlineStr">
        <is>
          <t>环氧</t>
        </is>
      </c>
      <c r="F11" s="7" t="inlineStr"/>
      <c r="G11" s="7" t="inlineStr">
        <is>
          <t>专有估算</t>
        </is>
      </c>
      <c r="H11" s="5" t="n">
        <v>60</v>
      </c>
      <c r="I11" s="7" t="n">
        <v>1.03</v>
      </c>
      <c r="J11" s="7" t="n">
        <v>1200</v>
      </c>
      <c r="K11" s="5" t="n">
        <v>1500</v>
      </c>
      <c r="L11" s="5" t="n">
        <v>0.5</v>
      </c>
      <c r="M11" s="5" t="n">
        <v>35</v>
      </c>
      <c r="N11" s="5" t="n">
        <v>0</v>
      </c>
      <c r="O11" s="5" t="n">
        <v>2</v>
      </c>
      <c r="P11" s="7" t="n">
        <v>66</v>
      </c>
      <c r="Q11" s="7" t="n">
        <v>250</v>
      </c>
      <c r="R11" s="7" t="n">
        <v>100</v>
      </c>
      <c r="S11" s="7" t="n">
        <v>18.3</v>
      </c>
      <c r="T11" s="7" t="n">
        <v>6.2</v>
      </c>
      <c r="U11" s="7" t="n">
        <v>8.699999999999999</v>
      </c>
      <c r="V11" s="7" t="n">
        <v>3.1</v>
      </c>
      <c r="W11" s="7" t="n">
        <v>0</v>
      </c>
      <c r="X11" s="7" t="n">
        <v>71</v>
      </c>
      <c r="Y11" s="7" t="n">
        <v>7</v>
      </c>
      <c r="Z11" s="7" t="n">
        <v>21</v>
      </c>
      <c r="AA11" s="7" t="n">
        <v>0</v>
      </c>
      <c r="AB11" s="7" t="n">
        <v>0</v>
      </c>
      <c r="AC11" s="7" t="n">
        <v>0</v>
      </c>
      <c r="AD11" s="5" t="n">
        <v>0.067</v>
      </c>
      <c r="AE11" s="5" t="n">
        <v>0.021</v>
      </c>
      <c r="AF11" s="5" t="n">
        <v>0.001</v>
      </c>
      <c r="AG11" s="5" t="n">
        <v>0.01</v>
      </c>
      <c r="AH11" s="5" t="n">
        <v>0</v>
      </c>
      <c r="AI11" s="5" t="n">
        <v>0</v>
      </c>
      <c r="AJ11" s="5" t="n">
        <v>0.38</v>
      </c>
      <c r="AK11" s="5" t="n">
        <v>0.16</v>
      </c>
      <c r="AL11" s="7" t="n">
        <v>0</v>
      </c>
      <c r="AM11" s="7" t="n">
        <v>0</v>
      </c>
      <c r="AN11" s="7" t="inlineStr">
        <is>
          <t>类别典型值/文件信息</t>
        </is>
      </c>
      <c r="AO11" s="7" t="inlineStr"/>
    </row>
    <row r="12">
      <c r="A12" s="6" t="inlineStr">
        <is>
          <t>IR842</t>
        </is>
      </c>
      <c r="B12" s="6" t="inlineStr">
        <is>
          <t>环氧树脂</t>
        </is>
      </c>
      <c r="C12" s="6" t="inlineStr">
        <is>
          <t>有机</t>
        </is>
      </c>
      <c r="D12" s="6" t="inlineStr">
        <is>
          <t>树脂</t>
        </is>
      </c>
      <c r="E12" s="6" t="inlineStr">
        <is>
          <t>环氧</t>
        </is>
      </c>
      <c r="F12" s="6" t="inlineStr"/>
      <c r="G12" s="6" t="inlineStr">
        <is>
          <t>专有估算</t>
        </is>
      </c>
      <c r="H12" s="5" t="n">
        <v>60</v>
      </c>
      <c r="I12" s="6" t="n">
        <v>1.03</v>
      </c>
      <c r="J12" s="6" t="n">
        <v>1200</v>
      </c>
      <c r="K12" s="5" t="n">
        <v>1500</v>
      </c>
      <c r="L12" s="5" t="n">
        <v>0.5</v>
      </c>
      <c r="M12" s="5" t="n">
        <v>35</v>
      </c>
      <c r="N12" s="5" t="n">
        <v>0</v>
      </c>
      <c r="O12" s="5" t="n">
        <v>2</v>
      </c>
      <c r="P12" s="6" t="n">
        <v>66</v>
      </c>
      <c r="Q12" s="6" t="n">
        <v>250</v>
      </c>
      <c r="R12" s="6" t="n">
        <v>100</v>
      </c>
      <c r="S12" s="6" t="n">
        <v>18.3</v>
      </c>
      <c r="T12" s="6" t="n">
        <v>6.2</v>
      </c>
      <c r="U12" s="6" t="n">
        <v>8.699999999999999</v>
      </c>
      <c r="V12" s="6" t="n">
        <v>3.1</v>
      </c>
      <c r="W12" s="6" t="n">
        <v>0</v>
      </c>
      <c r="X12" s="6" t="n">
        <v>71</v>
      </c>
      <c r="Y12" s="6" t="n">
        <v>7</v>
      </c>
      <c r="Z12" s="6" t="n">
        <v>21</v>
      </c>
      <c r="AA12" s="6" t="n">
        <v>0</v>
      </c>
      <c r="AB12" s="6" t="n">
        <v>0</v>
      </c>
      <c r="AC12" s="6" t="n">
        <v>0</v>
      </c>
      <c r="AD12" s="5" t="n">
        <v>0.067</v>
      </c>
      <c r="AE12" s="5" t="n">
        <v>0.021</v>
      </c>
      <c r="AF12" s="5" t="n">
        <v>0.001</v>
      </c>
      <c r="AG12" s="5" t="n">
        <v>0.01</v>
      </c>
      <c r="AH12" s="5" t="n">
        <v>0</v>
      </c>
      <c r="AI12" s="5" t="n">
        <v>0</v>
      </c>
      <c r="AJ12" s="5" t="n">
        <v>0.38</v>
      </c>
      <c r="AK12" s="5" t="n">
        <v>0.16</v>
      </c>
      <c r="AL12" s="6" t="n">
        <v>0</v>
      </c>
      <c r="AM12" s="6" t="n">
        <v>0</v>
      </c>
      <c r="AN12" s="6" t="inlineStr">
        <is>
          <t>类别典型值/文件信息</t>
        </is>
      </c>
      <c r="AO12" s="6" t="inlineStr"/>
    </row>
    <row r="13">
      <c r="A13" s="7" t="inlineStr">
        <is>
          <t>40%50177</t>
        </is>
      </c>
      <c r="B13" s="7" t="inlineStr">
        <is>
          <t>环氧树脂40%固含</t>
        </is>
      </c>
      <c r="C13" s="7" t="inlineStr">
        <is>
          <t>有机</t>
        </is>
      </c>
      <c r="D13" s="7" t="inlineStr">
        <is>
          <t>树脂</t>
        </is>
      </c>
      <c r="E13" s="7" t="inlineStr">
        <is>
          <t>环氧</t>
        </is>
      </c>
      <c r="F13" s="7" t="inlineStr"/>
      <c r="G13" s="7" t="inlineStr">
        <is>
          <t>专有估算</t>
        </is>
      </c>
      <c r="H13" s="5" t="n">
        <v>40</v>
      </c>
      <c r="I13" s="7" t="n">
        <v>1.01</v>
      </c>
      <c r="J13" s="7" t="n">
        <v>1300</v>
      </c>
      <c r="K13" s="5" t="n">
        <v>2400</v>
      </c>
      <c r="L13" s="5" t="n">
        <v>0.5</v>
      </c>
      <c r="M13" s="5" t="n">
        <v>32</v>
      </c>
      <c r="N13" s="5" t="n">
        <v>0</v>
      </c>
      <c r="O13" s="5" t="n">
        <v>2</v>
      </c>
      <c r="P13" s="7" t="n">
        <v>68</v>
      </c>
      <c r="Q13" s="7" t="n">
        <v>250</v>
      </c>
      <c r="R13" s="7" t="n">
        <v>100</v>
      </c>
      <c r="S13" s="7" t="n">
        <v>18.4</v>
      </c>
      <c r="T13" s="7" t="n">
        <v>6.1</v>
      </c>
      <c r="U13" s="7" t="n">
        <v>8.6</v>
      </c>
      <c r="V13" s="7" t="n">
        <v>3</v>
      </c>
      <c r="W13" s="7" t="n">
        <v>0</v>
      </c>
      <c r="X13" s="7" t="n">
        <v>72</v>
      </c>
      <c r="Y13" s="7" t="n">
        <v>7</v>
      </c>
      <c r="Z13" s="7" t="n">
        <v>20</v>
      </c>
      <c r="AA13" s="7" t="n">
        <v>0</v>
      </c>
      <c r="AB13" s="7" t="n">
        <v>0</v>
      </c>
      <c r="AC13" s="7" t="n">
        <v>0</v>
      </c>
      <c r="AD13" s="5" t="n">
        <v>0.042</v>
      </c>
      <c r="AE13" s="5" t="n">
        <v>0.019</v>
      </c>
      <c r="AF13" s="5" t="n">
        <v>0.001</v>
      </c>
      <c r="AG13" s="5" t="n">
        <v>0.01</v>
      </c>
      <c r="AH13" s="5" t="n">
        <v>0</v>
      </c>
      <c r="AI13" s="5" t="n">
        <v>0</v>
      </c>
      <c r="AJ13" s="5" t="n">
        <v>0.4</v>
      </c>
      <c r="AK13" s="5" t="n">
        <v>0.15</v>
      </c>
      <c r="AL13" s="7" t="n">
        <v>0</v>
      </c>
      <c r="AM13" s="7" t="n">
        <v>0</v>
      </c>
      <c r="AN13" s="7" t="inlineStr">
        <is>
          <t>类别典型值/文件信息</t>
        </is>
      </c>
      <c r="AO13" s="7" t="inlineStr"/>
    </row>
    <row r="14">
      <c r="A14" s="6" t="inlineStr">
        <is>
          <t>杜邦-FT960</t>
        </is>
      </c>
      <c r="B14" s="6" t="inlineStr">
        <is>
          <t>环氧树脂</t>
        </is>
      </c>
      <c r="C14" s="6" t="inlineStr">
        <is>
          <t>有机</t>
        </is>
      </c>
      <c r="D14" s="6" t="inlineStr">
        <is>
          <t>树脂</t>
        </is>
      </c>
      <c r="E14" s="6" t="inlineStr">
        <is>
          <t>环氧</t>
        </is>
      </c>
      <c r="F14" s="6" t="inlineStr"/>
      <c r="G14" s="6" t="inlineStr">
        <is>
          <t>专有估算</t>
        </is>
      </c>
      <c r="H14" s="5" t="n">
        <v>50</v>
      </c>
      <c r="I14" s="6" t="n">
        <v>1.02</v>
      </c>
      <c r="J14" s="6" t="n">
        <v>1300</v>
      </c>
      <c r="K14" s="5" t="n">
        <v>1800</v>
      </c>
      <c r="L14" s="5" t="n">
        <v>0.5</v>
      </c>
      <c r="M14" s="5" t="n">
        <v>32</v>
      </c>
      <c r="N14" s="5" t="n">
        <v>0</v>
      </c>
      <c r="O14" s="5" t="n">
        <v>2</v>
      </c>
      <c r="P14" s="6" t="n">
        <v>68</v>
      </c>
      <c r="Q14" s="6" t="n">
        <v>250</v>
      </c>
      <c r="R14" s="6" t="n">
        <v>100</v>
      </c>
      <c r="S14" s="6" t="n">
        <v>18.4</v>
      </c>
      <c r="T14" s="6" t="n">
        <v>6.1</v>
      </c>
      <c r="U14" s="6" t="n">
        <v>8.6</v>
      </c>
      <c r="V14" s="6" t="n">
        <v>3</v>
      </c>
      <c r="W14" s="6" t="n">
        <v>0</v>
      </c>
      <c r="X14" s="6" t="n">
        <v>72</v>
      </c>
      <c r="Y14" s="6" t="n">
        <v>7</v>
      </c>
      <c r="Z14" s="6" t="n">
        <v>20</v>
      </c>
      <c r="AA14" s="6" t="n">
        <v>0</v>
      </c>
      <c r="AB14" s="6" t="n">
        <v>0</v>
      </c>
      <c r="AC14" s="6" t="n">
        <v>0</v>
      </c>
      <c r="AD14" s="5" t="n">
        <v>0.056</v>
      </c>
      <c r="AE14" s="5" t="n">
        <v>0.019</v>
      </c>
      <c r="AF14" s="5" t="n">
        <v>0.001</v>
      </c>
      <c r="AG14" s="5" t="n">
        <v>0.01</v>
      </c>
      <c r="AH14" s="5" t="n">
        <v>0</v>
      </c>
      <c r="AI14" s="5" t="n">
        <v>0</v>
      </c>
      <c r="AJ14" s="5" t="n">
        <v>0.4</v>
      </c>
      <c r="AK14" s="5" t="n">
        <v>0.15</v>
      </c>
      <c r="AL14" s="6" t="n">
        <v>0</v>
      </c>
      <c r="AM14" s="6" t="n">
        <v>0</v>
      </c>
      <c r="AN14" s="6" t="inlineStr">
        <is>
          <t>类别典型值/文件信息</t>
        </is>
      </c>
      <c r="AO14" s="6" t="inlineStr"/>
    </row>
    <row r="15">
      <c r="A15" s="7" t="inlineStr">
        <is>
          <t>RF401</t>
        </is>
      </c>
      <c r="B15" s="7" t="inlineStr">
        <is>
          <t>酚醛固化剂PR401</t>
        </is>
      </c>
      <c r="C15" s="7" t="inlineStr">
        <is>
          <t>环氧酚醛</t>
        </is>
      </c>
      <c r="D15" s="7" t="inlineStr">
        <is>
          <t>固化剂</t>
        </is>
      </c>
      <c r="E15" s="7" t="inlineStr">
        <is>
          <t>酚醛</t>
        </is>
      </c>
      <c r="F15" s="7" t="inlineStr"/>
      <c r="G15" s="7" t="inlineStr">
        <is>
          <t>专有估算</t>
        </is>
      </c>
      <c r="H15" s="5" t="n">
        <v>71.5</v>
      </c>
      <c r="I15" s="7" t="n">
        <v>1.08</v>
      </c>
      <c r="J15" s="7" t="n">
        <v>900</v>
      </c>
      <c r="K15" s="5" t="n">
        <v>0</v>
      </c>
      <c r="L15" s="5" t="n">
        <v>1</v>
      </c>
      <c r="M15" s="5" t="n">
        <v>280</v>
      </c>
      <c r="N15" s="5" t="n">
        <v>0</v>
      </c>
      <c r="O15" s="5" t="n">
        <v>3</v>
      </c>
      <c r="P15" s="7" t="n">
        <v>70</v>
      </c>
      <c r="Q15" s="7" t="n">
        <v>300</v>
      </c>
      <c r="R15" s="7" t="n">
        <v>120</v>
      </c>
      <c r="S15" s="7" t="n">
        <v>19.5</v>
      </c>
      <c r="T15" s="7" t="n">
        <v>7</v>
      </c>
      <c r="U15" s="7" t="n">
        <v>10</v>
      </c>
      <c r="V15" s="7" t="n">
        <v>3.5</v>
      </c>
      <c r="W15" s="7" t="n">
        <v>0</v>
      </c>
      <c r="X15" s="7" t="n">
        <v>74</v>
      </c>
      <c r="Y15" s="7" t="n">
        <v>6</v>
      </c>
      <c r="Z15" s="7" t="n">
        <v>18</v>
      </c>
      <c r="AA15" s="7" t="n">
        <v>0</v>
      </c>
      <c r="AB15" s="7" t="n">
        <v>0</v>
      </c>
      <c r="AC15" s="7" t="n">
        <v>0</v>
      </c>
      <c r="AD15" s="5" t="n">
        <v>0</v>
      </c>
      <c r="AE15" s="5" t="n">
        <v>0.165</v>
      </c>
      <c r="AF15" s="5" t="n">
        <v>0.002</v>
      </c>
      <c r="AG15" s="5" t="n">
        <v>0.01</v>
      </c>
      <c r="AH15" s="5" t="n">
        <v>0</v>
      </c>
      <c r="AI15" s="5" t="n">
        <v>0</v>
      </c>
      <c r="AJ15" s="5" t="n">
        <v>0.6</v>
      </c>
      <c r="AK15" s="5" t="n">
        <v>0.05</v>
      </c>
      <c r="AL15" s="7" t="n">
        <v>0</v>
      </c>
      <c r="AM15" s="7" t="n">
        <v>0</v>
      </c>
      <c r="AN15" s="7" t="inlineStr">
        <is>
          <t>类别典型值/文件信息</t>
        </is>
      </c>
      <c r="AO15" s="7" t="inlineStr"/>
    </row>
    <row r="16">
      <c r="A16" s="6" t="inlineStr">
        <is>
          <t>RF160</t>
        </is>
      </c>
      <c r="B16" s="6" t="inlineStr">
        <is>
          <t>酚醛固化剂PR33160G</t>
        </is>
      </c>
      <c r="C16" s="6" t="inlineStr">
        <is>
          <t>环氧酚醛</t>
        </is>
      </c>
      <c r="D16" s="6" t="inlineStr">
        <is>
          <t>固化剂</t>
        </is>
      </c>
      <c r="E16" s="6" t="inlineStr">
        <is>
          <t>酚醛</t>
        </is>
      </c>
      <c r="F16" s="6" t="inlineStr"/>
      <c r="G16" s="6" t="inlineStr">
        <is>
          <t>专有估算</t>
        </is>
      </c>
      <c r="H16" s="5" t="n">
        <v>65</v>
      </c>
      <c r="I16" s="6" t="n">
        <v>1.08</v>
      </c>
      <c r="J16" s="6" t="n">
        <v>1100</v>
      </c>
      <c r="K16" s="5" t="n">
        <v>0</v>
      </c>
      <c r="L16" s="5" t="n">
        <v>1</v>
      </c>
      <c r="M16" s="5" t="n">
        <v>320</v>
      </c>
      <c r="N16" s="5" t="n">
        <v>0</v>
      </c>
      <c r="O16" s="5" t="n">
        <v>4</v>
      </c>
      <c r="P16" s="6" t="n">
        <v>78</v>
      </c>
      <c r="Q16" s="6" t="n">
        <v>300</v>
      </c>
      <c r="R16" s="6" t="n">
        <v>120</v>
      </c>
      <c r="S16" s="6" t="n">
        <v>19.5</v>
      </c>
      <c r="T16" s="6" t="n">
        <v>7</v>
      </c>
      <c r="U16" s="6" t="n">
        <v>10</v>
      </c>
      <c r="V16" s="6" t="n">
        <v>3.5</v>
      </c>
      <c r="W16" s="6" t="n">
        <v>0</v>
      </c>
      <c r="X16" s="6" t="n">
        <v>74</v>
      </c>
      <c r="Y16" s="6" t="n">
        <v>6</v>
      </c>
      <c r="Z16" s="6" t="n">
        <v>18</v>
      </c>
      <c r="AA16" s="6" t="n">
        <v>0</v>
      </c>
      <c r="AB16" s="6" t="n">
        <v>0</v>
      </c>
      <c r="AC16" s="6" t="n">
        <v>0</v>
      </c>
      <c r="AD16" s="5" t="n">
        <v>0</v>
      </c>
      <c r="AE16" s="5" t="n">
        <v>0.188</v>
      </c>
      <c r="AF16" s="5" t="n">
        <v>0.002</v>
      </c>
      <c r="AG16" s="5" t="n">
        <v>0.01</v>
      </c>
      <c r="AH16" s="5" t="n">
        <v>0</v>
      </c>
      <c r="AI16" s="5" t="n">
        <v>0</v>
      </c>
      <c r="AJ16" s="5" t="n">
        <v>0.65</v>
      </c>
      <c r="AK16" s="5" t="n">
        <v>0.05</v>
      </c>
      <c r="AL16" s="6" t="n">
        <v>0</v>
      </c>
      <c r="AM16" s="6" t="n">
        <v>0</v>
      </c>
      <c r="AN16" s="6" t="inlineStr">
        <is>
          <t>类别典型值/文件信息</t>
        </is>
      </c>
      <c r="AO16" s="6" t="inlineStr"/>
    </row>
    <row r="17">
      <c r="A17" s="7" t="inlineStr">
        <is>
          <t>RF516</t>
        </is>
      </c>
      <c r="B17" s="7" t="inlineStr">
        <is>
          <t>酚醛固化剂PR516</t>
        </is>
      </c>
      <c r="C17" s="7" t="inlineStr">
        <is>
          <t>聚酯</t>
        </is>
      </c>
      <c r="D17" s="7" t="inlineStr">
        <is>
          <t>固化剂</t>
        </is>
      </c>
      <c r="E17" s="7" t="inlineStr">
        <is>
          <t>酚醛</t>
        </is>
      </c>
      <c r="F17" s="7" t="inlineStr"/>
      <c r="G17" s="7" t="inlineStr">
        <is>
          <t>专有估算</t>
        </is>
      </c>
      <c r="H17" s="5" t="n">
        <v>57</v>
      </c>
      <c r="I17" s="7" t="n">
        <v>1.08</v>
      </c>
      <c r="J17" s="7" t="n">
        <v>1000</v>
      </c>
      <c r="K17" s="5" t="n">
        <v>0</v>
      </c>
      <c r="L17" s="5" t="n">
        <v>1</v>
      </c>
      <c r="M17" s="5" t="n">
        <v>300</v>
      </c>
      <c r="N17" s="5" t="n">
        <v>0</v>
      </c>
      <c r="O17" s="5" t="n">
        <v>3.5</v>
      </c>
      <c r="P17" s="7" t="n">
        <v>74</v>
      </c>
      <c r="Q17" s="7" t="n">
        <v>300</v>
      </c>
      <c r="R17" s="7" t="n">
        <v>120</v>
      </c>
      <c r="S17" s="7" t="n">
        <v>19.5</v>
      </c>
      <c r="T17" s="7" t="n">
        <v>7</v>
      </c>
      <c r="U17" s="7" t="n">
        <v>10</v>
      </c>
      <c r="V17" s="7" t="n">
        <v>3.5</v>
      </c>
      <c r="W17" s="7" t="n">
        <v>0</v>
      </c>
      <c r="X17" s="7" t="n">
        <v>74</v>
      </c>
      <c r="Y17" s="7" t="n">
        <v>6</v>
      </c>
      <c r="Z17" s="7" t="n">
        <v>18</v>
      </c>
      <c r="AA17" s="7" t="n">
        <v>0</v>
      </c>
      <c r="AB17" s="7" t="n">
        <v>0</v>
      </c>
      <c r="AC17" s="7" t="n">
        <v>0</v>
      </c>
      <c r="AD17" s="5" t="n">
        <v>0</v>
      </c>
      <c r="AE17" s="5" t="n">
        <v>0.177</v>
      </c>
      <c r="AF17" s="5" t="n">
        <v>0.002</v>
      </c>
      <c r="AG17" s="5" t="n">
        <v>0.01</v>
      </c>
      <c r="AH17" s="5" t="n">
        <v>0</v>
      </c>
      <c r="AI17" s="5" t="n">
        <v>0</v>
      </c>
      <c r="AJ17" s="5" t="n">
        <v>0.62</v>
      </c>
      <c r="AK17" s="5" t="n">
        <v>0.05</v>
      </c>
      <c r="AL17" s="7" t="n">
        <v>0</v>
      </c>
      <c r="AM17" s="7" t="n">
        <v>0</v>
      </c>
      <c r="AN17" s="7" t="inlineStr">
        <is>
          <t>类别典型值/文件信息</t>
        </is>
      </c>
      <c r="AO17" s="7" t="inlineStr"/>
    </row>
    <row r="18">
      <c r="A18" s="6" t="inlineStr">
        <is>
          <t>RF950</t>
        </is>
      </c>
      <c r="B18" s="6" t="inlineStr">
        <is>
          <t>酚醛固化剂PR8219-50</t>
        </is>
      </c>
      <c r="C18" s="6" t="inlineStr">
        <is>
          <t>聚酯</t>
        </is>
      </c>
      <c r="D18" s="6" t="inlineStr">
        <is>
          <t>固化剂</t>
        </is>
      </c>
      <c r="E18" s="6" t="inlineStr">
        <is>
          <t>酚醛</t>
        </is>
      </c>
      <c r="F18" s="6" t="inlineStr"/>
      <c r="G18" s="6" t="inlineStr">
        <is>
          <t>专有估算</t>
        </is>
      </c>
      <c r="H18" s="5" t="n">
        <v>51.3</v>
      </c>
      <c r="I18" s="6" t="n">
        <v>1.07</v>
      </c>
      <c r="J18" s="6" t="n">
        <v>800</v>
      </c>
      <c r="K18" s="5" t="n">
        <v>0</v>
      </c>
      <c r="L18" s="5" t="n">
        <v>1</v>
      </c>
      <c r="M18" s="5" t="n">
        <v>233</v>
      </c>
      <c r="N18" s="5" t="n">
        <v>0</v>
      </c>
      <c r="O18" s="5" t="n">
        <v>3</v>
      </c>
      <c r="P18" s="6" t="n">
        <v>65</v>
      </c>
      <c r="Q18" s="6" t="n">
        <v>300</v>
      </c>
      <c r="R18" s="6" t="n">
        <v>120</v>
      </c>
      <c r="S18" s="6" t="n">
        <v>19.5</v>
      </c>
      <c r="T18" s="6" t="n">
        <v>7</v>
      </c>
      <c r="U18" s="6" t="n">
        <v>10</v>
      </c>
      <c r="V18" s="6" t="n">
        <v>3.5</v>
      </c>
      <c r="W18" s="6" t="n">
        <v>0</v>
      </c>
      <c r="X18" s="6" t="n">
        <v>74</v>
      </c>
      <c r="Y18" s="6" t="n">
        <v>6</v>
      </c>
      <c r="Z18" s="6" t="n">
        <v>18</v>
      </c>
      <c r="AA18" s="6" t="n">
        <v>0</v>
      </c>
      <c r="AB18" s="6" t="n">
        <v>0</v>
      </c>
      <c r="AC18" s="6" t="n">
        <v>0</v>
      </c>
      <c r="AD18" s="5" t="n">
        <v>0</v>
      </c>
      <c r="AE18" s="5" t="n">
        <v>0.137</v>
      </c>
      <c r="AF18" s="5" t="n">
        <v>0.002</v>
      </c>
      <c r="AG18" s="5" t="n">
        <v>0.01</v>
      </c>
      <c r="AH18" s="5" t="n">
        <v>0</v>
      </c>
      <c r="AI18" s="5" t="n">
        <v>0</v>
      </c>
      <c r="AJ18" s="5" t="n">
        <v>0.58</v>
      </c>
      <c r="AK18" s="5" t="n">
        <v>0.05</v>
      </c>
      <c r="AL18" s="6" t="n">
        <v>0</v>
      </c>
      <c r="AM18" s="6" t="n">
        <v>0</v>
      </c>
      <c r="AN18" s="6" t="inlineStr">
        <is>
          <t>类别典型值/文件信息</t>
        </is>
      </c>
      <c r="AO18" s="6" t="inlineStr"/>
    </row>
    <row r="19">
      <c r="A19" s="7" t="inlineStr">
        <is>
          <t>RF956</t>
        </is>
      </c>
      <c r="B19" s="7" t="inlineStr">
        <is>
          <t>酚醛固化剂PR8219-65</t>
        </is>
      </c>
      <c r="C19" s="7" t="inlineStr">
        <is>
          <t>环氧酚醛</t>
        </is>
      </c>
      <c r="D19" s="7" t="inlineStr">
        <is>
          <t>固化剂</t>
        </is>
      </c>
      <c r="E19" s="7" t="inlineStr">
        <is>
          <t>酚醛</t>
        </is>
      </c>
      <c r="F19" s="7" t="inlineStr"/>
      <c r="G19" s="7" t="inlineStr">
        <is>
          <t>专有估算</t>
        </is>
      </c>
      <c r="H19" s="5" t="n">
        <v>65</v>
      </c>
      <c r="I19" s="7" t="n">
        <v>1.09</v>
      </c>
      <c r="J19" s="7" t="n">
        <v>850</v>
      </c>
      <c r="K19" s="5" t="n">
        <v>0</v>
      </c>
      <c r="L19" s="5" t="n">
        <v>1</v>
      </c>
      <c r="M19" s="5" t="n">
        <v>303</v>
      </c>
      <c r="N19" s="5" t="n">
        <v>0</v>
      </c>
      <c r="O19" s="5" t="n">
        <v>3</v>
      </c>
      <c r="P19" s="7" t="n">
        <v>68</v>
      </c>
      <c r="Q19" s="7" t="n">
        <v>300</v>
      </c>
      <c r="R19" s="7" t="n">
        <v>120</v>
      </c>
      <c r="S19" s="7" t="n">
        <v>19.5</v>
      </c>
      <c r="T19" s="7" t="n">
        <v>7</v>
      </c>
      <c r="U19" s="7" t="n">
        <v>10</v>
      </c>
      <c r="V19" s="7" t="n">
        <v>3.5</v>
      </c>
      <c r="W19" s="7" t="n">
        <v>0</v>
      </c>
      <c r="X19" s="7" t="n">
        <v>74</v>
      </c>
      <c r="Y19" s="7" t="n">
        <v>6</v>
      </c>
      <c r="Z19" s="7" t="n">
        <v>18</v>
      </c>
      <c r="AA19" s="7" t="n">
        <v>0</v>
      </c>
      <c r="AB19" s="7" t="n">
        <v>0</v>
      </c>
      <c r="AC19" s="7" t="n">
        <v>0</v>
      </c>
      <c r="AD19" s="5" t="n">
        <v>0</v>
      </c>
      <c r="AE19" s="5" t="n">
        <v>0.178</v>
      </c>
      <c r="AF19" s="5" t="n">
        <v>0.002</v>
      </c>
      <c r="AG19" s="5" t="n">
        <v>0.01</v>
      </c>
      <c r="AH19" s="5" t="n">
        <v>0</v>
      </c>
      <c r="AI19" s="5" t="n">
        <v>0</v>
      </c>
      <c r="AJ19" s="5" t="n">
        <v>0.6</v>
      </c>
      <c r="AK19" s="5" t="n">
        <v>0.05</v>
      </c>
      <c r="AL19" s="7" t="n">
        <v>0</v>
      </c>
      <c r="AM19" s="7" t="n">
        <v>0</v>
      </c>
      <c r="AN19" s="7" t="inlineStr">
        <is>
          <t>类别典型值/文件信息</t>
        </is>
      </c>
      <c r="AO19" s="7" t="inlineStr"/>
    </row>
    <row r="20">
      <c r="A20" s="6" t="inlineStr">
        <is>
          <t>RH601</t>
        </is>
      </c>
      <c r="B20" s="6" t="inlineStr">
        <is>
          <t>酚醛固化剂SM601RX75</t>
        </is>
      </c>
      <c r="C20" s="6" t="inlineStr">
        <is>
          <t>环氧酚醛</t>
        </is>
      </c>
      <c r="D20" s="6" t="inlineStr">
        <is>
          <t>树脂</t>
        </is>
      </c>
      <c r="E20" s="6" t="inlineStr">
        <is>
          <t>环氧</t>
        </is>
      </c>
      <c r="F20" s="6" t="inlineStr"/>
      <c r="G20" s="6" t="inlineStr">
        <is>
          <t>专有估算</t>
        </is>
      </c>
      <c r="H20" s="5" t="n">
        <v>75</v>
      </c>
      <c r="I20" s="6" t="n">
        <v>1.1</v>
      </c>
      <c r="J20" s="6" t="n">
        <v>950</v>
      </c>
      <c r="K20" s="5" t="n">
        <v>480</v>
      </c>
      <c r="L20" s="5" t="n">
        <v>1</v>
      </c>
      <c r="M20" s="5" t="n">
        <v>30</v>
      </c>
      <c r="N20" s="5" t="n">
        <v>0</v>
      </c>
      <c r="O20" s="5" t="n">
        <v>2</v>
      </c>
      <c r="P20" s="6" t="n">
        <v>70</v>
      </c>
      <c r="Q20" s="6" t="n">
        <v>300</v>
      </c>
      <c r="R20" s="6" t="n">
        <v>120</v>
      </c>
      <c r="S20" s="6" t="n">
        <v>19.5</v>
      </c>
      <c r="T20" s="6" t="n">
        <v>7</v>
      </c>
      <c r="U20" s="6" t="n">
        <v>10</v>
      </c>
      <c r="V20" s="6" t="n">
        <v>3.5</v>
      </c>
      <c r="W20" s="6" t="n">
        <v>0</v>
      </c>
      <c r="X20" s="6" t="n">
        <v>74</v>
      </c>
      <c r="Y20" s="6" t="n">
        <v>7</v>
      </c>
      <c r="Z20" s="6" t="n">
        <v>19</v>
      </c>
      <c r="AA20" s="6" t="n">
        <v>0</v>
      </c>
      <c r="AB20" s="6" t="n">
        <v>0</v>
      </c>
      <c r="AC20" s="6" t="n">
        <v>0</v>
      </c>
      <c r="AD20" s="5" t="n">
        <v>0.155</v>
      </c>
      <c r="AE20" s="5" t="n">
        <v>0.018</v>
      </c>
      <c r="AF20" s="5" t="n">
        <v>0.002</v>
      </c>
      <c r="AG20" s="5" t="n">
        <v>0.01</v>
      </c>
      <c r="AH20" s="5" t="n">
        <v>0</v>
      </c>
      <c r="AI20" s="5" t="n">
        <v>0</v>
      </c>
      <c r="AJ20" s="5" t="n">
        <v>0.45</v>
      </c>
      <c r="AK20" s="5" t="n">
        <v>0.12</v>
      </c>
      <c r="AL20" s="6" t="n">
        <v>0</v>
      </c>
      <c r="AM20" s="6" t="n">
        <v>0</v>
      </c>
      <c r="AN20" s="6" t="inlineStr">
        <is>
          <t>类别典型值/文件信息</t>
        </is>
      </c>
      <c r="AO20" s="6" t="inlineStr"/>
    </row>
    <row r="21">
      <c r="A21" s="7" t="inlineStr">
        <is>
          <t>RJ173M</t>
        </is>
      </c>
      <c r="B21" s="7" t="inlineStr">
        <is>
          <t>聚酯树脂</t>
        </is>
      </c>
      <c r="C21" s="7" t="inlineStr">
        <is>
          <t>聚酯</t>
        </is>
      </c>
      <c r="D21" s="7" t="inlineStr">
        <is>
          <t>树脂</t>
        </is>
      </c>
      <c r="E21" s="7" t="inlineStr">
        <is>
          <t>聚酯</t>
        </is>
      </c>
      <c r="F21" s="7" t="inlineStr"/>
      <c r="G21" s="7" t="inlineStr">
        <is>
          <t>专有估算</t>
        </is>
      </c>
      <c r="H21" s="5" t="n">
        <v>40</v>
      </c>
      <c r="I21" s="7" t="n">
        <v>1.1</v>
      </c>
      <c r="J21" s="7" t="n">
        <v>3000</v>
      </c>
      <c r="K21" s="5" t="n">
        <v>0</v>
      </c>
      <c r="L21" s="5" t="n">
        <v>8</v>
      </c>
      <c r="M21" s="5" t="n">
        <v>60</v>
      </c>
      <c r="N21" s="5" t="n">
        <v>0</v>
      </c>
      <c r="O21" s="5" t="n">
        <v>2</v>
      </c>
      <c r="P21" s="7" t="n">
        <v>40</v>
      </c>
      <c r="Q21" s="7" t="n">
        <v>300</v>
      </c>
      <c r="R21" s="7" t="n">
        <v>150</v>
      </c>
      <c r="S21" s="7" t="n">
        <v>18</v>
      </c>
      <c r="T21" s="7" t="n">
        <v>7</v>
      </c>
      <c r="U21" s="7" t="n">
        <v>9</v>
      </c>
      <c r="V21" s="7" t="n">
        <v>3.2</v>
      </c>
      <c r="W21" s="7" t="n">
        <v>0</v>
      </c>
      <c r="X21" s="7" t="n">
        <v>66</v>
      </c>
      <c r="Y21" s="7" t="n">
        <v>8</v>
      </c>
      <c r="Z21" s="7" t="n">
        <v>26</v>
      </c>
      <c r="AA21" s="7" t="n">
        <v>0</v>
      </c>
      <c r="AB21" s="7" t="n">
        <v>0</v>
      </c>
      <c r="AC21" s="7" t="n">
        <v>0</v>
      </c>
      <c r="AD21" s="5" t="n">
        <v>0</v>
      </c>
      <c r="AE21" s="5" t="n">
        <v>0.035</v>
      </c>
      <c r="AF21" s="5" t="n">
        <v>0.005</v>
      </c>
      <c r="AG21" s="5" t="n">
        <v>0.35</v>
      </c>
      <c r="AH21" s="5" t="n">
        <v>0</v>
      </c>
      <c r="AI21" s="5" t="n">
        <v>0</v>
      </c>
      <c r="AJ21" s="5" t="n">
        <v>0.3</v>
      </c>
      <c r="AK21" s="5" t="n">
        <v>0.05</v>
      </c>
      <c r="AL21" s="7" t="n">
        <v>0</v>
      </c>
      <c r="AM21" s="7" t="n">
        <v>0</v>
      </c>
      <c r="AN21" s="7" t="inlineStr">
        <is>
          <t>类别典型值/文件信息</t>
        </is>
      </c>
      <c r="AO21" s="7" t="inlineStr"/>
    </row>
    <row r="22">
      <c r="A22" s="6" t="inlineStr">
        <is>
          <t>RJ561</t>
        </is>
      </c>
      <c r="B22" s="6" t="inlineStr">
        <is>
          <t>聚酯树脂</t>
        </is>
      </c>
      <c r="C22" s="6" t="inlineStr">
        <is>
          <t>聚酯</t>
        </is>
      </c>
      <c r="D22" s="6" t="inlineStr">
        <is>
          <t>树脂</t>
        </is>
      </c>
      <c r="E22" s="6" t="inlineStr">
        <is>
          <t>聚酯</t>
        </is>
      </c>
      <c r="F22" s="6" t="inlineStr"/>
      <c r="G22" s="6" t="inlineStr">
        <is>
          <t>专有估算</t>
        </is>
      </c>
      <c r="H22" s="5" t="n">
        <v>60</v>
      </c>
      <c r="I22" s="6" t="n">
        <v>1.1</v>
      </c>
      <c r="J22" s="6" t="n">
        <v>3000</v>
      </c>
      <c r="K22" s="5" t="n">
        <v>0</v>
      </c>
      <c r="L22" s="5" t="n">
        <v>8</v>
      </c>
      <c r="M22" s="5" t="n">
        <v>60</v>
      </c>
      <c r="N22" s="5" t="n">
        <v>0</v>
      </c>
      <c r="O22" s="5" t="n">
        <v>2</v>
      </c>
      <c r="P22" s="6" t="n">
        <v>40</v>
      </c>
      <c r="Q22" s="6" t="n">
        <v>300</v>
      </c>
      <c r="R22" s="6" t="n">
        <v>150</v>
      </c>
      <c r="S22" s="6" t="n">
        <v>18</v>
      </c>
      <c r="T22" s="6" t="n">
        <v>7</v>
      </c>
      <c r="U22" s="6" t="n">
        <v>9</v>
      </c>
      <c r="V22" s="6" t="n">
        <v>3.2</v>
      </c>
      <c r="W22" s="6" t="n">
        <v>0</v>
      </c>
      <c r="X22" s="6" t="n">
        <v>66</v>
      </c>
      <c r="Y22" s="6" t="n">
        <v>8</v>
      </c>
      <c r="Z22" s="6" t="n">
        <v>26</v>
      </c>
      <c r="AA22" s="6" t="n">
        <v>0</v>
      </c>
      <c r="AB22" s="6" t="n">
        <v>0</v>
      </c>
      <c r="AC22" s="6" t="n">
        <v>0</v>
      </c>
      <c r="AD22" s="5" t="n">
        <v>0</v>
      </c>
      <c r="AE22" s="5" t="n">
        <v>0.035</v>
      </c>
      <c r="AF22" s="5" t="n">
        <v>0.005</v>
      </c>
      <c r="AG22" s="5" t="n">
        <v>0.35</v>
      </c>
      <c r="AH22" s="5" t="n">
        <v>0</v>
      </c>
      <c r="AI22" s="5" t="n">
        <v>0</v>
      </c>
      <c r="AJ22" s="5" t="n">
        <v>0.3</v>
      </c>
      <c r="AK22" s="5" t="n">
        <v>0.05</v>
      </c>
      <c r="AL22" s="6" t="n">
        <v>0</v>
      </c>
      <c r="AM22" s="6" t="n">
        <v>0</v>
      </c>
      <c r="AN22" s="6" t="inlineStr">
        <is>
          <t>类别典型值/文件信息</t>
        </is>
      </c>
      <c r="AO22" s="6" t="inlineStr"/>
    </row>
    <row r="23">
      <c r="A23" s="7" t="inlineStr">
        <is>
          <t>RJ183</t>
        </is>
      </c>
      <c r="B23" s="7" t="inlineStr">
        <is>
          <t>聚酯树脂</t>
        </is>
      </c>
      <c r="C23" s="7" t="inlineStr">
        <is>
          <t>有机</t>
        </is>
      </c>
      <c r="D23" s="7" t="inlineStr">
        <is>
          <t>树脂</t>
        </is>
      </c>
      <c r="E23" s="7" t="inlineStr">
        <is>
          <t>聚酯</t>
        </is>
      </c>
      <c r="F23" s="7" t="inlineStr"/>
      <c r="G23" s="7" t="inlineStr">
        <is>
          <t>专有估算</t>
        </is>
      </c>
      <c r="H23" s="5" t="n">
        <v>40</v>
      </c>
      <c r="I23" s="7" t="n">
        <v>1.1</v>
      </c>
      <c r="J23" s="7" t="n">
        <v>3000</v>
      </c>
      <c r="K23" s="5" t="n">
        <v>0</v>
      </c>
      <c r="L23" s="5" t="n">
        <v>8</v>
      </c>
      <c r="M23" s="5" t="n">
        <v>60</v>
      </c>
      <c r="N23" s="5" t="n">
        <v>0</v>
      </c>
      <c r="O23" s="5" t="n">
        <v>2</v>
      </c>
      <c r="P23" s="7" t="n">
        <v>40</v>
      </c>
      <c r="Q23" s="7" t="n">
        <v>300</v>
      </c>
      <c r="R23" s="7" t="n">
        <v>150</v>
      </c>
      <c r="S23" s="7" t="n">
        <v>18</v>
      </c>
      <c r="T23" s="7" t="n">
        <v>7</v>
      </c>
      <c r="U23" s="7" t="n">
        <v>9</v>
      </c>
      <c r="V23" s="7" t="n">
        <v>3.2</v>
      </c>
      <c r="W23" s="7" t="n">
        <v>0</v>
      </c>
      <c r="X23" s="7" t="n">
        <v>66</v>
      </c>
      <c r="Y23" s="7" t="n">
        <v>8</v>
      </c>
      <c r="Z23" s="7" t="n">
        <v>26</v>
      </c>
      <c r="AA23" s="7" t="n">
        <v>0</v>
      </c>
      <c r="AB23" s="7" t="n">
        <v>0</v>
      </c>
      <c r="AC23" s="7" t="n">
        <v>0</v>
      </c>
      <c r="AD23" s="5" t="n">
        <v>0</v>
      </c>
      <c r="AE23" s="5" t="n">
        <v>0.035</v>
      </c>
      <c r="AF23" s="5" t="n">
        <v>0.005</v>
      </c>
      <c r="AG23" s="5" t="n">
        <v>0.35</v>
      </c>
      <c r="AH23" s="5" t="n">
        <v>0</v>
      </c>
      <c r="AI23" s="5" t="n">
        <v>0</v>
      </c>
      <c r="AJ23" s="5" t="n">
        <v>0.3</v>
      </c>
      <c r="AK23" s="5" t="n">
        <v>0.05</v>
      </c>
      <c r="AL23" s="7" t="n">
        <v>0</v>
      </c>
      <c r="AM23" s="7" t="n">
        <v>0</v>
      </c>
      <c r="AN23" s="7" t="inlineStr">
        <is>
          <t>类别典型值/文件信息</t>
        </is>
      </c>
      <c r="AO23" s="7" t="inlineStr"/>
    </row>
    <row r="24">
      <c r="A24" s="6" t="inlineStr">
        <is>
          <t>RJ362</t>
        </is>
      </c>
      <c r="B24" s="6" t="inlineStr">
        <is>
          <t>聚酯树脂</t>
        </is>
      </c>
      <c r="C24" s="6" t="inlineStr">
        <is>
          <t>有机</t>
        </is>
      </c>
      <c r="D24" s="6" t="inlineStr">
        <is>
          <t>树脂</t>
        </is>
      </c>
      <c r="E24" s="6" t="inlineStr">
        <is>
          <t>聚酯</t>
        </is>
      </c>
      <c r="F24" s="6" t="inlineStr"/>
      <c r="G24" s="6" t="inlineStr">
        <is>
          <t>专有估算</t>
        </is>
      </c>
      <c r="H24" s="5" t="n">
        <v>60</v>
      </c>
      <c r="I24" s="6" t="n">
        <v>1.1</v>
      </c>
      <c r="J24" s="6" t="n">
        <v>3000</v>
      </c>
      <c r="K24" s="5" t="n">
        <v>0</v>
      </c>
      <c r="L24" s="5" t="n">
        <v>8</v>
      </c>
      <c r="M24" s="5" t="n">
        <v>60</v>
      </c>
      <c r="N24" s="5" t="n">
        <v>0</v>
      </c>
      <c r="O24" s="5" t="n">
        <v>2</v>
      </c>
      <c r="P24" s="6" t="n">
        <v>40</v>
      </c>
      <c r="Q24" s="6" t="n">
        <v>300</v>
      </c>
      <c r="R24" s="6" t="n">
        <v>150</v>
      </c>
      <c r="S24" s="6" t="n">
        <v>18</v>
      </c>
      <c r="T24" s="6" t="n">
        <v>7</v>
      </c>
      <c r="U24" s="6" t="n">
        <v>9</v>
      </c>
      <c r="V24" s="6" t="n">
        <v>3.2</v>
      </c>
      <c r="W24" s="6" t="n">
        <v>0</v>
      </c>
      <c r="X24" s="6" t="n">
        <v>66</v>
      </c>
      <c r="Y24" s="6" t="n">
        <v>8</v>
      </c>
      <c r="Z24" s="6" t="n">
        <v>26</v>
      </c>
      <c r="AA24" s="6" t="n">
        <v>0</v>
      </c>
      <c r="AB24" s="6" t="n">
        <v>0</v>
      </c>
      <c r="AC24" s="6" t="n">
        <v>0</v>
      </c>
      <c r="AD24" s="5" t="n">
        <v>0</v>
      </c>
      <c r="AE24" s="5" t="n">
        <v>0.035</v>
      </c>
      <c r="AF24" s="5" t="n">
        <v>0.005</v>
      </c>
      <c r="AG24" s="5" t="n">
        <v>0.35</v>
      </c>
      <c r="AH24" s="5" t="n">
        <v>0</v>
      </c>
      <c r="AI24" s="5" t="n">
        <v>0</v>
      </c>
      <c r="AJ24" s="5" t="n">
        <v>0.3</v>
      </c>
      <c r="AK24" s="5" t="n">
        <v>0.05</v>
      </c>
      <c r="AL24" s="6" t="n">
        <v>0</v>
      </c>
      <c r="AM24" s="6" t="n">
        <v>0</v>
      </c>
      <c r="AN24" s="6" t="inlineStr">
        <is>
          <t>类别典型值/文件信息</t>
        </is>
      </c>
      <c r="AO24" s="6" t="inlineStr"/>
    </row>
    <row r="25">
      <c r="A25" s="7" t="inlineStr">
        <is>
          <t>TF100</t>
        </is>
      </c>
      <c r="B25" s="7" t="inlineStr">
        <is>
          <t>乙烯基树脂</t>
        </is>
      </c>
      <c r="C25" s="7" t="inlineStr">
        <is>
          <t>聚酯</t>
        </is>
      </c>
      <c r="D25" s="7" t="inlineStr">
        <is>
          <t>树脂</t>
        </is>
      </c>
      <c r="E25" s="7" t="inlineStr">
        <is>
          <t>乙烯基</t>
        </is>
      </c>
      <c r="F25" s="7" t="inlineStr"/>
      <c r="G25" s="7" t="inlineStr">
        <is>
          <t>专有估算</t>
        </is>
      </c>
      <c r="H25" s="5" t="n">
        <v>25</v>
      </c>
      <c r="I25" s="7" t="n">
        <v>1.08</v>
      </c>
      <c r="J25" s="7" t="n">
        <v>20000</v>
      </c>
      <c r="K25" s="5" t="n">
        <v>0</v>
      </c>
      <c r="L25" s="5" t="n">
        <v>0.5</v>
      </c>
      <c r="M25" s="5" t="n">
        <v>20</v>
      </c>
      <c r="N25" s="5" t="n">
        <v>0</v>
      </c>
      <c r="O25" s="5" t="n">
        <v>1</v>
      </c>
      <c r="P25" s="7" t="n">
        <v>55</v>
      </c>
      <c r="Q25" s="7" t="n">
        <v>200</v>
      </c>
      <c r="R25" s="7" t="n">
        <v>80</v>
      </c>
      <c r="S25" s="7" t="n">
        <v>17.5</v>
      </c>
      <c r="T25" s="7" t="n">
        <v>6</v>
      </c>
      <c r="U25" s="7" t="n">
        <v>7</v>
      </c>
      <c r="V25" s="7" t="n">
        <v>2.8</v>
      </c>
      <c r="W25" s="7" t="n">
        <v>0</v>
      </c>
      <c r="X25" s="7" t="n">
        <v>55</v>
      </c>
      <c r="Y25" s="7" t="n">
        <v>7</v>
      </c>
      <c r="Z25" s="7" t="n">
        <v>5</v>
      </c>
      <c r="AA25" s="7" t="n">
        <v>0</v>
      </c>
      <c r="AB25" s="7" t="n">
        <v>0</v>
      </c>
      <c r="AC25" s="7" t="n">
        <v>30</v>
      </c>
      <c r="AD25" s="5" t="n">
        <v>0</v>
      </c>
      <c r="AE25" s="5" t="n">
        <v>0.012</v>
      </c>
      <c r="AF25" s="5" t="n">
        <v>0.001</v>
      </c>
      <c r="AG25" s="5" t="n">
        <v>0.02</v>
      </c>
      <c r="AH25" s="5" t="n">
        <v>0</v>
      </c>
      <c r="AI25" s="5" t="n">
        <v>0</v>
      </c>
      <c r="AJ25" s="5" t="n">
        <v>0.1</v>
      </c>
      <c r="AK25" s="5" t="n">
        <v>0.02</v>
      </c>
      <c r="AL25" s="7" t="n">
        <v>0</v>
      </c>
      <c r="AM25" s="7" t="n">
        <v>0</v>
      </c>
      <c r="AN25" s="7" t="inlineStr">
        <is>
          <t>类别典型值/文件信息</t>
        </is>
      </c>
      <c r="AO25" s="7" t="inlineStr"/>
    </row>
    <row r="26">
      <c r="A26" s="6" t="inlineStr">
        <is>
          <t>TF022</t>
        </is>
      </c>
      <c r="B26" s="6" t="inlineStr">
        <is>
          <t>乙烯基树脂</t>
        </is>
      </c>
      <c r="C26" s="6" t="inlineStr">
        <is>
          <t>聚酯</t>
        </is>
      </c>
      <c r="D26" s="6" t="inlineStr">
        <is>
          <t>树脂</t>
        </is>
      </c>
      <c r="E26" s="6" t="inlineStr">
        <is>
          <t>乙烯基</t>
        </is>
      </c>
      <c r="F26" s="6" t="inlineStr"/>
      <c r="G26" s="6" t="inlineStr">
        <is>
          <t>专有估算</t>
        </is>
      </c>
      <c r="H26" s="5" t="n">
        <v>25</v>
      </c>
      <c r="I26" s="6" t="n">
        <v>1.08</v>
      </c>
      <c r="J26" s="6" t="n">
        <v>20000</v>
      </c>
      <c r="K26" s="5" t="n">
        <v>0</v>
      </c>
      <c r="L26" s="5" t="n">
        <v>0.5</v>
      </c>
      <c r="M26" s="5" t="n">
        <v>20</v>
      </c>
      <c r="N26" s="5" t="n">
        <v>0</v>
      </c>
      <c r="O26" s="5" t="n">
        <v>1</v>
      </c>
      <c r="P26" s="6" t="n">
        <v>55</v>
      </c>
      <c r="Q26" s="6" t="n">
        <v>200</v>
      </c>
      <c r="R26" s="6" t="n">
        <v>80</v>
      </c>
      <c r="S26" s="6" t="n">
        <v>17.5</v>
      </c>
      <c r="T26" s="6" t="n">
        <v>6</v>
      </c>
      <c r="U26" s="6" t="n">
        <v>7</v>
      </c>
      <c r="V26" s="6" t="n">
        <v>2.8</v>
      </c>
      <c r="W26" s="6" t="n">
        <v>0</v>
      </c>
      <c r="X26" s="6" t="n">
        <v>55</v>
      </c>
      <c r="Y26" s="6" t="n">
        <v>7</v>
      </c>
      <c r="Z26" s="6" t="n">
        <v>5</v>
      </c>
      <c r="AA26" s="6" t="n">
        <v>0</v>
      </c>
      <c r="AB26" s="6" t="n">
        <v>0</v>
      </c>
      <c r="AC26" s="6" t="n">
        <v>30</v>
      </c>
      <c r="AD26" s="5" t="n">
        <v>0</v>
      </c>
      <c r="AE26" s="5" t="n">
        <v>0.012</v>
      </c>
      <c r="AF26" s="5" t="n">
        <v>0.001</v>
      </c>
      <c r="AG26" s="5" t="n">
        <v>0.02</v>
      </c>
      <c r="AH26" s="5" t="n">
        <v>0</v>
      </c>
      <c r="AI26" s="5" t="n">
        <v>0</v>
      </c>
      <c r="AJ26" s="5" t="n">
        <v>0.1</v>
      </c>
      <c r="AK26" s="5" t="n">
        <v>0.02</v>
      </c>
      <c r="AL26" s="6" t="n">
        <v>0</v>
      </c>
      <c r="AM26" s="6" t="n">
        <v>0</v>
      </c>
      <c r="AN26" s="6" t="inlineStr">
        <is>
          <t>类别典型值/文件信息</t>
        </is>
      </c>
      <c r="AO26" s="6" t="inlineStr"/>
    </row>
    <row r="27">
      <c r="A27" s="7" t="inlineStr">
        <is>
          <t>AS400</t>
        </is>
      </c>
      <c r="B27" s="7" t="inlineStr">
        <is>
          <t>丙烯酸树脂</t>
        </is>
      </c>
      <c r="C27" s="7" t="inlineStr">
        <is>
          <t>有机</t>
        </is>
      </c>
      <c r="D27" s="7" t="inlineStr">
        <is>
          <t>助剂</t>
        </is>
      </c>
      <c r="E27" s="7" t="inlineStr">
        <is>
          <t>其他</t>
        </is>
      </c>
      <c r="F27" s="7" t="inlineStr"/>
      <c r="G27" s="7" t="inlineStr">
        <is>
          <t>专有估算</t>
        </is>
      </c>
      <c r="H27" s="5" t="n">
        <v>99</v>
      </c>
      <c r="I27" s="7" t="n">
        <v>1.05</v>
      </c>
      <c r="J27" s="7" t="n">
        <v>15000</v>
      </c>
      <c r="K27" s="5" t="n">
        <v>0</v>
      </c>
      <c r="L27" s="5" t="n">
        <v>5</v>
      </c>
      <c r="M27" s="5" t="n">
        <v>50</v>
      </c>
      <c r="N27" s="5" t="n">
        <v>0</v>
      </c>
      <c r="O27" s="5" t="n">
        <v>4</v>
      </c>
      <c r="P27" s="7" t="n">
        <v>-10</v>
      </c>
      <c r="Q27" s="7" t="n">
        <v>250</v>
      </c>
      <c r="R27" s="7" t="n">
        <v>100</v>
      </c>
      <c r="S27" s="7" t="n">
        <v>17.8</v>
      </c>
      <c r="T27" s="7" t="n">
        <v>6.5</v>
      </c>
      <c r="U27" s="7" t="n">
        <v>8.5</v>
      </c>
      <c r="V27" s="7" t="n">
        <v>3</v>
      </c>
      <c r="W27" s="7" t="n">
        <v>0</v>
      </c>
      <c r="X27" s="7" t="n">
        <v>73</v>
      </c>
      <c r="Y27" s="7" t="n">
        <v>11</v>
      </c>
      <c r="Z27" s="7" t="n">
        <v>16</v>
      </c>
      <c r="AA27" s="7" t="n">
        <v>0</v>
      </c>
      <c r="AB27" s="7" t="n">
        <v>0</v>
      </c>
      <c r="AC27" s="7" t="n">
        <v>0</v>
      </c>
      <c r="AD27" s="5" t="n">
        <v>0.05</v>
      </c>
      <c r="AE27" s="5" t="n">
        <v>0.03</v>
      </c>
      <c r="AF27" s="5" t="n">
        <v>0.003</v>
      </c>
      <c r="AG27" s="5" t="n">
        <v>0.11</v>
      </c>
      <c r="AH27" s="5" t="n">
        <v>0</v>
      </c>
      <c r="AI27" s="5" t="n">
        <v>0</v>
      </c>
      <c r="AJ27" s="5" t="n">
        <v>0.25</v>
      </c>
      <c r="AK27" s="5" t="n">
        <v>0.05</v>
      </c>
      <c r="AL27" s="7" t="n">
        <v>0</v>
      </c>
      <c r="AM27" s="7" t="n">
        <v>0</v>
      </c>
      <c r="AN27" s="7" t="inlineStr">
        <is>
          <t>类别典型值/文件信息</t>
        </is>
      </c>
      <c r="AO27" s="7" t="inlineStr"/>
    </row>
    <row r="28">
      <c r="A28" s="6" t="inlineStr">
        <is>
          <t>RX170-140</t>
        </is>
      </c>
      <c r="B28" s="6" t="inlineStr">
        <is>
          <t>丙烯酸树脂</t>
        </is>
      </c>
      <c r="C28" s="6" t="inlineStr">
        <is>
          <t>有机</t>
        </is>
      </c>
      <c r="D28" s="6" t="inlineStr">
        <is>
          <t>树脂</t>
        </is>
      </c>
      <c r="E28" s="6" t="inlineStr">
        <is>
          <t>乙烯基</t>
        </is>
      </c>
      <c r="F28" s="6" t="inlineStr"/>
      <c r="G28" s="6" t="inlineStr">
        <is>
          <t>专有估算</t>
        </is>
      </c>
      <c r="H28" s="5" t="n">
        <v>100</v>
      </c>
      <c r="I28" s="6" t="n">
        <v>1.05</v>
      </c>
      <c r="J28" s="6" t="n">
        <v>60000</v>
      </c>
      <c r="K28" s="5" t="n">
        <v>0</v>
      </c>
      <c r="L28" s="5" t="n">
        <v>5</v>
      </c>
      <c r="M28" s="5" t="n">
        <v>50</v>
      </c>
      <c r="N28" s="5" t="n">
        <v>0</v>
      </c>
      <c r="O28" s="5" t="n">
        <v>0</v>
      </c>
      <c r="P28" s="6" t="n">
        <v>82</v>
      </c>
      <c r="Q28" s="6" t="n">
        <v>250</v>
      </c>
      <c r="R28" s="6" t="n">
        <v>100</v>
      </c>
      <c r="S28" s="6" t="n">
        <v>17.8</v>
      </c>
      <c r="T28" s="6" t="n">
        <v>6.5</v>
      </c>
      <c r="U28" s="6" t="n">
        <v>8.5</v>
      </c>
      <c r="V28" s="6" t="n">
        <v>3</v>
      </c>
      <c r="W28" s="6" t="n">
        <v>0</v>
      </c>
      <c r="X28" s="6" t="n">
        <v>38</v>
      </c>
      <c r="Y28" s="6" t="n">
        <v>5</v>
      </c>
      <c r="Z28" s="6" t="n">
        <v>0</v>
      </c>
      <c r="AA28" s="6" t="n">
        <v>0</v>
      </c>
      <c r="AB28" s="6" t="n">
        <v>0</v>
      </c>
      <c r="AC28" s="6" t="n">
        <v>57</v>
      </c>
      <c r="AD28" s="5" t="n">
        <v>0</v>
      </c>
      <c r="AE28" s="5" t="n">
        <v>0.03</v>
      </c>
      <c r="AF28" s="5" t="n">
        <v>0.003</v>
      </c>
      <c r="AG28" s="5" t="n">
        <v>0.01</v>
      </c>
      <c r="AH28" s="5" t="n">
        <v>0</v>
      </c>
      <c r="AI28" s="5" t="n">
        <v>0</v>
      </c>
      <c r="AJ28" s="5" t="n">
        <v>0.02</v>
      </c>
      <c r="AK28" s="5" t="n">
        <v>0.05</v>
      </c>
      <c r="AL28" s="6" t="n">
        <v>0</v>
      </c>
      <c r="AM28" s="6" t="n">
        <v>0</v>
      </c>
      <c r="AN28" s="6" t="inlineStr">
        <is>
          <t>类别典型值/文件信息</t>
        </is>
      </c>
      <c r="AO28" s="6" t="inlineStr"/>
    </row>
    <row r="29">
      <c r="A29" s="7" t="inlineStr">
        <is>
          <t>AL525</t>
        </is>
      </c>
      <c r="B29" s="7" t="inlineStr">
        <is>
          <t>丙烯酸树脂</t>
        </is>
      </c>
      <c r="C29" s="7" t="inlineStr">
        <is>
          <t>有机</t>
        </is>
      </c>
      <c r="D29" s="7" t="inlineStr">
        <is>
          <t>助剂</t>
        </is>
      </c>
      <c r="E29" s="7" t="inlineStr">
        <is>
          <t>其他</t>
        </is>
      </c>
      <c r="F29" s="7" t="inlineStr"/>
      <c r="G29" s="7" t="inlineStr">
        <is>
          <t>专有估算</t>
        </is>
      </c>
      <c r="H29" s="5" t="n">
        <v>100</v>
      </c>
      <c r="I29" s="7" t="n">
        <v>1.05</v>
      </c>
      <c r="J29" s="7" t="n">
        <v>400</v>
      </c>
      <c r="K29" s="5" t="n">
        <v>0</v>
      </c>
      <c r="L29" s="5" t="n">
        <v>5</v>
      </c>
      <c r="M29" s="5" t="n">
        <v>50</v>
      </c>
      <c r="N29" s="5" t="n">
        <v>0</v>
      </c>
      <c r="O29" s="5" t="n">
        <v>0</v>
      </c>
      <c r="P29" s="7" t="n">
        <v>-5</v>
      </c>
      <c r="Q29" s="7" t="n">
        <v>250</v>
      </c>
      <c r="R29" s="7" t="n">
        <v>100</v>
      </c>
      <c r="S29" s="7" t="n">
        <v>17.8</v>
      </c>
      <c r="T29" s="7" t="n">
        <v>6.5</v>
      </c>
      <c r="U29" s="7" t="n">
        <v>8.5</v>
      </c>
      <c r="V29" s="7" t="n">
        <v>3</v>
      </c>
      <c r="W29" s="7" t="n">
        <v>0</v>
      </c>
      <c r="X29" s="7" t="n">
        <v>72</v>
      </c>
      <c r="Y29" s="7" t="n">
        <v>11</v>
      </c>
      <c r="Z29" s="7" t="n">
        <v>17</v>
      </c>
      <c r="AA29" s="7" t="n">
        <v>0</v>
      </c>
      <c r="AB29" s="7" t="n">
        <v>0</v>
      </c>
      <c r="AC29" s="7" t="n">
        <v>0</v>
      </c>
      <c r="AD29" s="5" t="n">
        <v>0</v>
      </c>
      <c r="AE29" s="5" t="n">
        <v>0.02</v>
      </c>
      <c r="AF29" s="5" t="n">
        <v>0.003</v>
      </c>
      <c r="AG29" s="5" t="n">
        <v>0.11</v>
      </c>
      <c r="AH29" s="5" t="n">
        <v>0</v>
      </c>
      <c r="AI29" s="5" t="n">
        <v>0</v>
      </c>
      <c r="AJ29" s="5" t="n">
        <v>0.25</v>
      </c>
      <c r="AK29" s="5" t="n">
        <v>0.05</v>
      </c>
      <c r="AL29" s="7" t="n">
        <v>100</v>
      </c>
      <c r="AM29" s="7" t="n">
        <v>0</v>
      </c>
      <c r="AN29" s="7" t="inlineStr">
        <is>
          <t>类别典型值/文件信息</t>
        </is>
      </c>
      <c r="AO29" s="7" t="inlineStr"/>
    </row>
    <row r="30">
      <c r="A30" s="6" t="inlineStr">
        <is>
          <t>AL710</t>
        </is>
      </c>
      <c r="B30" s="6" t="inlineStr">
        <is>
          <t>丙烯酸树脂</t>
        </is>
      </c>
      <c r="C30" s="6" t="inlineStr">
        <is>
          <t>有机</t>
        </is>
      </c>
      <c r="D30" s="6" t="inlineStr">
        <is>
          <t>助剂</t>
        </is>
      </c>
      <c r="E30" s="6" t="inlineStr">
        <is>
          <t>其他</t>
        </is>
      </c>
      <c r="F30" s="6" t="inlineStr"/>
      <c r="G30" s="6" t="inlineStr">
        <is>
          <t>专有估算</t>
        </is>
      </c>
      <c r="H30" s="5" t="n">
        <v>35</v>
      </c>
      <c r="I30" s="6" t="n">
        <v>1.05</v>
      </c>
      <c r="J30" s="6" t="n">
        <v>500</v>
      </c>
      <c r="K30" s="5" t="n">
        <v>0</v>
      </c>
      <c r="L30" s="5" t="n">
        <v>5</v>
      </c>
      <c r="M30" s="5" t="n">
        <v>50</v>
      </c>
      <c r="N30" s="5" t="n">
        <v>0</v>
      </c>
      <c r="O30" s="5" t="n">
        <v>0</v>
      </c>
      <c r="P30" s="6" t="n">
        <v>-10</v>
      </c>
      <c r="Q30" s="6" t="n">
        <v>250</v>
      </c>
      <c r="R30" s="6" t="n">
        <v>100</v>
      </c>
      <c r="S30" s="6" t="n">
        <v>17.8</v>
      </c>
      <c r="T30" s="6" t="n">
        <v>6.5</v>
      </c>
      <c r="U30" s="6" t="n">
        <v>8.5</v>
      </c>
      <c r="V30" s="6" t="n">
        <v>3</v>
      </c>
      <c r="W30" s="6" t="n">
        <v>0</v>
      </c>
      <c r="X30" s="6" t="n">
        <v>82</v>
      </c>
      <c r="Y30" s="6" t="n">
        <v>14</v>
      </c>
      <c r="Z30" s="6" t="n">
        <v>4</v>
      </c>
      <c r="AA30" s="6" t="n">
        <v>0</v>
      </c>
      <c r="AB30" s="6" t="n">
        <v>0</v>
      </c>
      <c r="AC30" s="6" t="n">
        <v>0</v>
      </c>
      <c r="AD30" s="5" t="n">
        <v>0</v>
      </c>
      <c r="AE30" s="5" t="n">
        <v>0.03</v>
      </c>
      <c r="AF30" s="5" t="n">
        <v>0.003</v>
      </c>
      <c r="AG30" s="5" t="n">
        <v>0.3</v>
      </c>
      <c r="AH30" s="5" t="n">
        <v>0</v>
      </c>
      <c r="AI30" s="5" t="n">
        <v>0</v>
      </c>
      <c r="AJ30" s="5" t="n">
        <v>0.25</v>
      </c>
      <c r="AK30" s="5" t="n">
        <v>0.05</v>
      </c>
      <c r="AL30" s="6" t="n">
        <v>35</v>
      </c>
      <c r="AM30" s="6" t="n">
        <v>0</v>
      </c>
      <c r="AN30" s="6" t="inlineStr">
        <is>
          <t>类别典型值/文件信息</t>
        </is>
      </c>
      <c r="AO30" s="6" t="inlineStr"/>
    </row>
    <row r="31">
      <c r="A31" s="7" t="inlineStr">
        <is>
          <t>AL800</t>
        </is>
      </c>
      <c r="B31" s="7" t="inlineStr">
        <is>
          <t>丙烯酸树脂</t>
        </is>
      </c>
      <c r="C31" s="7" t="inlineStr">
        <is>
          <t>聚酯</t>
        </is>
      </c>
      <c r="D31" s="7" t="inlineStr">
        <is>
          <t>树脂</t>
        </is>
      </c>
      <c r="E31" s="7" t="inlineStr">
        <is>
          <t>丙烯酸</t>
        </is>
      </c>
      <c r="F31" s="7" t="inlineStr"/>
      <c r="G31" s="7" t="inlineStr">
        <is>
          <t>专有估算</t>
        </is>
      </c>
      <c r="H31" s="5" t="n">
        <v>50</v>
      </c>
      <c r="I31" s="7" t="n">
        <v>1.05</v>
      </c>
      <c r="J31" s="7" t="n">
        <v>15000</v>
      </c>
      <c r="K31" s="5" t="n">
        <v>0</v>
      </c>
      <c r="L31" s="5" t="n">
        <v>5</v>
      </c>
      <c r="M31" s="5" t="n">
        <v>50</v>
      </c>
      <c r="N31" s="5" t="n">
        <v>0</v>
      </c>
      <c r="O31" s="5" t="n">
        <v>1</v>
      </c>
      <c r="P31" s="7" t="n">
        <v>45</v>
      </c>
      <c r="Q31" s="7" t="n">
        <v>250</v>
      </c>
      <c r="R31" s="7" t="n">
        <v>100</v>
      </c>
      <c r="S31" s="7" t="n">
        <v>17.8</v>
      </c>
      <c r="T31" s="7" t="n">
        <v>6.5</v>
      </c>
      <c r="U31" s="7" t="n">
        <v>8.5</v>
      </c>
      <c r="V31" s="7" t="n">
        <v>3</v>
      </c>
      <c r="W31" s="7" t="n">
        <v>0</v>
      </c>
      <c r="X31" s="7" t="n">
        <v>65</v>
      </c>
      <c r="Y31" s="7" t="n">
        <v>9</v>
      </c>
      <c r="Z31" s="7" t="n">
        <v>25</v>
      </c>
      <c r="AA31" s="7" t="n">
        <v>0</v>
      </c>
      <c r="AB31" s="7" t="n">
        <v>0</v>
      </c>
      <c r="AC31" s="7" t="n">
        <v>0</v>
      </c>
      <c r="AD31" s="5" t="n">
        <v>0</v>
      </c>
      <c r="AE31" s="5" t="n">
        <v>0.03</v>
      </c>
      <c r="AF31" s="5" t="n">
        <v>0.003</v>
      </c>
      <c r="AG31" s="5" t="n">
        <v>0.3</v>
      </c>
      <c r="AH31" s="5" t="n">
        <v>0</v>
      </c>
      <c r="AI31" s="5" t="n">
        <v>0</v>
      </c>
      <c r="AJ31" s="5" t="n">
        <v>0.25</v>
      </c>
      <c r="AK31" s="5" t="n">
        <v>0.05</v>
      </c>
      <c r="AL31" s="7" t="n">
        <v>0</v>
      </c>
      <c r="AM31" s="7" t="n">
        <v>0</v>
      </c>
      <c r="AN31" s="7" t="inlineStr">
        <is>
          <t>类别典型值/文件信息</t>
        </is>
      </c>
      <c r="AO31" s="7" t="inlineStr"/>
    </row>
    <row r="32">
      <c r="A32" s="6" t="inlineStr">
        <is>
          <t>IA800</t>
        </is>
      </c>
      <c r="B32" s="6" t="inlineStr">
        <is>
          <t>丙烯酸树脂</t>
        </is>
      </c>
      <c r="C32" s="6" t="inlineStr">
        <is>
          <t>聚酯</t>
        </is>
      </c>
      <c r="D32" s="6" t="inlineStr">
        <is>
          <t>树脂</t>
        </is>
      </c>
      <c r="E32" s="6" t="inlineStr">
        <is>
          <t>丙烯酸</t>
        </is>
      </c>
      <c r="F32" s="6" t="inlineStr"/>
      <c r="G32" s="6" t="inlineStr">
        <is>
          <t>专有估算</t>
        </is>
      </c>
      <c r="H32" s="5" t="n">
        <v>50</v>
      </c>
      <c r="I32" s="6" t="n">
        <v>1.05</v>
      </c>
      <c r="J32" s="6" t="n">
        <v>15000</v>
      </c>
      <c r="K32" s="5" t="n">
        <v>0</v>
      </c>
      <c r="L32" s="5" t="n">
        <v>5</v>
      </c>
      <c r="M32" s="5" t="n">
        <v>50</v>
      </c>
      <c r="N32" s="5" t="n">
        <v>0</v>
      </c>
      <c r="O32" s="5" t="n">
        <v>1</v>
      </c>
      <c r="P32" s="6" t="n">
        <v>45</v>
      </c>
      <c r="Q32" s="6" t="n">
        <v>250</v>
      </c>
      <c r="R32" s="6" t="n">
        <v>100</v>
      </c>
      <c r="S32" s="6" t="n">
        <v>17.8</v>
      </c>
      <c r="T32" s="6" t="n">
        <v>6.5</v>
      </c>
      <c r="U32" s="6" t="n">
        <v>8.5</v>
      </c>
      <c r="V32" s="6" t="n">
        <v>3</v>
      </c>
      <c r="W32" s="6" t="n">
        <v>0</v>
      </c>
      <c r="X32" s="6" t="n">
        <v>65</v>
      </c>
      <c r="Y32" s="6" t="n">
        <v>9</v>
      </c>
      <c r="Z32" s="6" t="n">
        <v>25</v>
      </c>
      <c r="AA32" s="6" t="n">
        <v>0</v>
      </c>
      <c r="AB32" s="6" t="n">
        <v>0</v>
      </c>
      <c r="AC32" s="6" t="n">
        <v>0</v>
      </c>
      <c r="AD32" s="5" t="n">
        <v>0</v>
      </c>
      <c r="AE32" s="5" t="n">
        <v>0.03</v>
      </c>
      <c r="AF32" s="5" t="n">
        <v>0.003</v>
      </c>
      <c r="AG32" s="5" t="n">
        <v>0.3</v>
      </c>
      <c r="AH32" s="5" t="n">
        <v>0</v>
      </c>
      <c r="AI32" s="5" t="n">
        <v>0</v>
      </c>
      <c r="AJ32" s="5" t="n">
        <v>0.25</v>
      </c>
      <c r="AK32" s="5" t="n">
        <v>0.05</v>
      </c>
      <c r="AL32" s="6" t="n">
        <v>0</v>
      </c>
      <c r="AM32" s="6" t="n">
        <v>0</v>
      </c>
      <c r="AN32" s="6" t="inlineStr">
        <is>
          <t>类别典型值/文件信息</t>
        </is>
      </c>
      <c r="AO32" s="6" t="inlineStr"/>
    </row>
    <row r="33">
      <c r="A33" s="7" t="inlineStr">
        <is>
          <t>IA8000</t>
        </is>
      </c>
      <c r="B33" s="7" t="inlineStr">
        <is>
          <t>丙烯酸树脂</t>
        </is>
      </c>
      <c r="C33" s="7" t="inlineStr">
        <is>
          <t>聚酯</t>
        </is>
      </c>
      <c r="D33" s="7" t="inlineStr">
        <is>
          <t>树脂</t>
        </is>
      </c>
      <c r="E33" s="7" t="inlineStr">
        <is>
          <t>丙烯酸</t>
        </is>
      </c>
      <c r="F33" s="7" t="inlineStr"/>
      <c r="G33" s="7" t="inlineStr">
        <is>
          <t>专有估算</t>
        </is>
      </c>
      <c r="H33" s="5" t="n">
        <v>50</v>
      </c>
      <c r="I33" s="7" t="n">
        <v>1.05</v>
      </c>
      <c r="J33" s="7" t="n">
        <v>15000</v>
      </c>
      <c r="K33" s="5" t="n">
        <v>0</v>
      </c>
      <c r="L33" s="5" t="n">
        <v>5</v>
      </c>
      <c r="M33" s="5" t="n">
        <v>50</v>
      </c>
      <c r="N33" s="5" t="n">
        <v>0</v>
      </c>
      <c r="O33" s="5" t="n">
        <v>1</v>
      </c>
      <c r="P33" s="7" t="n">
        <v>45</v>
      </c>
      <c r="Q33" s="7" t="n">
        <v>250</v>
      </c>
      <c r="R33" s="7" t="n">
        <v>100</v>
      </c>
      <c r="S33" s="7" t="n">
        <v>17.8</v>
      </c>
      <c r="T33" s="7" t="n">
        <v>6.5</v>
      </c>
      <c r="U33" s="7" t="n">
        <v>8.5</v>
      </c>
      <c r="V33" s="7" t="n">
        <v>3</v>
      </c>
      <c r="W33" s="7" t="n">
        <v>0</v>
      </c>
      <c r="X33" s="7" t="n">
        <v>65</v>
      </c>
      <c r="Y33" s="7" t="n">
        <v>9</v>
      </c>
      <c r="Z33" s="7" t="n">
        <v>25</v>
      </c>
      <c r="AA33" s="7" t="n">
        <v>0</v>
      </c>
      <c r="AB33" s="7" t="n">
        <v>0</v>
      </c>
      <c r="AC33" s="7" t="n">
        <v>0</v>
      </c>
      <c r="AD33" s="5" t="n">
        <v>0</v>
      </c>
      <c r="AE33" s="5" t="n">
        <v>0.03</v>
      </c>
      <c r="AF33" s="5" t="n">
        <v>0.003</v>
      </c>
      <c r="AG33" s="5" t="n">
        <v>0.3</v>
      </c>
      <c r="AH33" s="5" t="n">
        <v>0</v>
      </c>
      <c r="AI33" s="5" t="n">
        <v>0</v>
      </c>
      <c r="AJ33" s="5" t="n">
        <v>0.25</v>
      </c>
      <c r="AK33" s="5" t="n">
        <v>0.05</v>
      </c>
      <c r="AL33" s="7" t="n">
        <v>0</v>
      </c>
      <c r="AM33" s="7" t="n">
        <v>0</v>
      </c>
      <c r="AN33" s="7" t="inlineStr">
        <is>
          <t>类别典型值/文件信息</t>
        </is>
      </c>
      <c r="AO33" s="7" t="inlineStr"/>
    </row>
    <row r="34">
      <c r="A34" s="6" t="inlineStr">
        <is>
          <t>IA151</t>
        </is>
      </c>
      <c r="B34" s="6" t="inlineStr">
        <is>
          <t>丙烯酸树脂</t>
        </is>
      </c>
      <c r="C34" s="6" t="inlineStr">
        <is>
          <t>有机</t>
        </is>
      </c>
      <c r="D34" s="6" t="inlineStr">
        <is>
          <t>树脂</t>
        </is>
      </c>
      <c r="E34" s="6" t="inlineStr">
        <is>
          <t>丙烯酸</t>
        </is>
      </c>
      <c r="F34" s="6" t="inlineStr"/>
      <c r="G34" s="6" t="inlineStr">
        <is>
          <t>专有估算</t>
        </is>
      </c>
      <c r="H34" s="5" t="n">
        <v>50</v>
      </c>
      <c r="I34" s="6" t="n">
        <v>1.05</v>
      </c>
      <c r="J34" s="6" t="n">
        <v>15000</v>
      </c>
      <c r="K34" s="5" t="n">
        <v>0</v>
      </c>
      <c r="L34" s="5" t="n">
        <v>5</v>
      </c>
      <c r="M34" s="5" t="n">
        <v>50</v>
      </c>
      <c r="N34" s="5" t="n">
        <v>0</v>
      </c>
      <c r="O34" s="5" t="n">
        <v>1</v>
      </c>
      <c r="P34" s="6" t="n">
        <v>45</v>
      </c>
      <c r="Q34" s="6" t="n">
        <v>250</v>
      </c>
      <c r="R34" s="6" t="n">
        <v>100</v>
      </c>
      <c r="S34" s="6" t="n">
        <v>17.8</v>
      </c>
      <c r="T34" s="6" t="n">
        <v>6.5</v>
      </c>
      <c r="U34" s="6" t="n">
        <v>8.5</v>
      </c>
      <c r="V34" s="6" t="n">
        <v>3</v>
      </c>
      <c r="W34" s="6" t="n">
        <v>0</v>
      </c>
      <c r="X34" s="6" t="n">
        <v>65</v>
      </c>
      <c r="Y34" s="6" t="n">
        <v>9</v>
      </c>
      <c r="Z34" s="6" t="n">
        <v>25</v>
      </c>
      <c r="AA34" s="6" t="n">
        <v>0</v>
      </c>
      <c r="AB34" s="6" t="n">
        <v>0</v>
      </c>
      <c r="AC34" s="6" t="n">
        <v>0</v>
      </c>
      <c r="AD34" s="5" t="n">
        <v>0</v>
      </c>
      <c r="AE34" s="5" t="n">
        <v>0.03</v>
      </c>
      <c r="AF34" s="5" t="n">
        <v>0.003</v>
      </c>
      <c r="AG34" s="5" t="n">
        <v>0.3</v>
      </c>
      <c r="AH34" s="5" t="n">
        <v>0</v>
      </c>
      <c r="AI34" s="5" t="n">
        <v>0</v>
      </c>
      <c r="AJ34" s="5" t="n">
        <v>0.25</v>
      </c>
      <c r="AK34" s="5" t="n">
        <v>0.05</v>
      </c>
      <c r="AL34" s="6" t="n">
        <v>0</v>
      </c>
      <c r="AM34" s="6" t="n">
        <v>0</v>
      </c>
      <c r="AN34" s="6" t="inlineStr">
        <is>
          <t>类别典型值/文件信息</t>
        </is>
      </c>
      <c r="AO34" s="6" t="inlineStr"/>
    </row>
    <row r="35">
      <c r="A35" s="7" t="inlineStr">
        <is>
          <t>IA893</t>
        </is>
      </c>
      <c r="B35" s="7" t="inlineStr">
        <is>
          <t>丙烯酸树脂</t>
        </is>
      </c>
      <c r="C35" s="7" t="inlineStr">
        <is>
          <t>有机</t>
        </is>
      </c>
      <c r="D35" s="7" t="inlineStr">
        <is>
          <t>树脂</t>
        </is>
      </c>
      <c r="E35" s="7" t="inlineStr">
        <is>
          <t>丙烯酸</t>
        </is>
      </c>
      <c r="F35" s="7" t="inlineStr"/>
      <c r="G35" s="7" t="inlineStr">
        <is>
          <t>专有估算</t>
        </is>
      </c>
      <c r="H35" s="5" t="n">
        <v>50</v>
      </c>
      <c r="I35" s="7" t="n">
        <v>1.05</v>
      </c>
      <c r="J35" s="7" t="n">
        <v>15000</v>
      </c>
      <c r="K35" s="5" t="n">
        <v>0</v>
      </c>
      <c r="L35" s="5" t="n">
        <v>5</v>
      </c>
      <c r="M35" s="5" t="n">
        <v>50</v>
      </c>
      <c r="N35" s="5" t="n">
        <v>0</v>
      </c>
      <c r="O35" s="5" t="n">
        <v>1</v>
      </c>
      <c r="P35" s="7" t="n">
        <v>45</v>
      </c>
      <c r="Q35" s="7" t="n">
        <v>250</v>
      </c>
      <c r="R35" s="7" t="n">
        <v>100</v>
      </c>
      <c r="S35" s="7" t="n">
        <v>17.8</v>
      </c>
      <c r="T35" s="7" t="n">
        <v>6.5</v>
      </c>
      <c r="U35" s="7" t="n">
        <v>8.5</v>
      </c>
      <c r="V35" s="7" t="n">
        <v>3</v>
      </c>
      <c r="W35" s="7" t="n">
        <v>0</v>
      </c>
      <c r="X35" s="7" t="n">
        <v>65</v>
      </c>
      <c r="Y35" s="7" t="n">
        <v>9</v>
      </c>
      <c r="Z35" s="7" t="n">
        <v>25</v>
      </c>
      <c r="AA35" s="7" t="n">
        <v>0</v>
      </c>
      <c r="AB35" s="7" t="n">
        <v>0</v>
      </c>
      <c r="AC35" s="7" t="n">
        <v>0</v>
      </c>
      <c r="AD35" s="5" t="n">
        <v>0</v>
      </c>
      <c r="AE35" s="5" t="n">
        <v>0.03</v>
      </c>
      <c r="AF35" s="5" t="n">
        <v>0.003</v>
      </c>
      <c r="AG35" s="5" t="n">
        <v>0.3</v>
      </c>
      <c r="AH35" s="5" t="n">
        <v>0</v>
      </c>
      <c r="AI35" s="5" t="n">
        <v>0</v>
      </c>
      <c r="AJ35" s="5" t="n">
        <v>0.25</v>
      </c>
      <c r="AK35" s="5" t="n">
        <v>0.05</v>
      </c>
      <c r="AL35" s="7" t="n">
        <v>0</v>
      </c>
      <c r="AM35" s="7" t="n">
        <v>0</v>
      </c>
      <c r="AN35" s="7" t="inlineStr">
        <is>
          <t>类别典型值/文件信息</t>
        </is>
      </c>
      <c r="AO35" s="7" t="inlineStr"/>
    </row>
    <row r="36">
      <c r="A36" s="6" t="inlineStr">
        <is>
          <t>TM004</t>
        </is>
      </c>
      <c r="B36" s="6" t="inlineStr">
        <is>
          <t>乙二醇丁醚</t>
        </is>
      </c>
      <c r="C36" s="6" t="inlineStr">
        <is>
          <t>聚酯</t>
        </is>
      </c>
      <c r="D36" s="6" t="inlineStr">
        <is>
          <t>溶剂</t>
        </is>
      </c>
      <c r="E36" s="6" t="inlineStr">
        <is>
          <t>其他</t>
        </is>
      </c>
      <c r="F36" s="6" t="inlineStr">
        <is>
          <t>CCCCOCCO</t>
        </is>
      </c>
      <c r="G36" s="6" t="inlineStr">
        <is>
          <t>已计算</t>
        </is>
      </c>
      <c r="H36" s="5" t="n">
        <v>0</v>
      </c>
      <c r="I36" s="6" t="n">
        <v>0.9</v>
      </c>
      <c r="J36" s="6" t="n">
        <v>118.2</v>
      </c>
      <c r="K36" s="5" t="n">
        <v>0</v>
      </c>
      <c r="L36" s="5" t="n">
        <v>0</v>
      </c>
      <c r="M36" s="5" t="n">
        <v>0</v>
      </c>
      <c r="N36" s="5" t="n">
        <v>0</v>
      </c>
      <c r="O36" s="5" t="n">
        <v>0</v>
      </c>
      <c r="P36" s="6" t="n">
        <v>-70</v>
      </c>
      <c r="Q36" s="6" t="n">
        <v>171</v>
      </c>
      <c r="R36" s="6" t="n">
        <v>60</v>
      </c>
      <c r="S36" s="6" t="n">
        <v>16</v>
      </c>
      <c r="T36" s="6" t="n">
        <v>5.1</v>
      </c>
      <c r="U36" s="6" t="n">
        <v>12.3</v>
      </c>
      <c r="V36" s="6" t="n">
        <v>3.1</v>
      </c>
      <c r="W36" s="6" t="n">
        <v>0.07000000000000001</v>
      </c>
      <c r="X36" s="6" t="n">
        <v>61</v>
      </c>
      <c r="Y36" s="6" t="n">
        <v>12</v>
      </c>
      <c r="Z36" s="6" t="n">
        <v>27</v>
      </c>
      <c r="AA36" s="6" t="n">
        <v>0</v>
      </c>
      <c r="AB36" s="6" t="n">
        <v>0</v>
      </c>
      <c r="AC36" s="6" t="n">
        <v>0</v>
      </c>
      <c r="AD36" s="5" t="n">
        <v>0</v>
      </c>
      <c r="AE36" s="5" t="n">
        <v>0.85</v>
      </c>
      <c r="AF36" s="5" t="n">
        <v>0</v>
      </c>
      <c r="AG36" s="5" t="n">
        <v>0</v>
      </c>
      <c r="AH36" s="5" t="n">
        <v>0</v>
      </c>
      <c r="AI36" s="5" t="n">
        <v>0</v>
      </c>
      <c r="AJ36" s="5" t="n">
        <v>0</v>
      </c>
      <c r="AK36" s="5" t="n">
        <v>0.85</v>
      </c>
      <c r="AL36" s="6" t="n">
        <v>0</v>
      </c>
      <c r="AM36" s="6" t="n">
        <v>0</v>
      </c>
      <c r="AN36" s="6" t="inlineStr">
        <is>
          <t>类别典型值/文件信息</t>
        </is>
      </c>
      <c r="AO36" s="6" t="inlineStr"/>
    </row>
    <row r="37">
      <c r="A37" s="7" t="inlineStr">
        <is>
          <t>正丁醇</t>
        </is>
      </c>
      <c r="B37" s="7" t="inlineStr">
        <is>
          <t>正丁醇</t>
        </is>
      </c>
      <c r="C37" s="7" t="inlineStr">
        <is>
          <t>环氧酚醛</t>
        </is>
      </c>
      <c r="D37" s="7" t="inlineStr">
        <is>
          <t>溶剂</t>
        </is>
      </c>
      <c r="E37" s="7" t="inlineStr">
        <is>
          <t>其他</t>
        </is>
      </c>
      <c r="F37" s="7" t="inlineStr">
        <is>
          <t>CCCCO</t>
        </is>
      </c>
      <c r="G37" s="7" t="inlineStr">
        <is>
          <t>已计算</t>
        </is>
      </c>
      <c r="H37" s="5" t="n">
        <v>0</v>
      </c>
      <c r="I37" s="7" t="n">
        <v>0.8100000000000001</v>
      </c>
      <c r="J37" s="7" t="n">
        <v>74.09999999999999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7" t="n">
        <v>-90</v>
      </c>
      <c r="Q37" s="7" t="n">
        <v>117.7</v>
      </c>
      <c r="R37" s="7" t="n">
        <v>35</v>
      </c>
      <c r="S37" s="7" t="n">
        <v>15.8</v>
      </c>
      <c r="T37" s="7" t="n">
        <v>5.7</v>
      </c>
      <c r="U37" s="7" t="n">
        <v>15.8</v>
      </c>
      <c r="V37" s="7" t="n">
        <v>3.9</v>
      </c>
      <c r="W37" s="7" t="n">
        <v>0.44</v>
      </c>
      <c r="X37" s="7" t="n">
        <v>65</v>
      </c>
      <c r="Y37" s="7" t="n">
        <v>14</v>
      </c>
      <c r="Z37" s="7" t="n">
        <v>22</v>
      </c>
      <c r="AA37" s="7" t="n">
        <v>0</v>
      </c>
      <c r="AB37" s="7" t="n">
        <v>0</v>
      </c>
      <c r="AC37" s="7" t="n">
        <v>0</v>
      </c>
      <c r="AD37" s="5" t="n">
        <v>0</v>
      </c>
      <c r="AE37" s="5" t="n">
        <v>1.35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7" t="n">
        <v>0</v>
      </c>
      <c r="AM37" s="7" t="n">
        <v>0</v>
      </c>
      <c r="AN37" s="7" t="inlineStr">
        <is>
          <t>类别典型值/文件信息</t>
        </is>
      </c>
      <c r="AO37" s="7" t="inlineStr"/>
    </row>
    <row r="38">
      <c r="A38" s="6" t="inlineStr">
        <is>
          <t>二甲苯</t>
        </is>
      </c>
      <c r="B38" s="6" t="inlineStr">
        <is>
          <t>二甲苯</t>
        </is>
      </c>
      <c r="C38" s="6" t="inlineStr">
        <is>
          <t>通用</t>
        </is>
      </c>
      <c r="D38" s="6" t="inlineStr">
        <is>
          <t>溶剂</t>
        </is>
      </c>
      <c r="E38" s="6" t="inlineStr">
        <is>
          <t>其他</t>
        </is>
      </c>
      <c r="F38" s="6" t="inlineStr">
        <is>
          <t>Cc1ccccc1C</t>
        </is>
      </c>
      <c r="G38" s="6" t="inlineStr">
        <is>
          <t>已计算</t>
        </is>
      </c>
      <c r="H38" s="5" t="n">
        <v>0</v>
      </c>
      <c r="I38" s="6" t="n">
        <v>0.86</v>
      </c>
      <c r="J38" s="6" t="n">
        <v>106.2</v>
      </c>
      <c r="K38" s="5" t="n">
        <v>0</v>
      </c>
      <c r="L38" s="5" t="n">
        <v>0</v>
      </c>
      <c r="M38" s="5" t="n">
        <v>0</v>
      </c>
      <c r="N38" s="5" t="n">
        <v>0</v>
      </c>
      <c r="O38" s="5" t="n">
        <v>0</v>
      </c>
      <c r="P38" s="6" t="n">
        <v>-48</v>
      </c>
      <c r="Q38" s="6" t="n">
        <v>139</v>
      </c>
      <c r="R38" s="6" t="n">
        <v>25</v>
      </c>
      <c r="S38" s="6" t="n">
        <v>17.8</v>
      </c>
      <c r="T38" s="6" t="n">
        <v>1</v>
      </c>
      <c r="U38" s="6" t="n">
        <v>3.1</v>
      </c>
      <c r="V38" s="6" t="n">
        <v>2.5</v>
      </c>
      <c r="W38" s="6" t="n">
        <v>0.7</v>
      </c>
      <c r="X38" s="6" t="n">
        <v>90</v>
      </c>
      <c r="Y38" s="6" t="n">
        <v>10</v>
      </c>
      <c r="Z38" s="6" t="n">
        <v>0</v>
      </c>
      <c r="AA38" s="6" t="n">
        <v>0</v>
      </c>
      <c r="AB38" s="6" t="n">
        <v>0</v>
      </c>
      <c r="AC38" s="6" t="n">
        <v>0</v>
      </c>
      <c r="AD38" s="5" t="n">
        <v>0</v>
      </c>
      <c r="AE38" s="5" t="n">
        <v>0</v>
      </c>
      <c r="AF38" s="5" t="n">
        <v>0</v>
      </c>
      <c r="AG38" s="5" t="n">
        <v>0</v>
      </c>
      <c r="AH38" s="5" t="n">
        <v>0</v>
      </c>
      <c r="AI38" s="5" t="n">
        <v>0</v>
      </c>
      <c r="AJ38" s="5" t="n">
        <v>1</v>
      </c>
      <c r="AK38" s="5" t="n">
        <v>0</v>
      </c>
      <c r="AL38" s="6" t="n">
        <v>0</v>
      </c>
      <c r="AM38" s="6" t="n">
        <v>0</v>
      </c>
      <c r="AN38" s="6" t="inlineStr">
        <is>
          <t>类别典型值/文件信息</t>
        </is>
      </c>
      <c r="AO38" s="6" t="inlineStr"/>
    </row>
    <row r="39">
      <c r="A39" s="7" t="inlineStr">
        <is>
          <t>补加混合液</t>
        </is>
      </c>
      <c r="B39" s="7" t="inlineStr">
        <is>
          <t>乙二醇单丁醚:二甲苯=2:1</t>
        </is>
      </c>
      <c r="C39" s="7" t="inlineStr">
        <is>
          <t>环氧酚醛</t>
        </is>
      </c>
      <c r="D39" s="7" t="inlineStr">
        <is>
          <t>溶剂</t>
        </is>
      </c>
      <c r="E39" s="7" t="inlineStr">
        <is>
          <t>其他</t>
        </is>
      </c>
      <c r="F39" s="7" t="inlineStr">
        <is>
          <t>CCCCOCCO</t>
        </is>
      </c>
      <c r="G39" s="7" t="inlineStr">
        <is>
          <t>已计算</t>
        </is>
      </c>
      <c r="H39" s="5" t="n">
        <v>0</v>
      </c>
      <c r="I39" s="7" t="n">
        <v>0.89</v>
      </c>
      <c r="J39" s="7" t="n">
        <v>114.2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7" t="n">
        <v>-63</v>
      </c>
      <c r="Q39" s="7" t="n">
        <v>160</v>
      </c>
      <c r="R39" s="7" t="n">
        <v>48</v>
      </c>
      <c r="S39" s="7" t="n">
        <v>16.6</v>
      </c>
      <c r="T39" s="7" t="n">
        <v>3.7</v>
      </c>
      <c r="U39" s="7" t="n">
        <v>9.199999999999999</v>
      </c>
      <c r="V39" s="7" t="n">
        <v>2.9</v>
      </c>
      <c r="W39" s="7" t="n">
        <v>0.28</v>
      </c>
      <c r="X39" s="7" t="n">
        <v>71</v>
      </c>
      <c r="Y39" s="7" t="n">
        <v>11</v>
      </c>
      <c r="Z39" s="7" t="n">
        <v>18</v>
      </c>
      <c r="AA39" s="7" t="n">
        <v>0</v>
      </c>
      <c r="AB39" s="7" t="n">
        <v>0</v>
      </c>
      <c r="AC39" s="7" t="n">
        <v>0</v>
      </c>
      <c r="AD39" s="5" t="n">
        <v>0</v>
      </c>
      <c r="AE39" s="5" t="n">
        <v>0.57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0.33</v>
      </c>
      <c r="AK39" s="5" t="n">
        <v>0.57</v>
      </c>
      <c r="AL39" s="7" t="n">
        <v>0</v>
      </c>
      <c r="AM39" s="7" t="n">
        <v>0</v>
      </c>
      <c r="AN39" s="7" t="inlineStr">
        <is>
          <t>类别典型值/文件信息</t>
        </is>
      </c>
      <c r="AO39" s="7" t="inlineStr"/>
    </row>
    <row r="40">
      <c r="A40" s="6" t="inlineStr">
        <is>
          <t>TZ161</t>
        </is>
      </c>
      <c r="B40" s="6" t="inlineStr">
        <is>
          <t>PMA溶剂</t>
        </is>
      </c>
      <c r="C40" s="6" t="inlineStr">
        <is>
          <t>有机</t>
        </is>
      </c>
      <c r="D40" s="6" t="inlineStr">
        <is>
          <t>溶剂</t>
        </is>
      </c>
      <c r="E40" s="6" t="inlineStr">
        <is>
          <t>其他</t>
        </is>
      </c>
      <c r="F40" s="6" t="inlineStr">
        <is>
          <t>CC(C)OC(=O)C</t>
        </is>
      </c>
      <c r="G40" s="6" t="inlineStr">
        <is>
          <t>已计算</t>
        </is>
      </c>
      <c r="H40" s="5" t="n">
        <v>0</v>
      </c>
      <c r="I40" s="6" t="n">
        <v>0.97</v>
      </c>
      <c r="J40" s="6" t="n">
        <v>132.2</v>
      </c>
      <c r="K40" s="5" t="n">
        <v>0</v>
      </c>
      <c r="L40" s="5" t="n">
        <v>0</v>
      </c>
      <c r="M40" s="5" t="n">
        <v>0</v>
      </c>
      <c r="N40" s="5" t="n">
        <v>0</v>
      </c>
      <c r="O40" s="5" t="n">
        <v>0</v>
      </c>
      <c r="P40" s="6" t="n">
        <v>-80</v>
      </c>
      <c r="Q40" s="6" t="n">
        <v>146</v>
      </c>
      <c r="R40" s="6" t="n">
        <v>42</v>
      </c>
      <c r="S40" s="6" t="n">
        <v>15.6</v>
      </c>
      <c r="T40" s="6" t="n">
        <v>5.6</v>
      </c>
      <c r="U40" s="6" t="n">
        <v>9.800000000000001</v>
      </c>
      <c r="V40" s="6" t="n">
        <v>3.4</v>
      </c>
      <c r="W40" s="6" t="n">
        <v>0.34</v>
      </c>
      <c r="X40" s="6" t="n">
        <v>55</v>
      </c>
      <c r="Y40" s="6" t="n">
        <v>9</v>
      </c>
      <c r="Z40" s="6" t="n">
        <v>36</v>
      </c>
      <c r="AA40" s="6" t="n">
        <v>0</v>
      </c>
      <c r="AB40" s="6" t="n">
        <v>0</v>
      </c>
      <c r="AC40" s="6" t="n">
        <v>0</v>
      </c>
      <c r="AD40" s="5" t="n">
        <v>0</v>
      </c>
      <c r="AE40" s="5" t="n">
        <v>0</v>
      </c>
      <c r="AF40" s="5" t="n">
        <v>0</v>
      </c>
      <c r="AG40" s="5" t="n">
        <v>0.76</v>
      </c>
      <c r="AH40" s="5" t="n">
        <v>0</v>
      </c>
      <c r="AI40" s="5" t="n">
        <v>0</v>
      </c>
      <c r="AJ40" s="5" t="n">
        <v>0</v>
      </c>
      <c r="AK40" s="5" t="n">
        <v>0.76</v>
      </c>
      <c r="AL40" s="6" t="n">
        <v>0</v>
      </c>
      <c r="AM40" s="6" t="n">
        <v>0</v>
      </c>
      <c r="AN40" s="6" t="inlineStr">
        <is>
          <t>类别典型值/文件信息</t>
        </is>
      </c>
      <c r="AO40" s="6" t="inlineStr"/>
    </row>
    <row r="41">
      <c r="A41" s="7" t="inlineStr">
        <is>
          <t>TZ425</t>
        </is>
      </c>
      <c r="B41" s="7" t="inlineStr">
        <is>
          <t>DBE溶剂</t>
        </is>
      </c>
      <c r="C41" s="7" t="inlineStr">
        <is>
          <t>聚酯</t>
        </is>
      </c>
      <c r="D41" s="7" t="inlineStr">
        <is>
          <t>溶剂</t>
        </is>
      </c>
      <c r="E41" s="7" t="inlineStr">
        <is>
          <t>其他</t>
        </is>
      </c>
      <c r="F41" s="7" t="inlineStr">
        <is>
          <t>COC(=O)CCCC(=O)OC</t>
        </is>
      </c>
      <c r="G41" s="7" t="inlineStr">
        <is>
          <t>已计算</t>
        </is>
      </c>
      <c r="H41" s="5" t="n">
        <v>0</v>
      </c>
      <c r="I41" s="7" t="n">
        <v>1.09</v>
      </c>
      <c r="J41" s="7" t="n">
        <v>160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7" t="n">
        <v>-60</v>
      </c>
      <c r="Q41" s="7" t="n">
        <v>210</v>
      </c>
      <c r="R41" s="7" t="n">
        <v>100</v>
      </c>
      <c r="S41" s="7" t="n">
        <v>16.5</v>
      </c>
      <c r="T41" s="7" t="n">
        <v>6.5</v>
      </c>
      <c r="U41" s="7" t="n">
        <v>7.5</v>
      </c>
      <c r="V41" s="7" t="n">
        <v>3</v>
      </c>
      <c r="W41" s="7" t="n">
        <v>0.02</v>
      </c>
      <c r="X41" s="7" t="n">
        <v>50</v>
      </c>
      <c r="Y41" s="7" t="n">
        <v>7</v>
      </c>
      <c r="Z41" s="7" t="n">
        <v>43</v>
      </c>
      <c r="AA41" s="7" t="n">
        <v>0</v>
      </c>
      <c r="AB41" s="7" t="n">
        <v>0</v>
      </c>
      <c r="AC41" s="7" t="n">
        <v>0</v>
      </c>
      <c r="AD41" s="5" t="n">
        <v>0</v>
      </c>
      <c r="AE41" s="5" t="n">
        <v>0</v>
      </c>
      <c r="AF41" s="5" t="n">
        <v>0</v>
      </c>
      <c r="AG41" s="5" t="n">
        <v>0.62</v>
      </c>
      <c r="AH41" s="5" t="n">
        <v>0</v>
      </c>
      <c r="AI41" s="5" t="n">
        <v>0</v>
      </c>
      <c r="AJ41" s="5" t="n">
        <v>0</v>
      </c>
      <c r="AK41" s="5" t="n">
        <v>0.62</v>
      </c>
      <c r="AL41" s="7" t="n">
        <v>0</v>
      </c>
      <c r="AM41" s="7" t="n">
        <v>0</v>
      </c>
      <c r="AN41" s="7" t="inlineStr">
        <is>
          <t>类别典型值/文件信息</t>
        </is>
      </c>
      <c r="AO41" s="7" t="inlineStr"/>
    </row>
    <row r="42">
      <c r="A42" s="6" t="inlineStr">
        <is>
          <t>TZ240</t>
        </is>
      </c>
      <c r="B42" s="6" t="inlineStr">
        <is>
          <t>醋酸丁酯</t>
        </is>
      </c>
      <c r="C42" s="6" t="inlineStr">
        <is>
          <t>有机</t>
        </is>
      </c>
      <c r="D42" s="6" t="inlineStr">
        <is>
          <t>溶剂</t>
        </is>
      </c>
      <c r="E42" s="6" t="inlineStr">
        <is>
          <t>其他</t>
        </is>
      </c>
      <c r="F42" s="6" t="inlineStr">
        <is>
          <t>CCCCOC(=O)C</t>
        </is>
      </c>
      <c r="G42" s="6" t="inlineStr">
        <is>
          <t>已计算</t>
        </is>
      </c>
      <c r="H42" s="5" t="n">
        <v>0</v>
      </c>
      <c r="I42" s="6" t="n">
        <v>0.88</v>
      </c>
      <c r="J42" s="6" t="n">
        <v>116.2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6" t="n">
        <v>-78</v>
      </c>
      <c r="Q42" s="6" t="n">
        <v>126</v>
      </c>
      <c r="R42" s="6" t="n">
        <v>22</v>
      </c>
      <c r="S42" s="6" t="n">
        <v>15.8</v>
      </c>
      <c r="T42" s="6" t="n">
        <v>3.7</v>
      </c>
      <c r="U42" s="6" t="n">
        <v>6.3</v>
      </c>
      <c r="V42" s="6" t="n">
        <v>2.8</v>
      </c>
      <c r="W42" s="6" t="n">
        <v>1</v>
      </c>
      <c r="X42" s="6" t="n">
        <v>62</v>
      </c>
      <c r="Y42" s="6" t="n">
        <v>10</v>
      </c>
      <c r="Z42" s="6" t="n">
        <v>28</v>
      </c>
      <c r="AA42" s="6" t="n">
        <v>0</v>
      </c>
      <c r="AB42" s="6" t="n">
        <v>0</v>
      </c>
      <c r="AC42" s="6" t="n">
        <v>0</v>
      </c>
      <c r="AD42" s="5" t="n">
        <v>0</v>
      </c>
      <c r="AE42" s="5" t="n">
        <v>0</v>
      </c>
      <c r="AF42" s="5" t="n">
        <v>0</v>
      </c>
      <c r="AG42" s="5" t="n">
        <v>0.86</v>
      </c>
      <c r="AH42" s="5" t="n">
        <v>0</v>
      </c>
      <c r="AI42" s="5" t="n">
        <v>0</v>
      </c>
      <c r="AJ42" s="5" t="n">
        <v>0</v>
      </c>
      <c r="AK42" s="5" t="n">
        <v>0.86</v>
      </c>
      <c r="AL42" s="6" t="n">
        <v>0</v>
      </c>
      <c r="AM42" s="6" t="n">
        <v>0</v>
      </c>
      <c r="AN42" s="6" t="inlineStr">
        <is>
          <t>类别典型值/文件信息</t>
        </is>
      </c>
      <c r="AO42" s="6" t="inlineStr"/>
    </row>
    <row r="43">
      <c r="A43" s="7" t="inlineStr">
        <is>
          <t>TT444</t>
        </is>
      </c>
      <c r="B43" s="7" t="inlineStr">
        <is>
          <t>丁酮</t>
        </is>
      </c>
      <c r="C43" s="7" t="inlineStr">
        <is>
          <t>有机</t>
        </is>
      </c>
      <c r="D43" s="7" t="inlineStr">
        <is>
          <t>溶剂</t>
        </is>
      </c>
      <c r="E43" s="7" t="inlineStr">
        <is>
          <t>其他</t>
        </is>
      </c>
      <c r="F43" s="7" t="inlineStr">
        <is>
          <t>CCC(=O)C</t>
        </is>
      </c>
      <c r="G43" s="7" t="inlineStr">
        <is>
          <t>已计算</t>
        </is>
      </c>
      <c r="H43" s="5" t="n">
        <v>0</v>
      </c>
      <c r="I43" s="7" t="n">
        <v>0.8</v>
      </c>
      <c r="J43" s="7" t="n">
        <v>72.09999999999999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7" t="n">
        <v>-86</v>
      </c>
      <c r="Q43" s="7" t="n">
        <v>79.59999999999999</v>
      </c>
      <c r="R43" s="7" t="n">
        <v>-9</v>
      </c>
      <c r="S43" s="7" t="n">
        <v>16</v>
      </c>
      <c r="T43" s="7" t="n">
        <v>9</v>
      </c>
      <c r="U43" s="7" t="n">
        <v>5.1</v>
      </c>
      <c r="V43" s="7" t="n">
        <v>4.7</v>
      </c>
      <c r="W43" s="7" t="n">
        <v>3.8</v>
      </c>
      <c r="X43" s="7" t="n">
        <v>67</v>
      </c>
      <c r="Y43" s="7" t="n">
        <v>11</v>
      </c>
      <c r="Z43" s="7" t="n">
        <v>22</v>
      </c>
      <c r="AA43" s="7" t="n">
        <v>0</v>
      </c>
      <c r="AB43" s="7" t="n">
        <v>0</v>
      </c>
      <c r="AC43" s="7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7" t="n">
        <v>0</v>
      </c>
      <c r="AM43" s="7" t="n">
        <v>0</v>
      </c>
      <c r="AN43" s="7" t="inlineStr">
        <is>
          <t>类别典型值/文件信息</t>
        </is>
      </c>
      <c r="AO43" s="7" t="inlineStr"/>
    </row>
    <row r="44">
      <c r="A44" s="6" t="inlineStr">
        <is>
          <t>TT066</t>
        </is>
      </c>
      <c r="B44" s="6" t="inlineStr">
        <is>
          <t>环己酮</t>
        </is>
      </c>
      <c r="C44" s="6" t="inlineStr">
        <is>
          <t>有机</t>
        </is>
      </c>
      <c r="D44" s="6" t="inlineStr">
        <is>
          <t>溶剂</t>
        </is>
      </c>
      <c r="E44" s="6" t="inlineStr">
        <is>
          <t>其他</t>
        </is>
      </c>
      <c r="F44" s="6" t="inlineStr">
        <is>
          <t>O=C1CCCCC1</t>
        </is>
      </c>
      <c r="G44" s="6" t="inlineStr">
        <is>
          <t>已计算</t>
        </is>
      </c>
      <c r="H44" s="5" t="n">
        <v>0</v>
      </c>
      <c r="I44" s="6" t="n">
        <v>0.95</v>
      </c>
      <c r="J44" s="6" t="n">
        <v>98.09999999999999</v>
      </c>
      <c r="K44" s="5" t="n">
        <v>0</v>
      </c>
      <c r="L44" s="5" t="n">
        <v>0</v>
      </c>
      <c r="M44" s="5" t="n">
        <v>0</v>
      </c>
      <c r="N44" s="5" t="n">
        <v>0</v>
      </c>
      <c r="O44" s="5" t="n">
        <v>0</v>
      </c>
      <c r="P44" s="6" t="n">
        <v>-32</v>
      </c>
      <c r="Q44" s="6" t="n">
        <v>155.6</v>
      </c>
      <c r="R44" s="6" t="n">
        <v>44</v>
      </c>
      <c r="S44" s="6" t="n">
        <v>17.8</v>
      </c>
      <c r="T44" s="6" t="n">
        <v>6.3</v>
      </c>
      <c r="U44" s="6" t="n">
        <v>5.1</v>
      </c>
      <c r="V44" s="6" t="n">
        <v>4.2</v>
      </c>
      <c r="W44" s="6" t="n">
        <v>0.3</v>
      </c>
      <c r="X44" s="6" t="n">
        <v>73</v>
      </c>
      <c r="Y44" s="6" t="n">
        <v>10</v>
      </c>
      <c r="Z44" s="6" t="n">
        <v>16</v>
      </c>
      <c r="AA44" s="6" t="n">
        <v>0</v>
      </c>
      <c r="AB44" s="6" t="n">
        <v>0</v>
      </c>
      <c r="AC44" s="6" t="n">
        <v>0</v>
      </c>
      <c r="AD44" s="5" t="n">
        <v>0</v>
      </c>
      <c r="AE44" s="5" t="n">
        <v>0</v>
      </c>
      <c r="AF44" s="5" t="n">
        <v>0</v>
      </c>
      <c r="AG44" s="5" t="n">
        <v>0</v>
      </c>
      <c r="AH44" s="5" t="n">
        <v>0</v>
      </c>
      <c r="AI44" s="5" t="n">
        <v>0</v>
      </c>
      <c r="AJ44" s="5" t="n">
        <v>0</v>
      </c>
      <c r="AK44" s="5" t="n">
        <v>0</v>
      </c>
      <c r="AL44" s="6" t="n">
        <v>0</v>
      </c>
      <c r="AM44" s="6" t="n">
        <v>0</v>
      </c>
      <c r="AN44" s="6" t="inlineStr">
        <is>
          <t>类别典型值/文件信息</t>
        </is>
      </c>
      <c r="AO44" s="6" t="inlineStr"/>
    </row>
    <row r="45">
      <c r="A45" s="7" t="inlineStr">
        <is>
          <t>TM982</t>
        </is>
      </c>
      <c r="B45" s="7" t="inlineStr">
        <is>
          <t>PM溶剂</t>
        </is>
      </c>
      <c r="C45" s="7" t="inlineStr">
        <is>
          <t>有机</t>
        </is>
      </c>
      <c r="D45" s="7" t="inlineStr">
        <is>
          <t>溶剂</t>
        </is>
      </c>
      <c r="E45" s="7" t="inlineStr">
        <is>
          <t>其他</t>
        </is>
      </c>
      <c r="F45" s="7" t="inlineStr">
        <is>
          <t>CC(C)OC</t>
        </is>
      </c>
      <c r="G45" s="7" t="inlineStr">
        <is>
          <t>已计算</t>
        </is>
      </c>
      <c r="H45" s="5" t="n">
        <v>0</v>
      </c>
      <c r="I45" s="7" t="n">
        <v>0.92</v>
      </c>
      <c r="J45" s="7" t="n">
        <v>90.09999999999999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7" t="n">
        <v>-96</v>
      </c>
      <c r="Q45" s="7" t="n">
        <v>120</v>
      </c>
      <c r="R45" s="7" t="n">
        <v>32</v>
      </c>
      <c r="S45" s="7" t="n">
        <v>15.6</v>
      </c>
      <c r="T45" s="7" t="n">
        <v>6.3</v>
      </c>
      <c r="U45" s="7" t="n">
        <v>11.6</v>
      </c>
      <c r="V45" s="7" t="n">
        <v>3.6</v>
      </c>
      <c r="W45" s="7" t="n">
        <v>0.65</v>
      </c>
      <c r="X45" s="7" t="n">
        <v>53</v>
      </c>
      <c r="Y45" s="7" t="n">
        <v>11</v>
      </c>
      <c r="Z45" s="7" t="n">
        <v>36</v>
      </c>
      <c r="AA45" s="7" t="n">
        <v>0</v>
      </c>
      <c r="AB45" s="7" t="n">
        <v>0</v>
      </c>
      <c r="AC45" s="7" t="n">
        <v>0</v>
      </c>
      <c r="AD45" s="5" t="n">
        <v>0</v>
      </c>
      <c r="AE45" s="5" t="n">
        <v>1.11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1.11</v>
      </c>
      <c r="AL45" s="7" t="n">
        <v>0</v>
      </c>
      <c r="AM45" s="7" t="n">
        <v>0</v>
      </c>
      <c r="AN45" s="7" t="inlineStr">
        <is>
          <t>类别典型值/文件信息</t>
        </is>
      </c>
      <c r="AO45" s="7" t="inlineStr"/>
    </row>
    <row r="46">
      <c r="A46" s="6" t="inlineStr">
        <is>
          <t>TM024</t>
        </is>
      </c>
      <c r="B46" s="6" t="inlineStr">
        <is>
          <t>二乙二醇单丁醚</t>
        </is>
      </c>
      <c r="C46" s="6" t="inlineStr">
        <is>
          <t>有机</t>
        </is>
      </c>
      <c r="D46" s="6" t="inlineStr">
        <is>
          <t>溶剂</t>
        </is>
      </c>
      <c r="E46" s="6" t="inlineStr">
        <is>
          <t>其他</t>
        </is>
      </c>
      <c r="F46" s="6" t="inlineStr">
        <is>
          <t>CCCCOCCOCCO</t>
        </is>
      </c>
      <c r="G46" s="6" t="inlineStr">
        <is>
          <t>已计算</t>
        </is>
      </c>
      <c r="H46" s="5" t="n">
        <v>0</v>
      </c>
      <c r="I46" s="6" t="n">
        <v>0.96</v>
      </c>
      <c r="J46" s="6" t="n">
        <v>162.2</v>
      </c>
      <c r="K46" s="5" t="n">
        <v>0</v>
      </c>
      <c r="L46" s="5" t="n">
        <v>0</v>
      </c>
      <c r="M46" s="5" t="n">
        <v>0</v>
      </c>
      <c r="N46" s="5" t="n">
        <v>0</v>
      </c>
      <c r="O46" s="5" t="n">
        <v>0</v>
      </c>
      <c r="P46" s="6" t="n">
        <v>-68</v>
      </c>
      <c r="Q46" s="6" t="n">
        <v>231</v>
      </c>
      <c r="R46" s="6" t="n">
        <v>100</v>
      </c>
      <c r="S46" s="6" t="n">
        <v>16</v>
      </c>
      <c r="T46" s="6" t="n">
        <v>7</v>
      </c>
      <c r="U46" s="6" t="n">
        <v>10</v>
      </c>
      <c r="V46" s="6" t="n">
        <v>3.4</v>
      </c>
      <c r="W46" s="6" t="n">
        <v>0.01</v>
      </c>
      <c r="X46" s="6" t="n">
        <v>59</v>
      </c>
      <c r="Y46" s="6" t="n">
        <v>11</v>
      </c>
      <c r="Z46" s="6" t="n">
        <v>30</v>
      </c>
      <c r="AA46" s="6" t="n">
        <v>0</v>
      </c>
      <c r="AB46" s="6" t="n">
        <v>0</v>
      </c>
      <c r="AC46" s="6" t="n">
        <v>0</v>
      </c>
      <c r="AD46" s="5" t="n">
        <v>0</v>
      </c>
      <c r="AE46" s="5" t="n">
        <v>0.62</v>
      </c>
      <c r="AF46" s="5" t="n">
        <v>0</v>
      </c>
      <c r="AG46" s="5" t="n">
        <v>0</v>
      </c>
      <c r="AH46" s="5" t="n">
        <v>0</v>
      </c>
      <c r="AI46" s="5" t="n">
        <v>0</v>
      </c>
      <c r="AJ46" s="5" t="n">
        <v>0</v>
      </c>
      <c r="AK46" s="5" t="n">
        <v>0.62</v>
      </c>
      <c r="AL46" s="6" t="n">
        <v>0</v>
      </c>
      <c r="AM46" s="6" t="n">
        <v>0</v>
      </c>
      <c r="AN46" s="6" t="inlineStr">
        <is>
          <t>类别典型值/文件信息</t>
        </is>
      </c>
      <c r="AO46" s="6" t="inlineStr"/>
    </row>
    <row r="47">
      <c r="A47" s="7" t="inlineStr">
        <is>
          <t>TM221</t>
        </is>
      </c>
      <c r="B47" s="7" t="inlineStr">
        <is>
          <t>乙二醇丁醚</t>
        </is>
      </c>
      <c r="C47" s="7" t="inlineStr">
        <is>
          <t>有机</t>
        </is>
      </c>
      <c r="D47" s="7" t="inlineStr">
        <is>
          <t>溶剂</t>
        </is>
      </c>
      <c r="E47" s="7" t="inlineStr">
        <is>
          <t>其他</t>
        </is>
      </c>
      <c r="F47" s="7" t="inlineStr"/>
      <c r="G47" s="7" t="inlineStr">
        <is>
          <t>专有估算</t>
        </is>
      </c>
      <c r="H47" s="5" t="n">
        <v>0</v>
      </c>
      <c r="I47" s="7" t="n">
        <v>0.9</v>
      </c>
      <c r="J47" s="7" t="n">
        <v>118.2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7" t="n">
        <v>-70</v>
      </c>
      <c r="Q47" s="7" t="n">
        <v>171</v>
      </c>
      <c r="R47" s="7" t="n">
        <v>60</v>
      </c>
      <c r="S47" s="7" t="n">
        <v>16</v>
      </c>
      <c r="T47" s="7" t="n">
        <v>5.1</v>
      </c>
      <c r="U47" s="7" t="n">
        <v>12.3</v>
      </c>
      <c r="V47" s="7" t="n">
        <v>3.1</v>
      </c>
      <c r="W47" s="7" t="n">
        <v>0.07000000000000001</v>
      </c>
      <c r="X47" s="7" t="n">
        <v>61</v>
      </c>
      <c r="Y47" s="7" t="n">
        <v>12</v>
      </c>
      <c r="Z47" s="7" t="n">
        <v>27</v>
      </c>
      <c r="AA47" s="7" t="n">
        <v>0</v>
      </c>
      <c r="AB47" s="7" t="n">
        <v>0</v>
      </c>
      <c r="AC47" s="7" t="n">
        <v>0</v>
      </c>
      <c r="AD47" s="5" t="n">
        <v>0</v>
      </c>
      <c r="AE47" s="5" t="n">
        <v>0.85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0.85</v>
      </c>
      <c r="AL47" s="7" t="n">
        <v>0</v>
      </c>
      <c r="AM47" s="7" t="n">
        <v>0</v>
      </c>
      <c r="AN47" s="7" t="inlineStr">
        <is>
          <t>类别典型值/文件信息</t>
        </is>
      </c>
      <c r="AO47" s="7" t="inlineStr"/>
    </row>
    <row r="48">
      <c r="A48" s="6" t="inlineStr">
        <is>
          <t>TZ221</t>
        </is>
      </c>
      <c r="B48" s="6" t="inlineStr">
        <is>
          <t>乙二醇丁醚</t>
        </is>
      </c>
      <c r="C48" s="6" t="inlineStr">
        <is>
          <t>有机</t>
        </is>
      </c>
      <c r="D48" s="6" t="inlineStr">
        <is>
          <t>溶剂</t>
        </is>
      </c>
      <c r="E48" s="6" t="inlineStr">
        <is>
          <t>其他</t>
        </is>
      </c>
      <c r="F48" s="6" t="inlineStr">
        <is>
          <t>CCCCOCCO</t>
        </is>
      </c>
      <c r="G48" s="6" t="inlineStr">
        <is>
          <t>已计算</t>
        </is>
      </c>
      <c r="H48" s="5" t="n">
        <v>0</v>
      </c>
      <c r="I48" s="6" t="n">
        <v>0.9</v>
      </c>
      <c r="J48" s="6" t="n">
        <v>118.2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6" t="n">
        <v>-70</v>
      </c>
      <c r="Q48" s="6" t="n">
        <v>171</v>
      </c>
      <c r="R48" s="6" t="n">
        <v>60</v>
      </c>
      <c r="S48" s="6" t="n">
        <v>16</v>
      </c>
      <c r="T48" s="6" t="n">
        <v>5.1</v>
      </c>
      <c r="U48" s="6" t="n">
        <v>12.3</v>
      </c>
      <c r="V48" s="6" t="n">
        <v>3.1</v>
      </c>
      <c r="W48" s="6" t="n">
        <v>0.07000000000000001</v>
      </c>
      <c r="X48" s="6" t="n">
        <v>61</v>
      </c>
      <c r="Y48" s="6" t="n">
        <v>12</v>
      </c>
      <c r="Z48" s="6" t="n">
        <v>27</v>
      </c>
      <c r="AA48" s="6" t="n">
        <v>0</v>
      </c>
      <c r="AB48" s="6" t="n">
        <v>0</v>
      </c>
      <c r="AC48" s="6" t="n">
        <v>0</v>
      </c>
      <c r="AD48" s="5" t="n">
        <v>0</v>
      </c>
      <c r="AE48" s="5" t="n">
        <v>0.85</v>
      </c>
      <c r="AF48" s="5" t="n">
        <v>0</v>
      </c>
      <c r="AG48" s="5" t="n">
        <v>0</v>
      </c>
      <c r="AH48" s="5" t="n">
        <v>0</v>
      </c>
      <c r="AI48" s="5" t="n">
        <v>0</v>
      </c>
      <c r="AJ48" s="5" t="n">
        <v>0</v>
      </c>
      <c r="AK48" s="5" t="n">
        <v>0.85</v>
      </c>
      <c r="AL48" s="6" t="n">
        <v>0</v>
      </c>
      <c r="AM48" s="6" t="n">
        <v>0</v>
      </c>
      <c r="AN48" s="6" t="inlineStr">
        <is>
          <t>类别典型值/文件信息</t>
        </is>
      </c>
      <c r="AO48" s="6" t="inlineStr"/>
    </row>
    <row r="49">
      <c r="A49" s="7" t="inlineStr">
        <is>
          <t>AZ088</t>
        </is>
      </c>
      <c r="B49" s="7" t="inlineStr">
        <is>
          <t>分散剂BYK088</t>
        </is>
      </c>
      <c r="C49" s="7" t="inlineStr">
        <is>
          <t>环氧酚醛</t>
        </is>
      </c>
      <c r="D49" s="7" t="inlineStr">
        <is>
          <t>助剂</t>
        </is>
      </c>
      <c r="E49" s="7" t="inlineStr">
        <is>
          <t>其他</t>
        </is>
      </c>
      <c r="F49" s="7" t="inlineStr"/>
      <c r="G49" s="7" t="inlineStr">
        <is>
          <t>专有估算</t>
        </is>
      </c>
      <c r="H49" s="5" t="n">
        <v>5</v>
      </c>
      <c r="I49" s="7" t="n">
        <v>1</v>
      </c>
      <c r="J49" s="7" t="n">
        <v>2000</v>
      </c>
      <c r="K49" s="5" t="n">
        <v>0</v>
      </c>
      <c r="L49" s="5" t="n">
        <v>10</v>
      </c>
      <c r="M49" s="5" t="n">
        <v>30</v>
      </c>
      <c r="N49" s="5" t="n">
        <v>0</v>
      </c>
      <c r="O49" s="5" t="n">
        <v>0</v>
      </c>
      <c r="P49" s="7" t="n">
        <v>20</v>
      </c>
      <c r="Q49" s="7" t="n">
        <v>300</v>
      </c>
      <c r="R49" s="7" t="n">
        <v>150</v>
      </c>
      <c r="S49" s="7" t="n">
        <v>17.5</v>
      </c>
      <c r="T49" s="7" t="n">
        <v>6.5</v>
      </c>
      <c r="U49" s="7" t="n">
        <v>8.5</v>
      </c>
      <c r="V49" s="7" t="n">
        <v>3.2</v>
      </c>
      <c r="W49" s="7" t="n">
        <v>0</v>
      </c>
      <c r="X49" s="7" t="n">
        <v>65</v>
      </c>
      <c r="Y49" s="7" t="n">
        <v>10</v>
      </c>
      <c r="Z49" s="7" t="n">
        <v>20</v>
      </c>
      <c r="AA49" s="7" t="n">
        <v>0</v>
      </c>
      <c r="AB49" s="7" t="n">
        <v>0</v>
      </c>
      <c r="AC49" s="7" t="n">
        <v>0</v>
      </c>
      <c r="AD49" s="5" t="n">
        <v>0</v>
      </c>
      <c r="AE49" s="5" t="n">
        <v>0.018</v>
      </c>
      <c r="AF49" s="5" t="n">
        <v>0.006</v>
      </c>
      <c r="AG49" s="5" t="n">
        <v>0.2</v>
      </c>
      <c r="AH49" s="5" t="n">
        <v>0</v>
      </c>
      <c r="AI49" s="5" t="n">
        <v>0.05</v>
      </c>
      <c r="AJ49" s="5" t="n">
        <v>0.2</v>
      </c>
      <c r="AK49" s="5" t="n">
        <v>0.1</v>
      </c>
      <c r="AL49" s="7" t="n">
        <v>0</v>
      </c>
      <c r="AM49" s="7" t="n">
        <v>0</v>
      </c>
      <c r="AN49" s="7" t="inlineStr">
        <is>
          <t>类别典型值/文件信息</t>
        </is>
      </c>
      <c r="AO49" s="7" t="inlineStr"/>
    </row>
    <row r="50">
      <c r="A50" s="6" t="inlineStr">
        <is>
          <t>BYK104</t>
        </is>
      </c>
      <c r="B50" s="6" t="inlineStr">
        <is>
          <t>分散剂BYK104</t>
        </is>
      </c>
      <c r="C50" s="6" t="inlineStr">
        <is>
          <t>有机</t>
        </is>
      </c>
      <c r="D50" s="6" t="inlineStr">
        <is>
          <t>助剂</t>
        </is>
      </c>
      <c r="E50" s="6" t="inlineStr">
        <is>
          <t>其他</t>
        </is>
      </c>
      <c r="F50" s="6" t="inlineStr"/>
      <c r="G50" s="6" t="inlineStr">
        <is>
          <t>专有估算</t>
        </is>
      </c>
      <c r="H50" s="5" t="n">
        <v>100</v>
      </c>
      <c r="I50" s="6" t="n">
        <v>1</v>
      </c>
      <c r="J50" s="6" t="n">
        <v>5000</v>
      </c>
      <c r="K50" s="5" t="n">
        <v>0</v>
      </c>
      <c r="L50" s="5" t="n">
        <v>30</v>
      </c>
      <c r="M50" s="5" t="n">
        <v>20</v>
      </c>
      <c r="N50" s="5" t="n">
        <v>0</v>
      </c>
      <c r="O50" s="5" t="n">
        <v>0</v>
      </c>
      <c r="P50" s="6" t="n">
        <v>20</v>
      </c>
      <c r="Q50" s="6" t="n">
        <v>300</v>
      </c>
      <c r="R50" s="6" t="n">
        <v>150</v>
      </c>
      <c r="S50" s="6" t="n">
        <v>17.5</v>
      </c>
      <c r="T50" s="6" t="n">
        <v>6.5</v>
      </c>
      <c r="U50" s="6" t="n">
        <v>8.5</v>
      </c>
      <c r="V50" s="6" t="n">
        <v>3.2</v>
      </c>
      <c r="W50" s="6" t="n">
        <v>0</v>
      </c>
      <c r="X50" s="6" t="n">
        <v>60</v>
      </c>
      <c r="Y50" s="6" t="n">
        <v>9</v>
      </c>
      <c r="Z50" s="6" t="n">
        <v>30</v>
      </c>
      <c r="AA50" s="6" t="n">
        <v>0</v>
      </c>
      <c r="AB50" s="6" t="n">
        <v>0</v>
      </c>
      <c r="AC50" s="6" t="n">
        <v>0</v>
      </c>
      <c r="AD50" s="5" t="n">
        <v>0</v>
      </c>
      <c r="AE50" s="5" t="n">
        <v>0.012</v>
      </c>
      <c r="AF50" s="5" t="n">
        <v>0.018</v>
      </c>
      <c r="AG50" s="5" t="n">
        <v>0.2</v>
      </c>
      <c r="AH50" s="5" t="n">
        <v>0</v>
      </c>
      <c r="AI50" s="5" t="n">
        <v>0.05</v>
      </c>
      <c r="AJ50" s="5" t="n">
        <v>0.2</v>
      </c>
      <c r="AK50" s="5" t="n">
        <v>0.1</v>
      </c>
      <c r="AL50" s="6" t="n">
        <v>0</v>
      </c>
      <c r="AM50" s="6" t="n">
        <v>0</v>
      </c>
      <c r="AN50" s="6" t="inlineStr">
        <is>
          <t>类别典型值/文件信息</t>
        </is>
      </c>
      <c r="AO50" s="6" t="inlineStr"/>
    </row>
    <row r="51">
      <c r="A51" s="7" t="inlineStr">
        <is>
          <t>AC040</t>
        </is>
      </c>
      <c r="B51" s="7" t="inlineStr">
        <is>
          <t>助剂</t>
        </is>
      </c>
      <c r="C51" s="7" t="inlineStr">
        <is>
          <t>聚酯</t>
        </is>
      </c>
      <c r="D51" s="7" t="inlineStr">
        <is>
          <t>助剂</t>
        </is>
      </c>
      <c r="E51" s="7" t="inlineStr">
        <is>
          <t>其他</t>
        </is>
      </c>
      <c r="F51" s="7" t="inlineStr"/>
      <c r="G51" s="7" t="inlineStr">
        <is>
          <t>专有估算</t>
        </is>
      </c>
      <c r="H51" s="5" t="n">
        <v>70</v>
      </c>
      <c r="I51" s="7" t="n">
        <v>1</v>
      </c>
      <c r="J51" s="7" t="n">
        <v>3000</v>
      </c>
      <c r="K51" s="5" t="n">
        <v>0</v>
      </c>
      <c r="L51" s="5" t="n">
        <v>5</v>
      </c>
      <c r="M51" s="5" t="n">
        <v>40</v>
      </c>
      <c r="N51" s="5" t="n">
        <v>0</v>
      </c>
      <c r="O51" s="5" t="n">
        <v>3</v>
      </c>
      <c r="P51" s="7" t="n">
        <v>10</v>
      </c>
      <c r="Q51" s="7" t="n">
        <v>300</v>
      </c>
      <c r="R51" s="7" t="n">
        <v>150</v>
      </c>
      <c r="S51" s="7" t="n">
        <v>17.5</v>
      </c>
      <c r="T51" s="7" t="n">
        <v>6</v>
      </c>
      <c r="U51" s="7" t="n">
        <v>8</v>
      </c>
      <c r="V51" s="7" t="n">
        <v>3</v>
      </c>
      <c r="W51" s="7" t="n">
        <v>0</v>
      </c>
      <c r="X51" s="7" t="n">
        <v>40</v>
      </c>
      <c r="Y51" s="7" t="n">
        <v>7</v>
      </c>
      <c r="Z51" s="7" t="n">
        <v>35</v>
      </c>
      <c r="AA51" s="7" t="n">
        <v>0</v>
      </c>
      <c r="AB51" s="7" t="n">
        <v>0</v>
      </c>
      <c r="AC51" s="7" t="n">
        <v>0</v>
      </c>
      <c r="AD51" s="5" t="n">
        <v>0</v>
      </c>
      <c r="AE51" s="5" t="n">
        <v>0.02</v>
      </c>
      <c r="AF51" s="5" t="n">
        <v>0.003</v>
      </c>
      <c r="AG51" s="5" t="n">
        <v>0.1</v>
      </c>
      <c r="AH51" s="5" t="n">
        <v>0</v>
      </c>
      <c r="AI51" s="5" t="n">
        <v>0.05</v>
      </c>
      <c r="AJ51" s="5" t="n">
        <v>0.2</v>
      </c>
      <c r="AK51" s="5" t="n">
        <v>0.1</v>
      </c>
      <c r="AL51" s="7" t="n">
        <v>0</v>
      </c>
      <c r="AM51" s="7" t="n">
        <v>0</v>
      </c>
      <c r="AN51" s="7" t="inlineStr">
        <is>
          <t>类别典型值/文件信息</t>
        </is>
      </c>
      <c r="AO51" s="7" t="inlineStr"/>
    </row>
    <row r="52">
      <c r="A52" s="6" t="inlineStr">
        <is>
          <t>AZ135</t>
        </is>
      </c>
      <c r="B52" s="6" t="inlineStr">
        <is>
          <t>助剂</t>
        </is>
      </c>
      <c r="C52" s="6" t="inlineStr">
        <is>
          <t>聚酯</t>
        </is>
      </c>
      <c r="D52" s="6" t="inlineStr">
        <is>
          <t>助剂</t>
        </is>
      </c>
      <c r="E52" s="6" t="inlineStr">
        <is>
          <t>其他</t>
        </is>
      </c>
      <c r="F52" s="6" t="inlineStr"/>
      <c r="G52" s="6" t="inlineStr">
        <is>
          <t>专有估算</t>
        </is>
      </c>
      <c r="H52" s="5" t="n">
        <v>98</v>
      </c>
      <c r="I52" s="6" t="n">
        <v>1</v>
      </c>
      <c r="J52" s="6" t="n">
        <v>3000</v>
      </c>
      <c r="K52" s="5" t="n">
        <v>0</v>
      </c>
      <c r="L52" s="5" t="n">
        <v>5</v>
      </c>
      <c r="M52" s="5" t="n">
        <v>40</v>
      </c>
      <c r="N52" s="5" t="n">
        <v>0</v>
      </c>
      <c r="O52" s="5" t="n">
        <v>2</v>
      </c>
      <c r="P52" s="6" t="n">
        <v>20</v>
      </c>
      <c r="Q52" s="6" t="n">
        <v>300</v>
      </c>
      <c r="R52" s="6" t="n">
        <v>150</v>
      </c>
      <c r="S52" s="6" t="n">
        <v>17.5</v>
      </c>
      <c r="T52" s="6" t="n">
        <v>6</v>
      </c>
      <c r="U52" s="6" t="n">
        <v>8</v>
      </c>
      <c r="V52" s="6" t="n">
        <v>3</v>
      </c>
      <c r="W52" s="6" t="n">
        <v>0</v>
      </c>
      <c r="X52" s="6" t="n">
        <v>50</v>
      </c>
      <c r="Y52" s="6" t="n">
        <v>8</v>
      </c>
      <c r="Z52" s="6" t="n">
        <v>38</v>
      </c>
      <c r="AA52" s="6" t="n">
        <v>0</v>
      </c>
      <c r="AB52" s="6" t="n">
        <v>0</v>
      </c>
      <c r="AC52" s="6" t="n">
        <v>0</v>
      </c>
      <c r="AD52" s="5" t="n">
        <v>0</v>
      </c>
      <c r="AE52" s="5" t="n">
        <v>0.024</v>
      </c>
      <c r="AF52" s="5" t="n">
        <v>0.003</v>
      </c>
      <c r="AG52" s="5" t="n">
        <v>0.12</v>
      </c>
      <c r="AH52" s="5" t="n">
        <v>0</v>
      </c>
      <c r="AI52" s="5" t="n">
        <v>0.05</v>
      </c>
      <c r="AJ52" s="5" t="n">
        <v>0.2</v>
      </c>
      <c r="AK52" s="5" t="n">
        <v>0.1</v>
      </c>
      <c r="AL52" s="6" t="n">
        <v>0</v>
      </c>
      <c r="AM52" s="6" t="n">
        <v>0</v>
      </c>
      <c r="AN52" s="6" t="inlineStr">
        <is>
          <t>类别典型值/文件信息</t>
        </is>
      </c>
      <c r="AO52" s="6" t="inlineStr"/>
    </row>
    <row r="53">
      <c r="A53" s="7" t="inlineStr">
        <is>
          <t>AZ306</t>
        </is>
      </c>
      <c r="B53" s="7" t="inlineStr">
        <is>
          <t>助剂</t>
        </is>
      </c>
      <c r="C53" s="7" t="inlineStr">
        <is>
          <t>有机</t>
        </is>
      </c>
      <c r="D53" s="7" t="inlineStr">
        <is>
          <t>助剂</t>
        </is>
      </c>
      <c r="E53" s="7" t="inlineStr">
        <is>
          <t>其他</t>
        </is>
      </c>
      <c r="F53" s="7" t="inlineStr"/>
      <c r="G53" s="7" t="inlineStr">
        <is>
          <t>专有估算</t>
        </is>
      </c>
      <c r="H53" s="5" t="n">
        <v>12.5</v>
      </c>
      <c r="I53" s="7" t="n">
        <v>1</v>
      </c>
      <c r="J53" s="7" t="n">
        <v>3000</v>
      </c>
      <c r="K53" s="5" t="n">
        <v>0</v>
      </c>
      <c r="L53" s="5" t="n">
        <v>5</v>
      </c>
      <c r="M53" s="5" t="n">
        <v>40</v>
      </c>
      <c r="N53" s="5" t="n">
        <v>0</v>
      </c>
      <c r="O53" s="5" t="n">
        <v>0</v>
      </c>
      <c r="P53" s="7" t="n">
        <v>20</v>
      </c>
      <c r="Q53" s="7" t="n">
        <v>300</v>
      </c>
      <c r="R53" s="7" t="n">
        <v>150</v>
      </c>
      <c r="S53" s="7" t="n">
        <v>17.5</v>
      </c>
      <c r="T53" s="7" t="n">
        <v>6</v>
      </c>
      <c r="U53" s="7" t="n">
        <v>8</v>
      </c>
      <c r="V53" s="7" t="n">
        <v>3</v>
      </c>
      <c r="W53" s="7" t="n">
        <v>0</v>
      </c>
      <c r="X53" s="7" t="n">
        <v>55</v>
      </c>
      <c r="Y53" s="7" t="n">
        <v>9</v>
      </c>
      <c r="Z53" s="7" t="n">
        <v>30</v>
      </c>
      <c r="AA53" s="7" t="n">
        <v>0</v>
      </c>
      <c r="AB53" s="7" t="n">
        <v>0</v>
      </c>
      <c r="AC53" s="7" t="n">
        <v>0</v>
      </c>
      <c r="AD53" s="5" t="n">
        <v>0</v>
      </c>
      <c r="AE53" s="5" t="n">
        <v>0.024</v>
      </c>
      <c r="AF53" s="5" t="n">
        <v>0.003</v>
      </c>
      <c r="AG53" s="5" t="n">
        <v>0.2</v>
      </c>
      <c r="AH53" s="5" t="n">
        <v>0</v>
      </c>
      <c r="AI53" s="5" t="n">
        <v>0.05</v>
      </c>
      <c r="AJ53" s="5" t="n">
        <v>0.2</v>
      </c>
      <c r="AK53" s="5" t="n">
        <v>0.2</v>
      </c>
      <c r="AL53" s="7" t="n">
        <v>0</v>
      </c>
      <c r="AM53" s="7" t="n">
        <v>0</v>
      </c>
      <c r="AN53" s="7" t="inlineStr">
        <is>
          <t>类别典型值/文件信息</t>
        </is>
      </c>
      <c r="AO53" s="7" t="inlineStr"/>
    </row>
    <row r="54">
      <c r="A54" s="6" t="inlineStr">
        <is>
          <t>AZ551</t>
        </is>
      </c>
      <c r="B54" s="6" t="inlineStr">
        <is>
          <t>助剂</t>
        </is>
      </c>
      <c r="C54" s="6" t="inlineStr">
        <is>
          <t>有机</t>
        </is>
      </c>
      <c r="D54" s="6" t="inlineStr">
        <is>
          <t>助剂</t>
        </is>
      </c>
      <c r="E54" s="6" t="inlineStr">
        <is>
          <t>其他</t>
        </is>
      </c>
      <c r="F54" s="6" t="inlineStr"/>
      <c r="G54" s="6" t="inlineStr">
        <is>
          <t>专有估算</t>
        </is>
      </c>
      <c r="H54" s="5" t="n">
        <v>100</v>
      </c>
      <c r="I54" s="6" t="n">
        <v>1</v>
      </c>
      <c r="J54" s="6" t="n">
        <v>3000</v>
      </c>
      <c r="K54" s="5" t="n">
        <v>0</v>
      </c>
      <c r="L54" s="5" t="n">
        <v>5</v>
      </c>
      <c r="M54" s="5" t="n">
        <v>40</v>
      </c>
      <c r="N54" s="5" t="n">
        <v>0</v>
      </c>
      <c r="O54" s="5" t="n">
        <v>0</v>
      </c>
      <c r="P54" s="6" t="n">
        <v>20</v>
      </c>
      <c r="Q54" s="6" t="n">
        <v>300</v>
      </c>
      <c r="R54" s="6" t="n">
        <v>150</v>
      </c>
      <c r="S54" s="6" t="n">
        <v>17.5</v>
      </c>
      <c r="T54" s="6" t="n">
        <v>6</v>
      </c>
      <c r="U54" s="6" t="n">
        <v>8</v>
      </c>
      <c r="V54" s="6" t="n">
        <v>3</v>
      </c>
      <c r="W54" s="6" t="n">
        <v>0</v>
      </c>
      <c r="X54" s="6" t="n">
        <v>65</v>
      </c>
      <c r="Y54" s="6" t="n">
        <v>9</v>
      </c>
      <c r="Z54" s="6" t="n">
        <v>25</v>
      </c>
      <c r="AA54" s="6" t="n">
        <v>0</v>
      </c>
      <c r="AB54" s="6" t="n">
        <v>0</v>
      </c>
      <c r="AC54" s="6" t="n">
        <v>0</v>
      </c>
      <c r="AD54" s="5" t="n">
        <v>0</v>
      </c>
      <c r="AE54" s="5" t="n">
        <v>0.024</v>
      </c>
      <c r="AF54" s="5" t="n">
        <v>0.003</v>
      </c>
      <c r="AG54" s="5" t="n">
        <v>0.2</v>
      </c>
      <c r="AH54" s="5" t="n">
        <v>0</v>
      </c>
      <c r="AI54" s="5" t="n">
        <v>0.05</v>
      </c>
      <c r="AJ54" s="5" t="n">
        <v>0.2</v>
      </c>
      <c r="AK54" s="5" t="n">
        <v>0.1</v>
      </c>
      <c r="AL54" s="6" t="n">
        <v>0</v>
      </c>
      <c r="AM54" s="6" t="n">
        <v>0</v>
      </c>
      <c r="AN54" s="6" t="inlineStr">
        <is>
          <t>类别典型值/文件信息</t>
        </is>
      </c>
      <c r="AO54" s="6" t="inlineStr"/>
    </row>
    <row r="55">
      <c r="A55" s="7" t="inlineStr">
        <is>
          <t>BYK306</t>
        </is>
      </c>
      <c r="B55" s="7" t="inlineStr">
        <is>
          <t>流平剂</t>
        </is>
      </c>
      <c r="C55" s="7" t="inlineStr">
        <is>
          <t>有机</t>
        </is>
      </c>
      <c r="D55" s="7" t="inlineStr">
        <is>
          <t>助剂</t>
        </is>
      </c>
      <c r="E55" s="7" t="inlineStr">
        <is>
          <t>其他</t>
        </is>
      </c>
      <c r="F55" s="7" t="inlineStr"/>
      <c r="G55" s="7" t="inlineStr">
        <is>
          <t>专有估算</t>
        </is>
      </c>
      <c r="H55" s="5" t="n">
        <v>100</v>
      </c>
      <c r="I55" s="7" t="n">
        <v>1</v>
      </c>
      <c r="J55" s="7" t="n">
        <v>3000</v>
      </c>
      <c r="K55" s="5" t="n">
        <v>0</v>
      </c>
      <c r="L55" s="5" t="n">
        <v>5</v>
      </c>
      <c r="M55" s="5" t="n">
        <v>40</v>
      </c>
      <c r="N55" s="5" t="n">
        <v>0</v>
      </c>
      <c r="O55" s="5" t="n">
        <v>0</v>
      </c>
      <c r="P55" s="7" t="n">
        <v>20</v>
      </c>
      <c r="Q55" s="7" t="n">
        <v>300</v>
      </c>
      <c r="R55" s="7" t="n">
        <v>150</v>
      </c>
      <c r="S55" s="7" t="n">
        <v>17.5</v>
      </c>
      <c r="T55" s="7" t="n">
        <v>6</v>
      </c>
      <c r="U55" s="7" t="n">
        <v>8</v>
      </c>
      <c r="V55" s="7" t="n">
        <v>3</v>
      </c>
      <c r="W55" s="7" t="n">
        <v>0</v>
      </c>
      <c r="X55" s="7" t="n">
        <v>65</v>
      </c>
      <c r="Y55" s="7" t="n">
        <v>9</v>
      </c>
      <c r="Z55" s="7" t="n">
        <v>25</v>
      </c>
      <c r="AA55" s="7" t="n">
        <v>0</v>
      </c>
      <c r="AB55" s="7" t="n">
        <v>0</v>
      </c>
      <c r="AC55" s="7" t="n">
        <v>0</v>
      </c>
      <c r="AD55" s="5" t="n">
        <v>0</v>
      </c>
      <c r="AE55" s="5" t="n">
        <v>0.024</v>
      </c>
      <c r="AF55" s="5" t="n">
        <v>0.003</v>
      </c>
      <c r="AG55" s="5" t="n">
        <v>0.2</v>
      </c>
      <c r="AH55" s="5" t="n">
        <v>0</v>
      </c>
      <c r="AI55" s="5" t="n">
        <v>0.05</v>
      </c>
      <c r="AJ55" s="5" t="n">
        <v>0.2</v>
      </c>
      <c r="AK55" s="5" t="n">
        <v>0.1</v>
      </c>
      <c r="AL55" s="7" t="n">
        <v>0</v>
      </c>
      <c r="AM55" s="7" t="n">
        <v>0</v>
      </c>
      <c r="AN55" s="7" t="inlineStr">
        <is>
          <t>类别典型值/文件信息</t>
        </is>
      </c>
      <c r="AO55" s="7" t="inlineStr"/>
    </row>
    <row r="56">
      <c r="A56" s="6" t="inlineStr">
        <is>
          <t>FL208</t>
        </is>
      </c>
      <c r="B56" s="6" t="inlineStr">
        <is>
          <t>助剂</t>
        </is>
      </c>
      <c r="C56" s="6" t="inlineStr">
        <is>
          <t>有机</t>
        </is>
      </c>
      <c r="D56" s="6" t="inlineStr">
        <is>
          <t>助剂</t>
        </is>
      </c>
      <c r="E56" s="6" t="inlineStr">
        <is>
          <t>其他</t>
        </is>
      </c>
      <c r="F56" s="6" t="inlineStr"/>
      <c r="G56" s="6" t="inlineStr">
        <is>
          <t>专有估算</t>
        </is>
      </c>
      <c r="H56" s="5" t="n">
        <v>100</v>
      </c>
      <c r="I56" s="6" t="n">
        <v>1</v>
      </c>
      <c r="J56" s="6" t="n">
        <v>3000</v>
      </c>
      <c r="K56" s="5" t="n">
        <v>0</v>
      </c>
      <c r="L56" s="5" t="n">
        <v>5</v>
      </c>
      <c r="M56" s="5" t="n">
        <v>40</v>
      </c>
      <c r="N56" s="5" t="n">
        <v>0</v>
      </c>
      <c r="O56" s="5" t="n">
        <v>0</v>
      </c>
      <c r="P56" s="6" t="n">
        <v>20</v>
      </c>
      <c r="Q56" s="6" t="n">
        <v>300</v>
      </c>
      <c r="R56" s="6" t="n">
        <v>150</v>
      </c>
      <c r="S56" s="6" t="n">
        <v>17.5</v>
      </c>
      <c r="T56" s="6" t="n">
        <v>6</v>
      </c>
      <c r="U56" s="6" t="n">
        <v>8</v>
      </c>
      <c r="V56" s="6" t="n">
        <v>3</v>
      </c>
      <c r="W56" s="6" t="n">
        <v>0</v>
      </c>
      <c r="X56" s="6" t="n">
        <v>65</v>
      </c>
      <c r="Y56" s="6" t="n">
        <v>9</v>
      </c>
      <c r="Z56" s="6" t="n">
        <v>25</v>
      </c>
      <c r="AA56" s="6" t="n">
        <v>0</v>
      </c>
      <c r="AB56" s="6" t="n">
        <v>0</v>
      </c>
      <c r="AC56" s="6" t="n">
        <v>0</v>
      </c>
      <c r="AD56" s="5" t="n">
        <v>0</v>
      </c>
      <c r="AE56" s="5" t="n">
        <v>0.024</v>
      </c>
      <c r="AF56" s="5" t="n">
        <v>0.003</v>
      </c>
      <c r="AG56" s="5" t="n">
        <v>0.2</v>
      </c>
      <c r="AH56" s="5" t="n">
        <v>0</v>
      </c>
      <c r="AI56" s="5" t="n">
        <v>0.05</v>
      </c>
      <c r="AJ56" s="5" t="n">
        <v>0.2</v>
      </c>
      <c r="AK56" s="5" t="n">
        <v>0.1</v>
      </c>
      <c r="AL56" s="6" t="n">
        <v>0</v>
      </c>
      <c r="AM56" s="6" t="n">
        <v>0</v>
      </c>
      <c r="AN56" s="6" t="inlineStr">
        <is>
          <t>类别典型值/文件信息</t>
        </is>
      </c>
      <c r="AO56" s="6" t="inlineStr"/>
    </row>
    <row r="57">
      <c r="A57" s="7" t="inlineStr">
        <is>
          <t>FL208S</t>
        </is>
      </c>
      <c r="B57" s="7" t="inlineStr">
        <is>
          <t>助剂</t>
        </is>
      </c>
      <c r="C57" s="7" t="inlineStr">
        <is>
          <t>有机</t>
        </is>
      </c>
      <c r="D57" s="7" t="inlineStr">
        <is>
          <t>助剂</t>
        </is>
      </c>
      <c r="E57" s="7" t="inlineStr">
        <is>
          <t>其他</t>
        </is>
      </c>
      <c r="F57" s="7" t="inlineStr"/>
      <c r="G57" s="7" t="inlineStr">
        <is>
          <t>专有估算</t>
        </is>
      </c>
      <c r="H57" s="5" t="n">
        <v>100</v>
      </c>
      <c r="I57" s="7" t="n">
        <v>1</v>
      </c>
      <c r="J57" s="7" t="n">
        <v>3000</v>
      </c>
      <c r="K57" s="5" t="n">
        <v>0</v>
      </c>
      <c r="L57" s="5" t="n">
        <v>5</v>
      </c>
      <c r="M57" s="5" t="n">
        <v>40</v>
      </c>
      <c r="N57" s="5" t="n">
        <v>0</v>
      </c>
      <c r="O57" s="5" t="n">
        <v>0</v>
      </c>
      <c r="P57" s="7" t="n">
        <v>20</v>
      </c>
      <c r="Q57" s="7" t="n">
        <v>300</v>
      </c>
      <c r="R57" s="7" t="n">
        <v>150</v>
      </c>
      <c r="S57" s="7" t="n">
        <v>17.5</v>
      </c>
      <c r="T57" s="7" t="n">
        <v>6</v>
      </c>
      <c r="U57" s="7" t="n">
        <v>8</v>
      </c>
      <c r="V57" s="7" t="n">
        <v>3</v>
      </c>
      <c r="W57" s="7" t="n">
        <v>0</v>
      </c>
      <c r="X57" s="7" t="n">
        <v>65</v>
      </c>
      <c r="Y57" s="7" t="n">
        <v>9</v>
      </c>
      <c r="Z57" s="7" t="n">
        <v>25</v>
      </c>
      <c r="AA57" s="7" t="n">
        <v>0</v>
      </c>
      <c r="AB57" s="7" t="n">
        <v>0</v>
      </c>
      <c r="AC57" s="7" t="n">
        <v>0</v>
      </c>
      <c r="AD57" s="5" t="n">
        <v>0</v>
      </c>
      <c r="AE57" s="5" t="n">
        <v>0.024</v>
      </c>
      <c r="AF57" s="5" t="n">
        <v>0.003</v>
      </c>
      <c r="AG57" s="5" t="n">
        <v>0.2</v>
      </c>
      <c r="AH57" s="5" t="n">
        <v>0</v>
      </c>
      <c r="AI57" s="5" t="n">
        <v>0.05</v>
      </c>
      <c r="AJ57" s="5" t="n">
        <v>0.2</v>
      </c>
      <c r="AK57" s="5" t="n">
        <v>0.1</v>
      </c>
      <c r="AL57" s="7" t="n">
        <v>0</v>
      </c>
      <c r="AM57" s="7" t="n">
        <v>0</v>
      </c>
      <c r="AN57" s="7" t="inlineStr">
        <is>
          <t>类别典型值/文件信息</t>
        </is>
      </c>
      <c r="AO57" s="7" t="inlineStr"/>
    </row>
    <row r="58">
      <c r="A58" s="6" t="inlineStr">
        <is>
          <t>FL815C</t>
        </is>
      </c>
      <c r="B58" s="6" t="inlineStr">
        <is>
          <t>助剂</t>
        </is>
      </c>
      <c r="C58" s="6" t="inlineStr">
        <is>
          <t>有机</t>
        </is>
      </c>
      <c r="D58" s="6" t="inlineStr">
        <is>
          <t>颜料</t>
        </is>
      </c>
      <c r="E58" s="6" t="inlineStr">
        <is>
          <t>其他</t>
        </is>
      </c>
      <c r="F58" s="6" t="inlineStr"/>
      <c r="G58" s="6" t="inlineStr">
        <is>
          <t>专有估算</t>
        </is>
      </c>
      <c r="H58" s="5" t="n">
        <v>65</v>
      </c>
      <c r="I58" s="6" t="n">
        <v>1</v>
      </c>
      <c r="J58" s="6" t="n">
        <v>3000</v>
      </c>
      <c r="K58" s="5" t="n">
        <v>0</v>
      </c>
      <c r="L58" s="5" t="n">
        <v>5</v>
      </c>
      <c r="M58" s="5" t="n">
        <v>40</v>
      </c>
      <c r="N58" s="5" t="n">
        <v>0</v>
      </c>
      <c r="O58" s="5" t="n">
        <v>0</v>
      </c>
      <c r="P58" s="6" t="n">
        <v>20</v>
      </c>
      <c r="Q58" s="6" t="n">
        <v>300</v>
      </c>
      <c r="R58" s="6" t="n">
        <v>150</v>
      </c>
      <c r="S58" s="6" t="n">
        <v>17.5</v>
      </c>
      <c r="T58" s="6" t="n">
        <v>6</v>
      </c>
      <c r="U58" s="6" t="n">
        <v>8</v>
      </c>
      <c r="V58" s="6" t="n">
        <v>3</v>
      </c>
      <c r="W58" s="6" t="n">
        <v>0</v>
      </c>
      <c r="X58" s="6" t="n">
        <v>10</v>
      </c>
      <c r="Y58" s="6" t="n">
        <v>0</v>
      </c>
      <c r="Z58" s="6" t="n">
        <v>1</v>
      </c>
      <c r="AA58" s="6" t="n">
        <v>0</v>
      </c>
      <c r="AB58" s="6" t="n">
        <v>0</v>
      </c>
      <c r="AC58" s="6" t="n">
        <v>0</v>
      </c>
      <c r="AD58" s="5" t="n">
        <v>0</v>
      </c>
      <c r="AE58" s="5" t="n">
        <v>0.024</v>
      </c>
      <c r="AF58" s="5" t="n">
        <v>0.003</v>
      </c>
      <c r="AG58" s="5" t="n">
        <v>0.2</v>
      </c>
      <c r="AH58" s="5" t="n">
        <v>0</v>
      </c>
      <c r="AI58" s="5" t="n">
        <v>0.05</v>
      </c>
      <c r="AJ58" s="5" t="n">
        <v>0.2</v>
      </c>
      <c r="AK58" s="5" t="n">
        <v>0.1</v>
      </c>
      <c r="AL58" s="6" t="n">
        <v>0</v>
      </c>
      <c r="AM58" s="6" t="n">
        <v>65</v>
      </c>
      <c r="AN58" s="6" t="inlineStr">
        <is>
          <t>类别典型值/文件信息</t>
        </is>
      </c>
      <c r="AO58" s="6" t="inlineStr"/>
    </row>
    <row r="59">
      <c r="A59" s="7" t="inlineStr">
        <is>
          <t>RA009</t>
        </is>
      </c>
      <c r="B59" s="7" t="inlineStr">
        <is>
          <t>助剂</t>
        </is>
      </c>
      <c r="C59" s="7" t="inlineStr">
        <is>
          <t>有机</t>
        </is>
      </c>
      <c r="D59" s="7" t="inlineStr">
        <is>
          <t>固化剂</t>
        </is>
      </c>
      <c r="E59" s="7" t="inlineStr">
        <is>
          <t>氨基</t>
        </is>
      </c>
      <c r="F59" s="7" t="inlineStr"/>
      <c r="G59" s="7" t="inlineStr">
        <is>
          <t>专有估算</t>
        </is>
      </c>
      <c r="H59" s="5" t="n">
        <v>60</v>
      </c>
      <c r="I59" s="7" t="n">
        <v>1</v>
      </c>
      <c r="J59" s="7" t="n">
        <v>3000</v>
      </c>
      <c r="K59" s="5" t="n">
        <v>0</v>
      </c>
      <c r="L59" s="5" t="n">
        <v>5</v>
      </c>
      <c r="M59" s="5" t="n">
        <v>40</v>
      </c>
      <c r="N59" s="5" t="n">
        <v>0</v>
      </c>
      <c r="O59" s="5" t="n">
        <v>5</v>
      </c>
      <c r="P59" s="7" t="n">
        <v>35</v>
      </c>
      <c r="Q59" s="7" t="n">
        <v>300</v>
      </c>
      <c r="R59" s="7" t="n">
        <v>150</v>
      </c>
      <c r="S59" s="7" t="n">
        <v>17.5</v>
      </c>
      <c r="T59" s="7" t="n">
        <v>6</v>
      </c>
      <c r="U59" s="7" t="n">
        <v>8</v>
      </c>
      <c r="V59" s="7" t="n">
        <v>3</v>
      </c>
      <c r="W59" s="7" t="n">
        <v>0</v>
      </c>
      <c r="X59" s="7" t="n">
        <v>60</v>
      </c>
      <c r="Y59" s="7" t="n">
        <v>10</v>
      </c>
      <c r="Z59" s="7" t="n">
        <v>22</v>
      </c>
      <c r="AA59" s="7" t="n">
        <v>22</v>
      </c>
      <c r="AB59" s="7" t="n">
        <v>0</v>
      </c>
      <c r="AC59" s="7" t="n">
        <v>0</v>
      </c>
      <c r="AD59" s="5" t="n">
        <v>0</v>
      </c>
      <c r="AE59" s="5" t="n">
        <v>0.05</v>
      </c>
      <c r="AF59" s="5" t="n">
        <v>0.003</v>
      </c>
      <c r="AG59" s="5" t="n">
        <v>0.05</v>
      </c>
      <c r="AH59" s="5" t="n">
        <v>0.16</v>
      </c>
      <c r="AI59" s="5" t="n">
        <v>0.05</v>
      </c>
      <c r="AJ59" s="5" t="n">
        <v>0.05</v>
      </c>
      <c r="AK59" s="5" t="n">
        <v>0.1</v>
      </c>
      <c r="AL59" s="7" t="n">
        <v>0</v>
      </c>
      <c r="AM59" s="7" t="n">
        <v>0</v>
      </c>
      <c r="AN59" s="7" t="inlineStr">
        <is>
          <t>类别典型值/文件信息</t>
        </is>
      </c>
      <c r="AO59" s="7" t="inlineStr"/>
    </row>
    <row r="60">
      <c r="A60" s="6" t="inlineStr">
        <is>
          <t>RA083</t>
        </is>
      </c>
      <c r="B60" s="6" t="inlineStr">
        <is>
          <t>助剂</t>
        </is>
      </c>
      <c r="C60" s="6" t="inlineStr">
        <is>
          <t>有机</t>
        </is>
      </c>
      <c r="D60" s="6" t="inlineStr">
        <is>
          <t>固化剂</t>
        </is>
      </c>
      <c r="E60" s="6" t="inlineStr">
        <is>
          <t>氨基</t>
        </is>
      </c>
      <c r="F60" s="6" t="inlineStr"/>
      <c r="G60" s="6" t="inlineStr">
        <is>
          <t>专有估算</t>
        </is>
      </c>
      <c r="H60" s="5" t="n">
        <v>99.5</v>
      </c>
      <c r="I60" s="6" t="n">
        <v>1</v>
      </c>
      <c r="J60" s="6" t="n">
        <v>3000</v>
      </c>
      <c r="K60" s="5" t="n">
        <v>0</v>
      </c>
      <c r="L60" s="5" t="n">
        <v>5</v>
      </c>
      <c r="M60" s="5" t="n">
        <v>40</v>
      </c>
      <c r="N60" s="5" t="n">
        <v>0</v>
      </c>
      <c r="O60" s="5" t="n">
        <v>5</v>
      </c>
      <c r="P60" s="6" t="n">
        <v>40</v>
      </c>
      <c r="Q60" s="6" t="n">
        <v>300</v>
      </c>
      <c r="R60" s="6" t="n">
        <v>150</v>
      </c>
      <c r="S60" s="6" t="n">
        <v>17.5</v>
      </c>
      <c r="T60" s="6" t="n">
        <v>6</v>
      </c>
      <c r="U60" s="6" t="n">
        <v>8</v>
      </c>
      <c r="V60" s="6" t="n">
        <v>3</v>
      </c>
      <c r="W60" s="6" t="n">
        <v>0</v>
      </c>
      <c r="X60" s="6" t="n">
        <v>58</v>
      </c>
      <c r="Y60" s="6" t="n">
        <v>9</v>
      </c>
      <c r="Z60" s="6" t="n">
        <v>21</v>
      </c>
      <c r="AA60" s="6" t="n">
        <v>25</v>
      </c>
      <c r="AB60" s="6" t="n">
        <v>0</v>
      </c>
      <c r="AC60" s="6" t="n">
        <v>0</v>
      </c>
      <c r="AD60" s="5" t="n">
        <v>0</v>
      </c>
      <c r="AE60" s="5" t="n">
        <v>0.04</v>
      </c>
      <c r="AF60" s="5" t="n">
        <v>0.003</v>
      </c>
      <c r="AG60" s="5" t="n">
        <v>0.05</v>
      </c>
      <c r="AH60" s="5" t="n">
        <v>0.18</v>
      </c>
      <c r="AI60" s="5" t="n">
        <v>0.05</v>
      </c>
      <c r="AJ60" s="5" t="n">
        <v>0.12</v>
      </c>
      <c r="AK60" s="5" t="n">
        <v>0.1</v>
      </c>
      <c r="AL60" s="6" t="n">
        <v>0</v>
      </c>
      <c r="AM60" s="6" t="n">
        <v>0</v>
      </c>
      <c r="AN60" s="6" t="inlineStr">
        <is>
          <t>类别典型值/文件信息</t>
        </is>
      </c>
      <c r="AO60" s="6" t="inlineStr"/>
    </row>
    <row r="61">
      <c r="A61" s="7" t="inlineStr">
        <is>
          <t>RA824</t>
        </is>
      </c>
      <c r="B61" s="7" t="inlineStr">
        <is>
          <t>助剂</t>
        </is>
      </c>
      <c r="C61" s="7" t="inlineStr">
        <is>
          <t>有机</t>
        </is>
      </c>
      <c r="D61" s="7" t="inlineStr">
        <is>
          <t>固化剂</t>
        </is>
      </c>
      <c r="E61" s="7" t="inlineStr">
        <is>
          <t>氨基</t>
        </is>
      </c>
      <c r="F61" s="7" t="inlineStr"/>
      <c r="G61" s="7" t="inlineStr">
        <is>
          <t>专有估算</t>
        </is>
      </c>
      <c r="H61" s="5" t="n">
        <v>95</v>
      </c>
      <c r="I61" s="7" t="n">
        <v>1</v>
      </c>
      <c r="J61" s="7" t="n">
        <v>3000</v>
      </c>
      <c r="K61" s="5" t="n">
        <v>0</v>
      </c>
      <c r="L61" s="5" t="n">
        <v>5</v>
      </c>
      <c r="M61" s="5" t="n">
        <v>40</v>
      </c>
      <c r="N61" s="5" t="n">
        <v>0</v>
      </c>
      <c r="O61" s="5" t="n">
        <v>5</v>
      </c>
      <c r="P61" s="7" t="n">
        <v>38</v>
      </c>
      <c r="Q61" s="7" t="n">
        <v>300</v>
      </c>
      <c r="R61" s="7" t="n">
        <v>150</v>
      </c>
      <c r="S61" s="7" t="n">
        <v>17.5</v>
      </c>
      <c r="T61" s="7" t="n">
        <v>6</v>
      </c>
      <c r="U61" s="7" t="n">
        <v>8</v>
      </c>
      <c r="V61" s="7" t="n">
        <v>3</v>
      </c>
      <c r="W61" s="7" t="n">
        <v>0</v>
      </c>
      <c r="X61" s="7" t="n">
        <v>58</v>
      </c>
      <c r="Y61" s="7" t="n">
        <v>9</v>
      </c>
      <c r="Z61" s="7" t="n">
        <v>22</v>
      </c>
      <c r="AA61" s="7" t="n">
        <v>24</v>
      </c>
      <c r="AB61" s="7" t="n">
        <v>0</v>
      </c>
      <c r="AC61" s="7" t="n">
        <v>0</v>
      </c>
      <c r="AD61" s="5" t="n">
        <v>0</v>
      </c>
      <c r="AE61" s="5" t="n">
        <v>0.04</v>
      </c>
      <c r="AF61" s="5" t="n">
        <v>0.003</v>
      </c>
      <c r="AG61" s="5" t="n">
        <v>0.05</v>
      </c>
      <c r="AH61" s="5" t="n">
        <v>0.17</v>
      </c>
      <c r="AI61" s="5" t="n">
        <v>0.05</v>
      </c>
      <c r="AJ61" s="5" t="n">
        <v>0.08</v>
      </c>
      <c r="AK61" s="5" t="n">
        <v>0.1</v>
      </c>
      <c r="AL61" s="7" t="n">
        <v>0</v>
      </c>
      <c r="AM61" s="7" t="n">
        <v>0</v>
      </c>
      <c r="AN61" s="7" t="inlineStr">
        <is>
          <t>类别典型值/文件信息</t>
        </is>
      </c>
      <c r="AO61" s="7" t="inlineStr"/>
    </row>
    <row r="62">
      <c r="A62" s="6" t="inlineStr">
        <is>
          <t>1510蜡</t>
        </is>
      </c>
      <c r="B62" s="6" t="inlineStr">
        <is>
          <t>1510蜡25%工作液</t>
        </is>
      </c>
      <c r="C62" s="6" t="inlineStr">
        <is>
          <t>环氧酚醛</t>
        </is>
      </c>
      <c r="D62" s="6" t="inlineStr">
        <is>
          <t>助剂</t>
        </is>
      </c>
      <c r="E62" s="6" t="inlineStr">
        <is>
          <t>其他</t>
        </is>
      </c>
      <c r="F62" s="6" t="inlineStr"/>
      <c r="G62" s="6" t="inlineStr">
        <is>
          <t>专有估算</t>
        </is>
      </c>
      <c r="H62" s="5" t="n">
        <v>25</v>
      </c>
      <c r="I62" s="6" t="n">
        <v>0.9</v>
      </c>
      <c r="J62" s="6" t="n">
        <v>400</v>
      </c>
      <c r="K62" s="5" t="n">
        <v>0</v>
      </c>
      <c r="L62" s="5" t="n">
        <v>0</v>
      </c>
      <c r="M62" s="5" t="n">
        <v>0</v>
      </c>
      <c r="N62" s="5" t="n">
        <v>0</v>
      </c>
      <c r="O62" s="5" t="n">
        <v>0</v>
      </c>
      <c r="P62" s="6" t="n">
        <v>-10</v>
      </c>
      <c r="Q62" s="6" t="n">
        <v>350</v>
      </c>
      <c r="R62" s="6" t="n">
        <v>200</v>
      </c>
      <c r="S62" s="6" t="n">
        <v>16</v>
      </c>
      <c r="T62" s="6" t="n">
        <v>0.5</v>
      </c>
      <c r="U62" s="6" t="n">
        <v>0.5</v>
      </c>
      <c r="V62" s="6" t="n">
        <v>0.5</v>
      </c>
      <c r="W62" s="6" t="n">
        <v>0</v>
      </c>
      <c r="X62" s="6" t="n">
        <v>85</v>
      </c>
      <c r="Y62" s="6" t="n">
        <v>15</v>
      </c>
      <c r="Z62" s="6" t="n">
        <v>0</v>
      </c>
      <c r="AA62" s="6" t="n">
        <v>0</v>
      </c>
      <c r="AB62" s="6" t="n">
        <v>0</v>
      </c>
      <c r="AC62" s="6" t="n">
        <v>0</v>
      </c>
      <c r="AD62" s="5" t="n">
        <v>0</v>
      </c>
      <c r="AE62" s="5" t="n">
        <v>0</v>
      </c>
      <c r="AF62" s="5" t="n">
        <v>0</v>
      </c>
      <c r="AG62" s="5" t="n">
        <v>0</v>
      </c>
      <c r="AH62" s="5" t="n">
        <v>0</v>
      </c>
      <c r="AI62" s="5" t="n">
        <v>0</v>
      </c>
      <c r="AJ62" s="5" t="n">
        <v>0</v>
      </c>
      <c r="AK62" s="5" t="n">
        <v>0</v>
      </c>
      <c r="AL62" s="6" t="n">
        <v>25</v>
      </c>
      <c r="AM62" s="6" t="n">
        <v>0</v>
      </c>
      <c r="AN62" s="6" t="inlineStr">
        <is>
          <t>类别典型值/文件信息</t>
        </is>
      </c>
      <c r="AO62" s="6" t="inlineStr"/>
    </row>
    <row r="63">
      <c r="A63" s="7" t="inlineStr">
        <is>
          <t>10%磷酸</t>
        </is>
      </c>
      <c r="B63" s="7" t="inlineStr">
        <is>
          <t>磷酸10%水溶液</t>
        </is>
      </c>
      <c r="C63" s="7" t="inlineStr">
        <is>
          <t>环氧酚醛</t>
        </is>
      </c>
      <c r="D63" s="7" t="inlineStr">
        <is>
          <t>助剂</t>
        </is>
      </c>
      <c r="E63" s="7" t="inlineStr">
        <is>
          <t>其他</t>
        </is>
      </c>
      <c r="F63" s="7" t="inlineStr">
        <is>
          <t>OP(=O)(O)O</t>
        </is>
      </c>
      <c r="G63" s="7" t="inlineStr">
        <is>
          <t>已计算</t>
        </is>
      </c>
      <c r="H63" s="5" t="n">
        <v>10</v>
      </c>
      <c r="I63" s="7" t="n">
        <v>1.05</v>
      </c>
      <c r="J63" s="7" t="n">
        <v>98</v>
      </c>
      <c r="K63" s="5" t="n">
        <v>0</v>
      </c>
      <c r="L63" s="5" t="n">
        <v>570</v>
      </c>
      <c r="M63" s="5" t="n">
        <v>0</v>
      </c>
      <c r="N63" s="5" t="n">
        <v>0</v>
      </c>
      <c r="O63" s="5" t="n">
        <v>3</v>
      </c>
      <c r="P63" s="7" t="n">
        <v>-50</v>
      </c>
      <c r="Q63" s="7" t="n">
        <v>100</v>
      </c>
      <c r="R63" s="7" t="n">
        <v>0</v>
      </c>
      <c r="S63" s="7" t="n">
        <v>20</v>
      </c>
      <c r="T63" s="7" t="n">
        <v>15</v>
      </c>
      <c r="U63" s="7" t="n">
        <v>20</v>
      </c>
      <c r="V63" s="7" t="n">
        <v>5</v>
      </c>
      <c r="W63" s="7" t="n">
        <v>0.3</v>
      </c>
      <c r="X63" s="7" t="n">
        <v>0</v>
      </c>
      <c r="Y63" s="7" t="n">
        <v>3</v>
      </c>
      <c r="Z63" s="7" t="n">
        <v>65</v>
      </c>
      <c r="AA63" s="7" t="n">
        <v>0</v>
      </c>
      <c r="AB63" s="7" t="n">
        <v>0</v>
      </c>
      <c r="AC63" s="7" t="n">
        <v>0</v>
      </c>
      <c r="AD63" s="5" t="n">
        <v>0</v>
      </c>
      <c r="AE63" s="5" t="n">
        <v>0</v>
      </c>
      <c r="AF63" s="5" t="n">
        <v>0.57</v>
      </c>
      <c r="AG63" s="5" t="n">
        <v>0</v>
      </c>
      <c r="AH63" s="5" t="n">
        <v>0</v>
      </c>
      <c r="AI63" s="5" t="n">
        <v>0</v>
      </c>
      <c r="AJ63" s="5" t="n">
        <v>0</v>
      </c>
      <c r="AK63" s="5" t="n">
        <v>0</v>
      </c>
      <c r="AL63" s="7" t="n">
        <v>0</v>
      </c>
      <c r="AM63" s="7" t="n">
        <v>0</v>
      </c>
      <c r="AN63" s="7" t="inlineStr">
        <is>
          <t>类别典型值/文件信息</t>
        </is>
      </c>
      <c r="AO63" s="7" t="inlineStr"/>
    </row>
    <row r="64">
      <c r="A64" s="6" t="inlineStr">
        <is>
          <t>3%气硅</t>
        </is>
      </c>
      <c r="B64" s="6" t="inlineStr">
        <is>
          <t>气相二氧化硅3%</t>
        </is>
      </c>
      <c r="C64" s="6" t="inlineStr">
        <is>
          <t>有机</t>
        </is>
      </c>
      <c r="D64" s="6" t="inlineStr">
        <is>
          <t>助剂</t>
        </is>
      </c>
      <c r="E64" s="6" t="inlineStr">
        <is>
          <t>其他</t>
        </is>
      </c>
      <c r="F64" s="6" t="inlineStr"/>
      <c r="G64" s="6" t="inlineStr">
        <is>
          <t>专有估算</t>
        </is>
      </c>
      <c r="H64" s="5" t="n">
        <v>3</v>
      </c>
      <c r="I64" s="6" t="n">
        <v>1</v>
      </c>
      <c r="J64" s="6" t="n">
        <v>60</v>
      </c>
      <c r="K64" s="5" t="n">
        <v>0</v>
      </c>
      <c r="L64" s="5" t="n">
        <v>0</v>
      </c>
      <c r="M64" s="5" t="n">
        <v>0</v>
      </c>
      <c r="N64" s="5" t="n">
        <v>0</v>
      </c>
      <c r="O64" s="5" t="n">
        <v>0</v>
      </c>
      <c r="P64" s="6" t="n">
        <v>-50</v>
      </c>
      <c r="Q64" s="6" t="n">
        <v>100</v>
      </c>
      <c r="R64" s="6" t="n">
        <v>0</v>
      </c>
      <c r="S64" s="6" t="n">
        <v>18</v>
      </c>
      <c r="T64" s="6" t="n">
        <v>8</v>
      </c>
      <c r="U64" s="6" t="n">
        <v>10</v>
      </c>
      <c r="V64" s="6" t="n">
        <v>3</v>
      </c>
      <c r="W64" s="6" t="n">
        <v>0.5</v>
      </c>
      <c r="X64" s="6" t="n">
        <v>0</v>
      </c>
      <c r="Y64" s="6" t="n">
        <v>0</v>
      </c>
      <c r="Z64" s="6" t="n">
        <v>50</v>
      </c>
      <c r="AA64" s="6" t="n">
        <v>0</v>
      </c>
      <c r="AB64" s="6" t="n">
        <v>0</v>
      </c>
      <c r="AC64" s="6" t="n">
        <v>0</v>
      </c>
      <c r="AD64" s="5" t="n">
        <v>0</v>
      </c>
      <c r="AE64" s="5" t="n">
        <v>0</v>
      </c>
      <c r="AF64" s="5" t="n">
        <v>0</v>
      </c>
      <c r="AG64" s="5" t="n">
        <v>0</v>
      </c>
      <c r="AH64" s="5" t="n">
        <v>0</v>
      </c>
      <c r="AI64" s="5" t="n">
        <v>0</v>
      </c>
      <c r="AJ64" s="5" t="n">
        <v>0</v>
      </c>
      <c r="AK64" s="5" t="n">
        <v>0</v>
      </c>
      <c r="AL64" s="6" t="n">
        <v>0</v>
      </c>
      <c r="AM64" s="6" t="n">
        <v>0</v>
      </c>
      <c r="AN64" s="6" t="inlineStr">
        <is>
          <t>类别典型值/文件信息</t>
        </is>
      </c>
      <c r="AO64" s="6" t="inlineStr"/>
    </row>
    <row r="65">
      <c r="A65" s="7" t="inlineStr">
        <is>
          <t>20%CAB</t>
        </is>
      </c>
      <c r="B65" s="7" t="inlineStr">
        <is>
          <t>CAB溶液20%</t>
        </is>
      </c>
      <c r="C65" s="7" t="inlineStr">
        <is>
          <t>有机</t>
        </is>
      </c>
      <c r="D65" s="7" t="inlineStr">
        <is>
          <t>助剂</t>
        </is>
      </c>
      <c r="E65" s="7" t="inlineStr">
        <is>
          <t>其他</t>
        </is>
      </c>
      <c r="F65" s="7" t="inlineStr"/>
      <c r="G65" s="7" t="inlineStr">
        <is>
          <t>专有估算</t>
        </is>
      </c>
      <c r="H65" s="5" t="n">
        <v>20</v>
      </c>
      <c r="I65" s="7" t="n">
        <v>0.95</v>
      </c>
      <c r="J65" s="7" t="n">
        <v>30000</v>
      </c>
      <c r="K65" s="5" t="n">
        <v>0</v>
      </c>
      <c r="L65" s="5" t="n">
        <v>2</v>
      </c>
      <c r="M65" s="5" t="n">
        <v>10</v>
      </c>
      <c r="N65" s="5" t="n">
        <v>0</v>
      </c>
      <c r="O65" s="5" t="n">
        <v>0</v>
      </c>
      <c r="P65" s="7" t="n">
        <v>100</v>
      </c>
      <c r="Q65" s="7" t="n">
        <v>250</v>
      </c>
      <c r="R65" s="7" t="n">
        <v>100</v>
      </c>
      <c r="S65" s="7" t="n">
        <v>18</v>
      </c>
      <c r="T65" s="7" t="n">
        <v>6</v>
      </c>
      <c r="U65" s="7" t="n">
        <v>8</v>
      </c>
      <c r="V65" s="7" t="n">
        <v>3</v>
      </c>
      <c r="W65" s="7" t="n">
        <v>0</v>
      </c>
      <c r="X65" s="7" t="n">
        <v>55</v>
      </c>
      <c r="Y65" s="7" t="n">
        <v>7</v>
      </c>
      <c r="Z65" s="7" t="n">
        <v>38</v>
      </c>
      <c r="AA65" s="7" t="n">
        <v>0</v>
      </c>
      <c r="AB65" s="7" t="n">
        <v>0</v>
      </c>
      <c r="AC65" s="7" t="n">
        <v>0</v>
      </c>
      <c r="AD65" s="5" t="n">
        <v>0</v>
      </c>
      <c r="AE65" s="5" t="n">
        <v>0.006</v>
      </c>
      <c r="AF65" s="5" t="n">
        <v>0.001</v>
      </c>
      <c r="AG65" s="5" t="n">
        <v>0.3</v>
      </c>
      <c r="AH65" s="5" t="n">
        <v>0</v>
      </c>
      <c r="AI65" s="5" t="n">
        <v>0</v>
      </c>
      <c r="AJ65" s="5" t="n">
        <v>0</v>
      </c>
      <c r="AK65" s="5" t="n">
        <v>0.3</v>
      </c>
      <c r="AL65" s="7" t="n">
        <v>0</v>
      </c>
      <c r="AM65" s="7" t="n">
        <v>0</v>
      </c>
      <c r="AN65" s="7" t="inlineStr">
        <is>
          <t>类别典型值/文件信息</t>
        </is>
      </c>
      <c r="AO65" s="7" t="inlineStr"/>
    </row>
    <row r="66">
      <c r="A66" s="6" t="inlineStr">
        <is>
          <t>RY460</t>
        </is>
      </c>
      <c r="B66" s="6" t="inlineStr">
        <is>
          <t>黄色颜料</t>
        </is>
      </c>
      <c r="C66" s="6" t="inlineStr">
        <is>
          <t>聚酯</t>
        </is>
      </c>
      <c r="D66" s="6" t="inlineStr">
        <is>
          <t>树脂</t>
        </is>
      </c>
      <c r="E66" s="6" t="inlineStr">
        <is>
          <t>聚氨酯</t>
        </is>
      </c>
      <c r="F66" s="6" t="inlineStr"/>
      <c r="G66" s="6" t="inlineStr">
        <is>
          <t>专有估算</t>
        </is>
      </c>
      <c r="H66" s="5" t="n">
        <v>57</v>
      </c>
      <c r="I66" s="6" t="n">
        <v>4</v>
      </c>
      <c r="J66" s="6" t="n">
        <v>200</v>
      </c>
      <c r="K66" s="5" t="n">
        <v>0</v>
      </c>
      <c r="L66" s="5" t="n">
        <v>0</v>
      </c>
      <c r="M66" s="5" t="n">
        <v>0</v>
      </c>
      <c r="N66" s="5" t="n">
        <v>0</v>
      </c>
      <c r="O66" s="5" t="n">
        <v>3</v>
      </c>
      <c r="P66" s="6" t="n">
        <v>15</v>
      </c>
      <c r="Q66" s="6" t="n">
        <v>500</v>
      </c>
      <c r="R66" s="6" t="n">
        <v>300</v>
      </c>
      <c r="S66" s="6" t="n">
        <v>20</v>
      </c>
      <c r="T66" s="6" t="n">
        <v>10</v>
      </c>
      <c r="U66" s="6" t="n">
        <v>8</v>
      </c>
      <c r="V66" s="6" t="n">
        <v>3</v>
      </c>
      <c r="W66" s="6" t="n">
        <v>0</v>
      </c>
      <c r="X66" s="6" t="n">
        <v>70</v>
      </c>
      <c r="Y66" s="6" t="n">
        <v>9</v>
      </c>
      <c r="Z66" s="6" t="n">
        <v>16</v>
      </c>
      <c r="AA66" s="6" t="n">
        <v>10</v>
      </c>
      <c r="AB66" s="6" t="n">
        <v>0</v>
      </c>
      <c r="AC66" s="6" t="n">
        <v>0</v>
      </c>
      <c r="AD66" s="5" t="n">
        <v>0</v>
      </c>
      <c r="AE66" s="5" t="n">
        <v>0</v>
      </c>
      <c r="AF66" s="5" t="n">
        <v>0</v>
      </c>
      <c r="AG66" s="5" t="n">
        <v>0.06</v>
      </c>
      <c r="AH66" s="5" t="n">
        <v>0.07000000000000001</v>
      </c>
      <c r="AI66" s="5" t="n">
        <v>0.05</v>
      </c>
      <c r="AJ66" s="5" t="n">
        <v>0.15</v>
      </c>
      <c r="AK66" s="5" t="n">
        <v>0</v>
      </c>
      <c r="AL66" s="6" t="n">
        <v>0</v>
      </c>
      <c r="AM66" s="6" t="n">
        <v>0</v>
      </c>
      <c r="AN66" s="6" t="inlineStr">
        <is>
          <t>类别典型值/文件信息</t>
        </is>
      </c>
      <c r="AO66" s="6" t="inlineStr"/>
    </row>
    <row r="67">
      <c r="A67" s="7" t="inlineStr">
        <is>
          <t>RY075N</t>
        </is>
      </c>
      <c r="B67" s="7" t="inlineStr">
        <is>
          <t>黄色颜料</t>
        </is>
      </c>
      <c r="C67" s="7" t="inlineStr">
        <is>
          <t>聚酯</t>
        </is>
      </c>
      <c r="D67" s="7" t="inlineStr">
        <is>
          <t>树脂</t>
        </is>
      </c>
      <c r="E67" s="7" t="inlineStr">
        <is>
          <t>聚氨酯</t>
        </is>
      </c>
      <c r="F67" s="7" t="inlineStr"/>
      <c r="G67" s="7" t="inlineStr">
        <is>
          <t>专有估算</t>
        </is>
      </c>
      <c r="H67" s="5" t="n">
        <v>75</v>
      </c>
      <c r="I67" s="7" t="n">
        <v>4</v>
      </c>
      <c r="J67" s="7" t="n">
        <v>200</v>
      </c>
      <c r="K67" s="5" t="n">
        <v>0</v>
      </c>
      <c r="L67" s="5" t="n">
        <v>0</v>
      </c>
      <c r="M67" s="5" t="n">
        <v>0</v>
      </c>
      <c r="N67" s="5" t="n">
        <v>0</v>
      </c>
      <c r="O67" s="5" t="n">
        <v>3</v>
      </c>
      <c r="P67" s="7" t="n">
        <v>10</v>
      </c>
      <c r="Q67" s="7" t="n">
        <v>500</v>
      </c>
      <c r="R67" s="7" t="n">
        <v>300</v>
      </c>
      <c r="S67" s="7" t="n">
        <v>20</v>
      </c>
      <c r="T67" s="7" t="n">
        <v>10</v>
      </c>
      <c r="U67" s="7" t="n">
        <v>8</v>
      </c>
      <c r="V67" s="7" t="n">
        <v>3</v>
      </c>
      <c r="W67" s="7" t="n">
        <v>0</v>
      </c>
      <c r="X67" s="7" t="n">
        <v>68</v>
      </c>
      <c r="Y67" s="7" t="n">
        <v>9</v>
      </c>
      <c r="Z67" s="7" t="n">
        <v>17</v>
      </c>
      <c r="AA67" s="7" t="n">
        <v>9</v>
      </c>
      <c r="AB67" s="7" t="n">
        <v>0</v>
      </c>
      <c r="AC67" s="7" t="n">
        <v>0</v>
      </c>
      <c r="AD67" s="5" t="n">
        <v>0</v>
      </c>
      <c r="AE67" s="5" t="n">
        <v>0</v>
      </c>
      <c r="AF67" s="5" t="n">
        <v>0</v>
      </c>
      <c r="AG67" s="5" t="n">
        <v>0.06</v>
      </c>
      <c r="AH67" s="5" t="n">
        <v>0.06</v>
      </c>
      <c r="AI67" s="5" t="n">
        <v>0.05</v>
      </c>
      <c r="AJ67" s="5" t="n">
        <v>0.15</v>
      </c>
      <c r="AK67" s="5" t="n">
        <v>0</v>
      </c>
      <c r="AL67" s="7" t="n">
        <v>0</v>
      </c>
      <c r="AM67" s="7" t="n">
        <v>0</v>
      </c>
      <c r="AN67" s="7" t="inlineStr">
        <is>
          <t>类别典型值/文件信息</t>
        </is>
      </c>
      <c r="AO67" s="7" t="inlineStr"/>
    </row>
    <row r="68">
      <c r="A68" s="6" t="inlineStr">
        <is>
          <t>RY078</t>
        </is>
      </c>
      <c r="B68" s="6" t="inlineStr">
        <is>
          <t>黄色颜料</t>
        </is>
      </c>
      <c r="C68" s="6" t="inlineStr">
        <is>
          <t>有机</t>
        </is>
      </c>
      <c r="D68" s="6" t="inlineStr">
        <is>
          <t>颜料</t>
        </is>
      </c>
      <c r="E68" s="6" t="inlineStr">
        <is>
          <t>其他</t>
        </is>
      </c>
      <c r="F68" s="6" t="inlineStr"/>
      <c r="G68" s="6" t="inlineStr">
        <is>
          <t>专有估算</t>
        </is>
      </c>
      <c r="H68" s="5" t="n">
        <v>100</v>
      </c>
      <c r="I68" s="6" t="n">
        <v>4</v>
      </c>
      <c r="J68" s="6" t="n">
        <v>200</v>
      </c>
      <c r="K68" s="5" t="n">
        <v>0</v>
      </c>
      <c r="L68" s="5" t="n">
        <v>0</v>
      </c>
      <c r="M68" s="5" t="n">
        <v>0</v>
      </c>
      <c r="N68" s="5" t="n">
        <v>0</v>
      </c>
      <c r="O68" s="5" t="n">
        <v>0</v>
      </c>
      <c r="P68" s="6" t="n">
        <v>0</v>
      </c>
      <c r="Q68" s="6" t="n">
        <v>500</v>
      </c>
      <c r="R68" s="6" t="n">
        <v>300</v>
      </c>
      <c r="S68" s="6" t="n">
        <v>20</v>
      </c>
      <c r="T68" s="6" t="n">
        <v>10</v>
      </c>
      <c r="U68" s="6" t="n">
        <v>8</v>
      </c>
      <c r="V68" s="6" t="n">
        <v>3</v>
      </c>
      <c r="W68" s="6" t="n">
        <v>0</v>
      </c>
      <c r="X68" s="6" t="n">
        <v>10</v>
      </c>
      <c r="Y68" s="6" t="n">
        <v>0</v>
      </c>
      <c r="Z68" s="6" t="n">
        <v>20</v>
      </c>
      <c r="AA68" s="6" t="n">
        <v>0</v>
      </c>
      <c r="AB68" s="6" t="n">
        <v>0</v>
      </c>
      <c r="AC68" s="6" t="n">
        <v>0</v>
      </c>
      <c r="AD68" s="5" t="n">
        <v>0</v>
      </c>
      <c r="AE68" s="5" t="n">
        <v>0</v>
      </c>
      <c r="AF68" s="5" t="n">
        <v>0</v>
      </c>
      <c r="AG68" s="5" t="n">
        <v>0</v>
      </c>
      <c r="AH68" s="5" t="n">
        <v>0</v>
      </c>
      <c r="AI68" s="5" t="n">
        <v>0</v>
      </c>
      <c r="AJ68" s="5" t="n">
        <v>0.5</v>
      </c>
      <c r="AK68" s="5" t="n">
        <v>0</v>
      </c>
      <c r="AL68" s="6" t="n">
        <v>0</v>
      </c>
      <c r="AM68" s="6" t="n">
        <v>100</v>
      </c>
      <c r="AN68" s="6" t="inlineStr">
        <is>
          <t>类别典型值/文件信息</t>
        </is>
      </c>
      <c r="AO68" s="6" t="inlineStr"/>
    </row>
    <row r="69">
      <c r="A69" s="7" t="inlineStr">
        <is>
          <t>35.7%白浆</t>
        </is>
      </c>
      <c r="B69" s="7" t="inlineStr">
        <is>
          <t>白色颜料浆35.7%</t>
        </is>
      </c>
      <c r="C69" s="7" t="inlineStr">
        <is>
          <t>有机</t>
        </is>
      </c>
      <c r="D69" s="7" t="inlineStr">
        <is>
          <t>颜料</t>
        </is>
      </c>
      <c r="E69" s="7" t="inlineStr">
        <is>
          <t>其他</t>
        </is>
      </c>
      <c r="F69" s="7" t="inlineStr"/>
      <c r="G69" s="7" t="inlineStr">
        <is>
          <t>专有估算</t>
        </is>
      </c>
      <c r="H69" s="5" t="n">
        <v>35.7</v>
      </c>
      <c r="I69" s="7" t="n">
        <v>1.8</v>
      </c>
      <c r="J69" s="7" t="n">
        <v>200</v>
      </c>
      <c r="K69" s="5" t="n">
        <v>0</v>
      </c>
      <c r="L69" s="5" t="n">
        <v>0</v>
      </c>
      <c r="M69" s="5" t="n">
        <v>0</v>
      </c>
      <c r="N69" s="5" t="n">
        <v>0</v>
      </c>
      <c r="O69" s="5" t="n">
        <v>0</v>
      </c>
      <c r="P69" s="7" t="n">
        <v>0</v>
      </c>
      <c r="Q69" s="7" t="n">
        <v>300</v>
      </c>
      <c r="R69" s="7" t="n">
        <v>150</v>
      </c>
      <c r="S69" s="7" t="n">
        <v>19</v>
      </c>
      <c r="T69" s="7" t="n">
        <v>8</v>
      </c>
      <c r="U69" s="7" t="n">
        <v>7</v>
      </c>
      <c r="V69" s="7" t="n">
        <v>3</v>
      </c>
      <c r="W69" s="7" t="n">
        <v>0</v>
      </c>
      <c r="X69" s="7" t="n">
        <v>20</v>
      </c>
      <c r="Y69" s="7" t="n">
        <v>2</v>
      </c>
      <c r="Z69" s="7" t="n">
        <v>40</v>
      </c>
      <c r="AA69" s="7" t="n">
        <v>0</v>
      </c>
      <c r="AB69" s="7" t="n">
        <v>0</v>
      </c>
      <c r="AC69" s="7" t="n">
        <v>0</v>
      </c>
      <c r="AD69" s="5" t="n">
        <v>0</v>
      </c>
      <c r="AE69" s="5" t="n">
        <v>0</v>
      </c>
      <c r="AF69" s="5" t="n">
        <v>0</v>
      </c>
      <c r="AG69" s="5" t="n">
        <v>0.1</v>
      </c>
      <c r="AH69" s="5" t="n">
        <v>0</v>
      </c>
      <c r="AI69" s="5" t="n">
        <v>0</v>
      </c>
      <c r="AJ69" s="5" t="n">
        <v>0.2</v>
      </c>
      <c r="AK69" s="5" t="n">
        <v>0.1</v>
      </c>
      <c r="AL69" s="7" t="n">
        <v>0</v>
      </c>
      <c r="AM69" s="7" t="n">
        <v>35.7</v>
      </c>
      <c r="AN69" s="7" t="inlineStr">
        <is>
          <t>类别典型值/文件信息</t>
        </is>
      </c>
      <c r="AO69" s="7" t="inlineStr"/>
    </row>
    <row r="70">
      <c r="A70" s="6" t="inlineStr">
        <is>
          <t>14.28%炭黑浆料</t>
        </is>
      </c>
      <c r="B70" s="6" t="inlineStr">
        <is>
          <t>炭黑浆料14.28%</t>
        </is>
      </c>
      <c r="C70" s="6" t="inlineStr">
        <is>
          <t>有机</t>
        </is>
      </c>
      <c r="D70" s="6" t="inlineStr">
        <is>
          <t>颜料</t>
        </is>
      </c>
      <c r="E70" s="6" t="inlineStr">
        <is>
          <t>其他</t>
        </is>
      </c>
      <c r="F70" s="6" t="inlineStr"/>
      <c r="G70" s="6" t="inlineStr">
        <is>
          <t>专有估算</t>
        </is>
      </c>
      <c r="H70" s="5" t="n">
        <v>14.28</v>
      </c>
      <c r="I70" s="6" t="n">
        <v>1.2</v>
      </c>
      <c r="J70" s="6" t="n">
        <v>200</v>
      </c>
      <c r="K70" s="5" t="n">
        <v>0</v>
      </c>
      <c r="L70" s="5" t="n">
        <v>0</v>
      </c>
      <c r="M70" s="5" t="n">
        <v>0</v>
      </c>
      <c r="N70" s="5" t="n">
        <v>0</v>
      </c>
      <c r="O70" s="5" t="n">
        <v>0</v>
      </c>
      <c r="P70" s="6" t="n">
        <v>0</v>
      </c>
      <c r="Q70" s="6" t="n">
        <v>300</v>
      </c>
      <c r="R70" s="6" t="n">
        <v>150</v>
      </c>
      <c r="S70" s="6" t="n">
        <v>19</v>
      </c>
      <c r="T70" s="6" t="n">
        <v>8</v>
      </c>
      <c r="U70" s="6" t="n">
        <v>7</v>
      </c>
      <c r="V70" s="6" t="n">
        <v>3</v>
      </c>
      <c r="W70" s="6" t="n">
        <v>0</v>
      </c>
      <c r="X70" s="6" t="n">
        <v>80</v>
      </c>
      <c r="Y70" s="6" t="n">
        <v>2</v>
      </c>
      <c r="Z70" s="6" t="n">
        <v>10</v>
      </c>
      <c r="AA70" s="6" t="n">
        <v>0</v>
      </c>
      <c r="AB70" s="6" t="n">
        <v>0</v>
      </c>
      <c r="AC70" s="6" t="n">
        <v>0</v>
      </c>
      <c r="AD70" s="5" t="n">
        <v>0</v>
      </c>
      <c r="AE70" s="5" t="n">
        <v>0</v>
      </c>
      <c r="AF70" s="5" t="n">
        <v>0</v>
      </c>
      <c r="AG70" s="5" t="n">
        <v>0.1</v>
      </c>
      <c r="AH70" s="5" t="n">
        <v>0</v>
      </c>
      <c r="AI70" s="5" t="n">
        <v>0</v>
      </c>
      <c r="AJ70" s="5" t="n">
        <v>0.5</v>
      </c>
      <c r="AK70" s="5" t="n">
        <v>0</v>
      </c>
      <c r="AL70" s="6" t="n">
        <v>0</v>
      </c>
      <c r="AM70" s="6" t="n">
        <v>14.28</v>
      </c>
      <c r="AN70" s="6" t="inlineStr">
        <is>
          <t>类别典型值/文件信息</t>
        </is>
      </c>
      <c r="AO70" s="6" t="inlineStr"/>
    </row>
    <row r="71">
      <c r="A71" s="7" t="inlineStr">
        <is>
          <t>日本151-PVC</t>
        </is>
      </c>
      <c r="B71" s="7" t="inlineStr">
        <is>
          <t>颜料浆</t>
        </is>
      </c>
      <c r="C71" s="7" t="inlineStr">
        <is>
          <t>有机</t>
        </is>
      </c>
      <c r="D71" s="7" t="inlineStr">
        <is>
          <t>颜料</t>
        </is>
      </c>
      <c r="E71" s="7" t="inlineStr">
        <is>
          <t>其他</t>
        </is>
      </c>
      <c r="F71" s="7" t="inlineStr"/>
      <c r="G71" s="7" t="inlineStr">
        <is>
          <t>专有估算</t>
        </is>
      </c>
      <c r="H71" s="5" t="n">
        <v>100</v>
      </c>
      <c r="I71" s="7" t="n">
        <v>1.5</v>
      </c>
      <c r="J71" s="7" t="n">
        <v>200</v>
      </c>
      <c r="K71" s="5" t="n">
        <v>0</v>
      </c>
      <c r="L71" s="5" t="n">
        <v>0</v>
      </c>
      <c r="M71" s="5" t="n">
        <v>0</v>
      </c>
      <c r="N71" s="5" t="n">
        <v>0</v>
      </c>
      <c r="O71" s="5" t="n">
        <v>0</v>
      </c>
      <c r="P71" s="7" t="n">
        <v>0</v>
      </c>
      <c r="Q71" s="7" t="n">
        <v>300</v>
      </c>
      <c r="R71" s="7" t="n">
        <v>150</v>
      </c>
      <c r="S71" s="7" t="n">
        <v>19</v>
      </c>
      <c r="T71" s="7" t="n">
        <v>8</v>
      </c>
      <c r="U71" s="7" t="n">
        <v>7</v>
      </c>
      <c r="V71" s="7" t="n">
        <v>3</v>
      </c>
      <c r="W71" s="7" t="n">
        <v>0</v>
      </c>
      <c r="X71" s="7" t="n">
        <v>50</v>
      </c>
      <c r="Y71" s="7" t="n">
        <v>5</v>
      </c>
      <c r="Z71" s="7" t="n">
        <v>20</v>
      </c>
      <c r="AA71" s="7" t="n">
        <v>0</v>
      </c>
      <c r="AB71" s="7" t="n">
        <v>0</v>
      </c>
      <c r="AC71" s="7" t="n">
        <v>0</v>
      </c>
      <c r="AD71" s="5" t="n">
        <v>0</v>
      </c>
      <c r="AE71" s="5" t="n">
        <v>0</v>
      </c>
      <c r="AF71" s="5" t="n">
        <v>0</v>
      </c>
      <c r="AG71" s="5" t="n">
        <v>0.1</v>
      </c>
      <c r="AH71" s="5" t="n">
        <v>0</v>
      </c>
      <c r="AI71" s="5" t="n">
        <v>0</v>
      </c>
      <c r="AJ71" s="5" t="n">
        <v>0.3</v>
      </c>
      <c r="AK71" s="5" t="n">
        <v>0.1</v>
      </c>
      <c r="AL71" s="7" t="n">
        <v>0</v>
      </c>
      <c r="AM71" s="7" t="n">
        <v>100</v>
      </c>
      <c r="AN71" s="7" t="inlineStr">
        <is>
          <t>类别典型值/文件信息</t>
        </is>
      </c>
      <c r="AO71" s="7" t="inlineStr"/>
    </row>
  </sheetData>
  <dataValidations count="3">
    <dataValidation sqref="D2:D1000" showDropDown="0" showInputMessage="0" showErrorMessage="0" allowBlank="1" type="list">
      <formula1>"树脂,固化剂,溶剂,助剂,颜料"</formula1>
    </dataValidation>
    <dataValidation sqref="E2:E1000" showDropDown="0" showInputMessage="0" showErrorMessage="0" allowBlank="1" type="list">
      <formula1>"环氧,酚醛,聚酯,乙烯基,丙烯酸,聚氨酯,其他"</formula1>
    </dataValidation>
    <dataValidation sqref="C2:C1000" showDropDown="0" showInputMessage="0" showErrorMessage="0" allowBlank="1" type="list">
      <formula1>"环氧酚醛,有机,聚酯,聚氨酯,丙烯酸,环氧胺,通用"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4" customWidth="1" min="4" max="4"/>
    <col width="10" customWidth="1" min="5" max="5"/>
    <col width="9" customWidth="1" min="6" max="6"/>
    <col width="9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</cols>
  <sheetData>
    <row r="1">
      <c r="A1" s="4" t="inlineStr">
        <is>
          <t>样本ID</t>
        </is>
      </c>
      <c r="B1" s="4" t="inlineStr">
        <is>
          <t>系列</t>
        </is>
      </c>
      <c r="C1" s="4" t="inlineStr">
        <is>
          <t>体系</t>
        </is>
      </c>
      <c r="D1" s="4" t="inlineStr">
        <is>
          <t>原料代码</t>
        </is>
      </c>
      <c r="E1" s="4" t="inlineStr">
        <is>
          <t>用量(g)</t>
        </is>
      </c>
      <c r="F1" s="4" t="inlineStr">
        <is>
          <t>角色</t>
        </is>
      </c>
      <c r="G1" s="4" t="inlineStr">
        <is>
          <t>树脂类型</t>
        </is>
      </c>
      <c r="H1" s="4" t="inlineStr">
        <is>
          <t>固含贡献</t>
        </is>
      </c>
      <c r="I1" s="4" t="inlineStr">
        <is>
          <t>密度贡献</t>
        </is>
      </c>
      <c r="J1" s="4" t="inlineStr">
        <is>
          <t>分子量贡献</t>
        </is>
      </c>
      <c r="K1" s="4" t="inlineStr">
        <is>
          <t>EEW贡献</t>
        </is>
      </c>
      <c r="L1" s="4" t="inlineStr">
        <is>
          <t>酸值贡献</t>
        </is>
      </c>
      <c r="M1" s="4" t="inlineStr">
        <is>
          <t>羟值贡献</t>
        </is>
      </c>
      <c r="N1" s="4" t="inlineStr">
        <is>
          <t>胺值贡献</t>
        </is>
      </c>
      <c r="O1" s="4" t="inlineStr">
        <is>
          <t>官能度贡献</t>
        </is>
      </c>
      <c r="P1" s="4" t="inlineStr">
        <is>
          <t>Tg贡献</t>
        </is>
      </c>
      <c r="Q1" s="4" t="inlineStr">
        <is>
          <t>沸点贡献</t>
        </is>
      </c>
      <c r="R1" s="4" t="inlineStr">
        <is>
          <t>闪点贡献</t>
        </is>
      </c>
      <c r="S1" s="4" t="inlineStr">
        <is>
          <t>δD贡献</t>
        </is>
      </c>
      <c r="T1" s="4" t="inlineStr">
        <is>
          <t>δP贡献</t>
        </is>
      </c>
      <c r="U1" s="4" t="inlineStr">
        <is>
          <t>δH贡献</t>
        </is>
      </c>
      <c r="V1" s="4" t="inlineStr">
        <is>
          <t>极性贡献</t>
        </is>
      </c>
      <c r="W1" s="4" t="inlineStr">
        <is>
          <t>挥发速率贡献</t>
        </is>
      </c>
      <c r="X1" s="4" t="inlineStr">
        <is>
          <t>C贡献</t>
        </is>
      </c>
      <c r="Y1" s="4" t="inlineStr">
        <is>
          <t>H贡献</t>
        </is>
      </c>
      <c r="Z1" s="4" t="inlineStr">
        <is>
          <t>O贡献</t>
        </is>
      </c>
      <c r="AA1" s="4" t="inlineStr">
        <is>
          <t>N贡献</t>
        </is>
      </c>
      <c r="AB1" s="4" t="inlineStr">
        <is>
          <t>S贡献</t>
        </is>
      </c>
      <c r="AC1" s="4" t="inlineStr">
        <is>
          <t>Cl贡献</t>
        </is>
      </c>
      <c r="AD1" s="4" t="inlineStr">
        <is>
          <t>环氧基贡献</t>
        </is>
      </c>
      <c r="AE1" s="4" t="inlineStr">
        <is>
          <t>羟基贡献</t>
        </is>
      </c>
      <c r="AF1" s="4" t="inlineStr">
        <is>
          <t>羧基贡献</t>
        </is>
      </c>
      <c r="AG1" s="4" t="inlineStr">
        <is>
          <t>酯基贡献</t>
        </is>
      </c>
      <c r="AH1" s="4" t="inlineStr">
        <is>
          <t>胺基贡献</t>
        </is>
      </c>
      <c r="AI1" s="4" t="inlineStr">
        <is>
          <t>酰胺贡献</t>
        </is>
      </c>
      <c r="AJ1" s="4" t="inlineStr">
        <is>
          <t>芳香环贡献</t>
        </is>
      </c>
      <c r="AK1" s="4" t="inlineStr">
        <is>
          <t>醚键贡献</t>
        </is>
      </c>
      <c r="AL1" s="4" t="inlineStr">
        <is>
          <t>蜡贡献</t>
        </is>
      </c>
      <c r="AM1" s="4" t="inlineStr">
        <is>
          <t>颜料贡献</t>
        </is>
      </c>
    </row>
    <row r="2">
      <c r="A2" s="6" t="inlineStr">
        <is>
          <t>EP-0001</t>
        </is>
      </c>
      <c r="B2" s="6" t="inlineStr">
        <is>
          <t>EP-A</t>
        </is>
      </c>
      <c r="C2" s="6" t="inlineStr">
        <is>
          <t>环氧酚醛</t>
        </is>
      </c>
      <c r="D2" s="6" t="inlineStr">
        <is>
          <t>IR190</t>
        </is>
      </c>
      <c r="E2" s="6" t="n">
        <v>66</v>
      </c>
      <c r="F2" s="6">
        <f>IFERROR(VLOOKUP($D2,'原料主数据'!$A:$E,4,FALSE),"待登记")</f>
        <v/>
      </c>
      <c r="G2" s="6">
        <f>IFERROR(VLOOKUP($D2,'原料主数据'!$A:$E,5,FALSE),"待登记")</f>
        <v/>
      </c>
      <c r="H2" s="6">
        <f>IFERROR($E2*VLOOKUP($D2,'原料主数据'!$A:$AN, 8, FALSE),"")</f>
        <v/>
      </c>
      <c r="I2" s="6">
        <f>IFERROR($E2*VLOOKUP($D2,'原料主数据'!$A:$AN, 9, FALSE),"")</f>
        <v/>
      </c>
      <c r="J2" s="6">
        <f>IFERROR($E2*VLOOKUP($D2,'原料主数据'!$A:$AN, 10, FALSE),"")</f>
        <v/>
      </c>
      <c r="K2" s="6">
        <f>IFERROR($E2*VLOOKUP($D2,'原料主数据'!$A:$AN, 11, FALSE),"")</f>
        <v/>
      </c>
      <c r="L2" s="6">
        <f>IFERROR($E2*VLOOKUP($D2,'原料主数据'!$A:$AN, 12, FALSE),"")</f>
        <v/>
      </c>
      <c r="M2" s="6">
        <f>IFERROR($E2*VLOOKUP($D2,'原料主数据'!$A:$AN, 13, FALSE),"")</f>
        <v/>
      </c>
      <c r="N2" s="6">
        <f>IFERROR($E2*VLOOKUP($D2,'原料主数据'!$A:$AN, 14, FALSE),"")</f>
        <v/>
      </c>
      <c r="O2" s="6">
        <f>IFERROR($E2*VLOOKUP($D2,'原料主数据'!$A:$AN, 15, FALSE),"")</f>
        <v/>
      </c>
      <c r="P2" s="6">
        <f>IFERROR($E2*VLOOKUP($D2,'原料主数据'!$A:$AN, 16, FALSE),"")</f>
        <v/>
      </c>
      <c r="Q2" s="6">
        <f>IFERROR($E2*VLOOKUP($D2,'原料主数据'!$A:$AN, 17, FALSE),"")</f>
        <v/>
      </c>
      <c r="R2" s="6">
        <f>IFERROR($E2*VLOOKUP($D2,'原料主数据'!$A:$AN, 18, FALSE),"")</f>
        <v/>
      </c>
      <c r="S2" s="6">
        <f>IFERROR($E2*VLOOKUP($D2,'原料主数据'!$A:$AN, 19, FALSE),"")</f>
        <v/>
      </c>
      <c r="T2" s="6">
        <f>IFERROR($E2*VLOOKUP($D2,'原料主数据'!$A:$AN, 20, FALSE),"")</f>
        <v/>
      </c>
      <c r="U2" s="6">
        <f>IFERROR($E2*VLOOKUP($D2,'原料主数据'!$A:$AN, 21, FALSE),"")</f>
        <v/>
      </c>
      <c r="V2" s="6">
        <f>IFERROR($E2*VLOOKUP($D2,'原料主数据'!$A:$AN, 22, FALSE),"")</f>
        <v/>
      </c>
      <c r="W2" s="6">
        <f>IFERROR($E2*VLOOKUP($D2,'原料主数据'!$A:$AN, 23, FALSE),"")</f>
        <v/>
      </c>
      <c r="X2" s="6">
        <f>IFERROR($E2*VLOOKUP($D2,'原料主数据'!$A:$AN, 24, FALSE),"")</f>
        <v/>
      </c>
      <c r="Y2" s="6">
        <f>IFERROR($E2*VLOOKUP($D2,'原料主数据'!$A:$AN, 25, FALSE),"")</f>
        <v/>
      </c>
      <c r="Z2" s="6">
        <f>IFERROR($E2*VLOOKUP($D2,'原料主数据'!$A:$AN, 26, FALSE),"")</f>
        <v/>
      </c>
      <c r="AA2" s="6">
        <f>IFERROR($E2*VLOOKUP($D2,'原料主数据'!$A:$AN, 27, FALSE),"")</f>
        <v/>
      </c>
      <c r="AB2" s="6">
        <f>IFERROR($E2*VLOOKUP($D2,'原料主数据'!$A:$AN, 28, FALSE),"")</f>
        <v/>
      </c>
      <c r="AC2" s="6">
        <f>IFERROR($E2*VLOOKUP($D2,'原料主数据'!$A:$AN, 29, FALSE),"")</f>
        <v/>
      </c>
      <c r="AD2" s="6">
        <f>IFERROR($E2*VLOOKUP($D2,'原料主数据'!$A:$AN, 30, FALSE),"")</f>
        <v/>
      </c>
      <c r="AE2" s="6">
        <f>IFERROR($E2*VLOOKUP($D2,'原料主数据'!$A:$AN, 31, FALSE),"")</f>
        <v/>
      </c>
      <c r="AF2" s="6">
        <f>IFERROR($E2*VLOOKUP($D2,'原料主数据'!$A:$AN, 32, FALSE),"")</f>
        <v/>
      </c>
      <c r="AG2" s="6">
        <f>IFERROR($E2*VLOOKUP($D2,'原料主数据'!$A:$AN, 33, FALSE),"")</f>
        <v/>
      </c>
      <c r="AH2" s="6">
        <f>IFERROR($E2*VLOOKUP($D2,'原料主数据'!$A:$AN, 34, FALSE),"")</f>
        <v/>
      </c>
      <c r="AI2" s="6">
        <f>IFERROR($E2*VLOOKUP($D2,'原料主数据'!$A:$AN, 35, FALSE),"")</f>
        <v/>
      </c>
      <c r="AJ2" s="6">
        <f>IFERROR($E2*VLOOKUP($D2,'原料主数据'!$A:$AN, 36, FALSE),"")</f>
        <v/>
      </c>
      <c r="AK2" s="6">
        <f>IFERROR($E2*VLOOKUP($D2,'原料主数据'!$A:$AN, 37, FALSE),"")</f>
        <v/>
      </c>
      <c r="AL2" s="6">
        <f>IFERROR($E2*VLOOKUP($D2,'原料主数据'!$A:$AN, 38, FALSE),"")</f>
        <v/>
      </c>
      <c r="AM2" s="6">
        <f>IFERROR($E2*VLOOKUP($D2,'原料主数据'!$A:$AN, 39, FALSE),"")</f>
        <v/>
      </c>
    </row>
    <row r="3">
      <c r="A3" s="7" t="inlineStr">
        <is>
          <t>EP-0001</t>
        </is>
      </c>
      <c r="B3" s="7" t="inlineStr">
        <is>
          <t>EP-A</t>
        </is>
      </c>
      <c r="C3" s="7" t="inlineStr">
        <is>
          <t>环氧酚醛</t>
        </is>
      </c>
      <c r="D3" s="7" t="inlineStr">
        <is>
          <t>IR809</t>
        </is>
      </c>
      <c r="E3" s="7" t="n">
        <v>0.12</v>
      </c>
      <c r="F3" s="7">
        <f>IFERROR(VLOOKUP($D3,'原料主数据'!$A:$E,4,FALSE),"待登记")</f>
        <v/>
      </c>
      <c r="G3" s="7">
        <f>IFERROR(VLOOKUP($D3,'原料主数据'!$A:$E,5,FALSE),"待登记")</f>
        <v/>
      </c>
      <c r="H3" s="7">
        <f>IFERROR($E3*VLOOKUP($D3,'原料主数据'!$A:$AN, 8, FALSE),"")</f>
        <v/>
      </c>
      <c r="I3" s="7">
        <f>IFERROR($E3*VLOOKUP($D3,'原料主数据'!$A:$AN, 9, FALSE),"")</f>
        <v/>
      </c>
      <c r="J3" s="7">
        <f>IFERROR($E3*VLOOKUP($D3,'原料主数据'!$A:$AN, 10, FALSE),"")</f>
        <v/>
      </c>
      <c r="K3" s="7">
        <f>IFERROR($E3*VLOOKUP($D3,'原料主数据'!$A:$AN, 11, FALSE),"")</f>
        <v/>
      </c>
      <c r="L3" s="7">
        <f>IFERROR($E3*VLOOKUP($D3,'原料主数据'!$A:$AN, 12, FALSE),"")</f>
        <v/>
      </c>
      <c r="M3" s="7">
        <f>IFERROR($E3*VLOOKUP($D3,'原料主数据'!$A:$AN, 13, FALSE),"")</f>
        <v/>
      </c>
      <c r="N3" s="7">
        <f>IFERROR($E3*VLOOKUP($D3,'原料主数据'!$A:$AN, 14, FALSE),"")</f>
        <v/>
      </c>
      <c r="O3" s="7">
        <f>IFERROR($E3*VLOOKUP($D3,'原料主数据'!$A:$AN, 15, FALSE),"")</f>
        <v/>
      </c>
      <c r="P3" s="7">
        <f>IFERROR($E3*VLOOKUP($D3,'原料主数据'!$A:$AN, 16, FALSE),"")</f>
        <v/>
      </c>
      <c r="Q3" s="7">
        <f>IFERROR($E3*VLOOKUP($D3,'原料主数据'!$A:$AN, 17, FALSE),"")</f>
        <v/>
      </c>
      <c r="R3" s="7">
        <f>IFERROR($E3*VLOOKUP($D3,'原料主数据'!$A:$AN, 18, FALSE),"")</f>
        <v/>
      </c>
      <c r="S3" s="7">
        <f>IFERROR($E3*VLOOKUP($D3,'原料主数据'!$A:$AN, 19, FALSE),"")</f>
        <v/>
      </c>
      <c r="T3" s="7">
        <f>IFERROR($E3*VLOOKUP($D3,'原料主数据'!$A:$AN, 20, FALSE),"")</f>
        <v/>
      </c>
      <c r="U3" s="7">
        <f>IFERROR($E3*VLOOKUP($D3,'原料主数据'!$A:$AN, 21, FALSE),"")</f>
        <v/>
      </c>
      <c r="V3" s="7">
        <f>IFERROR($E3*VLOOKUP($D3,'原料主数据'!$A:$AN, 22, FALSE),"")</f>
        <v/>
      </c>
      <c r="W3" s="7">
        <f>IFERROR($E3*VLOOKUP($D3,'原料主数据'!$A:$AN, 23, FALSE),"")</f>
        <v/>
      </c>
      <c r="X3" s="7">
        <f>IFERROR($E3*VLOOKUP($D3,'原料主数据'!$A:$AN, 24, FALSE),"")</f>
        <v/>
      </c>
      <c r="Y3" s="7">
        <f>IFERROR($E3*VLOOKUP($D3,'原料主数据'!$A:$AN, 25, FALSE),"")</f>
        <v/>
      </c>
      <c r="Z3" s="7">
        <f>IFERROR($E3*VLOOKUP($D3,'原料主数据'!$A:$AN, 26, FALSE),"")</f>
        <v/>
      </c>
      <c r="AA3" s="7">
        <f>IFERROR($E3*VLOOKUP($D3,'原料主数据'!$A:$AN, 27, FALSE),"")</f>
        <v/>
      </c>
      <c r="AB3" s="7">
        <f>IFERROR($E3*VLOOKUP($D3,'原料主数据'!$A:$AN, 28, FALSE),"")</f>
        <v/>
      </c>
      <c r="AC3" s="7">
        <f>IFERROR($E3*VLOOKUP($D3,'原料主数据'!$A:$AN, 29, FALSE),"")</f>
        <v/>
      </c>
      <c r="AD3" s="7">
        <f>IFERROR($E3*VLOOKUP($D3,'原料主数据'!$A:$AN, 30, FALSE),"")</f>
        <v/>
      </c>
      <c r="AE3" s="7">
        <f>IFERROR($E3*VLOOKUP($D3,'原料主数据'!$A:$AN, 31, FALSE),"")</f>
        <v/>
      </c>
      <c r="AF3" s="7">
        <f>IFERROR($E3*VLOOKUP($D3,'原料主数据'!$A:$AN, 32, FALSE),"")</f>
        <v/>
      </c>
      <c r="AG3" s="7">
        <f>IFERROR($E3*VLOOKUP($D3,'原料主数据'!$A:$AN, 33, FALSE),"")</f>
        <v/>
      </c>
      <c r="AH3" s="7">
        <f>IFERROR($E3*VLOOKUP($D3,'原料主数据'!$A:$AN, 34, FALSE),"")</f>
        <v/>
      </c>
      <c r="AI3" s="7">
        <f>IFERROR($E3*VLOOKUP($D3,'原料主数据'!$A:$AN, 35, FALSE),"")</f>
        <v/>
      </c>
      <c r="AJ3" s="7">
        <f>IFERROR($E3*VLOOKUP($D3,'原料主数据'!$A:$AN, 36, FALSE),"")</f>
        <v/>
      </c>
      <c r="AK3" s="7">
        <f>IFERROR($E3*VLOOKUP($D3,'原料主数据'!$A:$AN, 37, FALSE),"")</f>
        <v/>
      </c>
      <c r="AL3" s="7">
        <f>IFERROR($E3*VLOOKUP($D3,'原料主数据'!$A:$AN, 38, FALSE),"")</f>
        <v/>
      </c>
      <c r="AM3" s="7">
        <f>IFERROR($E3*VLOOKUP($D3,'原料主数据'!$A:$AN, 39, FALSE),"")</f>
        <v/>
      </c>
    </row>
    <row r="4">
      <c r="A4" s="6" t="inlineStr">
        <is>
          <t>EP-0001</t>
        </is>
      </c>
      <c r="B4" s="6" t="inlineStr">
        <is>
          <t>EP-A</t>
        </is>
      </c>
      <c r="C4" s="6" t="inlineStr">
        <is>
          <t>环氧酚醛</t>
        </is>
      </c>
      <c r="D4" s="6" t="inlineStr">
        <is>
          <t>RF516</t>
        </is>
      </c>
      <c r="E4" s="6" t="n">
        <v>2.64</v>
      </c>
      <c r="F4" s="6">
        <f>IFERROR(VLOOKUP($D4,'原料主数据'!$A:$E,4,FALSE),"待登记")</f>
        <v/>
      </c>
      <c r="G4" s="6">
        <f>IFERROR(VLOOKUP($D4,'原料主数据'!$A:$E,5,FALSE),"待登记")</f>
        <v/>
      </c>
      <c r="H4" s="6">
        <f>IFERROR($E4*VLOOKUP($D4,'原料主数据'!$A:$AN, 8, FALSE),"")</f>
        <v/>
      </c>
      <c r="I4" s="6">
        <f>IFERROR($E4*VLOOKUP($D4,'原料主数据'!$A:$AN, 9, FALSE),"")</f>
        <v/>
      </c>
      <c r="J4" s="6">
        <f>IFERROR($E4*VLOOKUP($D4,'原料主数据'!$A:$AN, 10, FALSE),"")</f>
        <v/>
      </c>
      <c r="K4" s="6">
        <f>IFERROR($E4*VLOOKUP($D4,'原料主数据'!$A:$AN, 11, FALSE),"")</f>
        <v/>
      </c>
      <c r="L4" s="6">
        <f>IFERROR($E4*VLOOKUP($D4,'原料主数据'!$A:$AN, 12, FALSE),"")</f>
        <v/>
      </c>
      <c r="M4" s="6">
        <f>IFERROR($E4*VLOOKUP($D4,'原料主数据'!$A:$AN, 13, FALSE),"")</f>
        <v/>
      </c>
      <c r="N4" s="6">
        <f>IFERROR($E4*VLOOKUP($D4,'原料主数据'!$A:$AN, 14, FALSE),"")</f>
        <v/>
      </c>
      <c r="O4" s="6">
        <f>IFERROR($E4*VLOOKUP($D4,'原料主数据'!$A:$AN, 15, FALSE),"")</f>
        <v/>
      </c>
      <c r="P4" s="6">
        <f>IFERROR($E4*VLOOKUP($D4,'原料主数据'!$A:$AN, 16, FALSE),"")</f>
        <v/>
      </c>
      <c r="Q4" s="6">
        <f>IFERROR($E4*VLOOKUP($D4,'原料主数据'!$A:$AN, 17, FALSE),"")</f>
        <v/>
      </c>
      <c r="R4" s="6">
        <f>IFERROR($E4*VLOOKUP($D4,'原料主数据'!$A:$AN, 18, FALSE),"")</f>
        <v/>
      </c>
      <c r="S4" s="6">
        <f>IFERROR($E4*VLOOKUP($D4,'原料主数据'!$A:$AN, 19, FALSE),"")</f>
        <v/>
      </c>
      <c r="T4" s="6">
        <f>IFERROR($E4*VLOOKUP($D4,'原料主数据'!$A:$AN, 20, FALSE),"")</f>
        <v/>
      </c>
      <c r="U4" s="6">
        <f>IFERROR($E4*VLOOKUP($D4,'原料主数据'!$A:$AN, 21, FALSE),"")</f>
        <v/>
      </c>
      <c r="V4" s="6">
        <f>IFERROR($E4*VLOOKUP($D4,'原料主数据'!$A:$AN, 22, FALSE),"")</f>
        <v/>
      </c>
      <c r="W4" s="6">
        <f>IFERROR($E4*VLOOKUP($D4,'原料主数据'!$A:$AN, 23, FALSE),"")</f>
        <v/>
      </c>
      <c r="X4" s="6">
        <f>IFERROR($E4*VLOOKUP($D4,'原料主数据'!$A:$AN, 24, FALSE),"")</f>
        <v/>
      </c>
      <c r="Y4" s="6">
        <f>IFERROR($E4*VLOOKUP($D4,'原料主数据'!$A:$AN, 25, FALSE),"")</f>
        <v/>
      </c>
      <c r="Z4" s="6">
        <f>IFERROR($E4*VLOOKUP($D4,'原料主数据'!$A:$AN, 26, FALSE),"")</f>
        <v/>
      </c>
      <c r="AA4" s="6">
        <f>IFERROR($E4*VLOOKUP($D4,'原料主数据'!$A:$AN, 27, FALSE),"")</f>
        <v/>
      </c>
      <c r="AB4" s="6">
        <f>IFERROR($E4*VLOOKUP($D4,'原料主数据'!$A:$AN, 28, FALSE),"")</f>
        <v/>
      </c>
      <c r="AC4" s="6">
        <f>IFERROR($E4*VLOOKUP($D4,'原料主数据'!$A:$AN, 29, FALSE),"")</f>
        <v/>
      </c>
      <c r="AD4" s="6">
        <f>IFERROR($E4*VLOOKUP($D4,'原料主数据'!$A:$AN, 30, FALSE),"")</f>
        <v/>
      </c>
      <c r="AE4" s="6">
        <f>IFERROR($E4*VLOOKUP($D4,'原料主数据'!$A:$AN, 31, FALSE),"")</f>
        <v/>
      </c>
      <c r="AF4" s="6">
        <f>IFERROR($E4*VLOOKUP($D4,'原料主数据'!$A:$AN, 32, FALSE),"")</f>
        <v/>
      </c>
      <c r="AG4" s="6">
        <f>IFERROR($E4*VLOOKUP($D4,'原料主数据'!$A:$AN, 33, FALSE),"")</f>
        <v/>
      </c>
      <c r="AH4" s="6">
        <f>IFERROR($E4*VLOOKUP($D4,'原料主数据'!$A:$AN, 34, FALSE),"")</f>
        <v/>
      </c>
      <c r="AI4" s="6">
        <f>IFERROR($E4*VLOOKUP($D4,'原料主数据'!$A:$AN, 35, FALSE),"")</f>
        <v/>
      </c>
      <c r="AJ4" s="6">
        <f>IFERROR($E4*VLOOKUP($D4,'原料主数据'!$A:$AN, 36, FALSE),"")</f>
        <v/>
      </c>
      <c r="AK4" s="6">
        <f>IFERROR($E4*VLOOKUP($D4,'原料主数据'!$A:$AN, 37, FALSE),"")</f>
        <v/>
      </c>
      <c r="AL4" s="6">
        <f>IFERROR($E4*VLOOKUP($D4,'原料主数据'!$A:$AN, 38, FALSE),"")</f>
        <v/>
      </c>
      <c r="AM4" s="6">
        <f>IFERROR($E4*VLOOKUP($D4,'原料主数据'!$A:$AN, 39, FALSE),"")</f>
        <v/>
      </c>
    </row>
    <row r="5">
      <c r="A5" s="7" t="inlineStr">
        <is>
          <t>EP-0001</t>
        </is>
      </c>
      <c r="B5" s="7" t="inlineStr">
        <is>
          <t>EP-A</t>
        </is>
      </c>
      <c r="C5" s="7" t="inlineStr">
        <is>
          <t>环氧酚醛</t>
        </is>
      </c>
      <c r="D5" s="7" t="inlineStr">
        <is>
          <t>RF956</t>
        </is>
      </c>
      <c r="E5" s="7" t="n">
        <v>1.53</v>
      </c>
      <c r="F5" s="7">
        <f>IFERROR(VLOOKUP($D5,'原料主数据'!$A:$E,4,FALSE),"待登记")</f>
        <v/>
      </c>
      <c r="G5" s="7">
        <f>IFERROR(VLOOKUP($D5,'原料主数据'!$A:$E,5,FALSE),"待登记")</f>
        <v/>
      </c>
      <c r="H5" s="7">
        <f>IFERROR($E5*VLOOKUP($D5,'原料主数据'!$A:$AN, 8, FALSE),"")</f>
        <v/>
      </c>
      <c r="I5" s="7">
        <f>IFERROR($E5*VLOOKUP($D5,'原料主数据'!$A:$AN, 9, FALSE),"")</f>
        <v/>
      </c>
      <c r="J5" s="7">
        <f>IFERROR($E5*VLOOKUP($D5,'原料主数据'!$A:$AN, 10, FALSE),"")</f>
        <v/>
      </c>
      <c r="K5" s="7">
        <f>IFERROR($E5*VLOOKUP($D5,'原料主数据'!$A:$AN, 11, FALSE),"")</f>
        <v/>
      </c>
      <c r="L5" s="7">
        <f>IFERROR($E5*VLOOKUP($D5,'原料主数据'!$A:$AN, 12, FALSE),"")</f>
        <v/>
      </c>
      <c r="M5" s="7">
        <f>IFERROR($E5*VLOOKUP($D5,'原料主数据'!$A:$AN, 13, FALSE),"")</f>
        <v/>
      </c>
      <c r="N5" s="7">
        <f>IFERROR($E5*VLOOKUP($D5,'原料主数据'!$A:$AN, 14, FALSE),"")</f>
        <v/>
      </c>
      <c r="O5" s="7">
        <f>IFERROR($E5*VLOOKUP($D5,'原料主数据'!$A:$AN, 15, FALSE),"")</f>
        <v/>
      </c>
      <c r="P5" s="7">
        <f>IFERROR($E5*VLOOKUP($D5,'原料主数据'!$A:$AN, 16, FALSE),"")</f>
        <v/>
      </c>
      <c r="Q5" s="7">
        <f>IFERROR($E5*VLOOKUP($D5,'原料主数据'!$A:$AN, 17, FALSE),"")</f>
        <v/>
      </c>
      <c r="R5" s="7">
        <f>IFERROR($E5*VLOOKUP($D5,'原料主数据'!$A:$AN, 18, FALSE),"")</f>
        <v/>
      </c>
      <c r="S5" s="7">
        <f>IFERROR($E5*VLOOKUP($D5,'原料主数据'!$A:$AN, 19, FALSE),"")</f>
        <v/>
      </c>
      <c r="T5" s="7">
        <f>IFERROR($E5*VLOOKUP($D5,'原料主数据'!$A:$AN, 20, FALSE),"")</f>
        <v/>
      </c>
      <c r="U5" s="7">
        <f>IFERROR($E5*VLOOKUP($D5,'原料主数据'!$A:$AN, 21, FALSE),"")</f>
        <v/>
      </c>
      <c r="V5" s="7">
        <f>IFERROR($E5*VLOOKUP($D5,'原料主数据'!$A:$AN, 22, FALSE),"")</f>
        <v/>
      </c>
      <c r="W5" s="7">
        <f>IFERROR($E5*VLOOKUP($D5,'原料主数据'!$A:$AN, 23, FALSE),"")</f>
        <v/>
      </c>
      <c r="X5" s="7">
        <f>IFERROR($E5*VLOOKUP($D5,'原料主数据'!$A:$AN, 24, FALSE),"")</f>
        <v/>
      </c>
      <c r="Y5" s="7">
        <f>IFERROR($E5*VLOOKUP($D5,'原料主数据'!$A:$AN, 25, FALSE),"")</f>
        <v/>
      </c>
      <c r="Z5" s="7">
        <f>IFERROR($E5*VLOOKUP($D5,'原料主数据'!$A:$AN, 26, FALSE),"")</f>
        <v/>
      </c>
      <c r="AA5" s="7">
        <f>IFERROR($E5*VLOOKUP($D5,'原料主数据'!$A:$AN, 27, FALSE),"")</f>
        <v/>
      </c>
      <c r="AB5" s="7">
        <f>IFERROR($E5*VLOOKUP($D5,'原料主数据'!$A:$AN, 28, FALSE),"")</f>
        <v/>
      </c>
      <c r="AC5" s="7">
        <f>IFERROR($E5*VLOOKUP($D5,'原料主数据'!$A:$AN, 29, FALSE),"")</f>
        <v/>
      </c>
      <c r="AD5" s="7">
        <f>IFERROR($E5*VLOOKUP($D5,'原料主数据'!$A:$AN, 30, FALSE),"")</f>
        <v/>
      </c>
      <c r="AE5" s="7">
        <f>IFERROR($E5*VLOOKUP($D5,'原料主数据'!$A:$AN, 31, FALSE),"")</f>
        <v/>
      </c>
      <c r="AF5" s="7">
        <f>IFERROR($E5*VLOOKUP($D5,'原料主数据'!$A:$AN, 32, FALSE),"")</f>
        <v/>
      </c>
      <c r="AG5" s="7">
        <f>IFERROR($E5*VLOOKUP($D5,'原料主数据'!$A:$AN, 33, FALSE),"")</f>
        <v/>
      </c>
      <c r="AH5" s="7">
        <f>IFERROR($E5*VLOOKUP($D5,'原料主数据'!$A:$AN, 34, FALSE),"")</f>
        <v/>
      </c>
      <c r="AI5" s="7">
        <f>IFERROR($E5*VLOOKUP($D5,'原料主数据'!$A:$AN, 35, FALSE),"")</f>
        <v/>
      </c>
      <c r="AJ5" s="7">
        <f>IFERROR($E5*VLOOKUP($D5,'原料主数据'!$A:$AN, 36, FALSE),"")</f>
        <v/>
      </c>
      <c r="AK5" s="7">
        <f>IFERROR($E5*VLOOKUP($D5,'原料主数据'!$A:$AN, 37, FALSE),"")</f>
        <v/>
      </c>
      <c r="AL5" s="7">
        <f>IFERROR($E5*VLOOKUP($D5,'原料主数据'!$A:$AN, 38, FALSE),"")</f>
        <v/>
      </c>
      <c r="AM5" s="7">
        <f>IFERROR($E5*VLOOKUP($D5,'原料主数据'!$A:$AN, 39, FALSE),"")</f>
        <v/>
      </c>
    </row>
    <row r="6">
      <c r="A6" s="6" t="inlineStr">
        <is>
          <t>EP-0001</t>
        </is>
      </c>
      <c r="B6" s="6" t="inlineStr">
        <is>
          <t>EP-A</t>
        </is>
      </c>
      <c r="C6" s="6" t="inlineStr">
        <is>
          <t>环氧酚醛</t>
        </is>
      </c>
      <c r="D6" s="6" t="inlineStr">
        <is>
          <t>1510蜡</t>
        </is>
      </c>
      <c r="E6" s="6" t="n">
        <v>0.79</v>
      </c>
      <c r="F6" s="6">
        <f>IFERROR(VLOOKUP($D6,'原料主数据'!$A:$E,4,FALSE),"待登记")</f>
        <v/>
      </c>
      <c r="G6" s="6">
        <f>IFERROR(VLOOKUP($D6,'原料主数据'!$A:$E,5,FALSE),"待登记")</f>
        <v/>
      </c>
      <c r="H6" s="6">
        <f>IFERROR($E6*VLOOKUP($D6,'原料主数据'!$A:$AN, 8, FALSE),"")</f>
        <v/>
      </c>
      <c r="I6" s="6">
        <f>IFERROR($E6*VLOOKUP($D6,'原料主数据'!$A:$AN, 9, FALSE),"")</f>
        <v/>
      </c>
      <c r="J6" s="6">
        <f>IFERROR($E6*VLOOKUP($D6,'原料主数据'!$A:$AN, 10, FALSE),"")</f>
        <v/>
      </c>
      <c r="K6" s="6">
        <f>IFERROR($E6*VLOOKUP($D6,'原料主数据'!$A:$AN, 11, FALSE),"")</f>
        <v/>
      </c>
      <c r="L6" s="6">
        <f>IFERROR($E6*VLOOKUP($D6,'原料主数据'!$A:$AN, 12, FALSE),"")</f>
        <v/>
      </c>
      <c r="M6" s="6">
        <f>IFERROR($E6*VLOOKUP($D6,'原料主数据'!$A:$AN, 13, FALSE),"")</f>
        <v/>
      </c>
      <c r="N6" s="6">
        <f>IFERROR($E6*VLOOKUP($D6,'原料主数据'!$A:$AN, 14, FALSE),"")</f>
        <v/>
      </c>
      <c r="O6" s="6">
        <f>IFERROR($E6*VLOOKUP($D6,'原料主数据'!$A:$AN, 15, FALSE),"")</f>
        <v/>
      </c>
      <c r="P6" s="6">
        <f>IFERROR($E6*VLOOKUP($D6,'原料主数据'!$A:$AN, 16, FALSE),"")</f>
        <v/>
      </c>
      <c r="Q6" s="6">
        <f>IFERROR($E6*VLOOKUP($D6,'原料主数据'!$A:$AN, 17, FALSE),"")</f>
        <v/>
      </c>
      <c r="R6" s="6">
        <f>IFERROR($E6*VLOOKUP($D6,'原料主数据'!$A:$AN, 18, FALSE),"")</f>
        <v/>
      </c>
      <c r="S6" s="6">
        <f>IFERROR($E6*VLOOKUP($D6,'原料主数据'!$A:$AN, 19, FALSE),"")</f>
        <v/>
      </c>
      <c r="T6" s="6">
        <f>IFERROR($E6*VLOOKUP($D6,'原料主数据'!$A:$AN, 20, FALSE),"")</f>
        <v/>
      </c>
      <c r="U6" s="6">
        <f>IFERROR($E6*VLOOKUP($D6,'原料主数据'!$A:$AN, 21, FALSE),"")</f>
        <v/>
      </c>
      <c r="V6" s="6">
        <f>IFERROR($E6*VLOOKUP($D6,'原料主数据'!$A:$AN, 22, FALSE),"")</f>
        <v/>
      </c>
      <c r="W6" s="6">
        <f>IFERROR($E6*VLOOKUP($D6,'原料主数据'!$A:$AN, 23, FALSE),"")</f>
        <v/>
      </c>
      <c r="X6" s="6">
        <f>IFERROR($E6*VLOOKUP($D6,'原料主数据'!$A:$AN, 24, FALSE),"")</f>
        <v/>
      </c>
      <c r="Y6" s="6">
        <f>IFERROR($E6*VLOOKUP($D6,'原料主数据'!$A:$AN, 25, FALSE),"")</f>
        <v/>
      </c>
      <c r="Z6" s="6">
        <f>IFERROR($E6*VLOOKUP($D6,'原料主数据'!$A:$AN, 26, FALSE),"")</f>
        <v/>
      </c>
      <c r="AA6" s="6">
        <f>IFERROR($E6*VLOOKUP($D6,'原料主数据'!$A:$AN, 27, FALSE),"")</f>
        <v/>
      </c>
      <c r="AB6" s="6">
        <f>IFERROR($E6*VLOOKUP($D6,'原料主数据'!$A:$AN, 28, FALSE),"")</f>
        <v/>
      </c>
      <c r="AC6" s="6">
        <f>IFERROR($E6*VLOOKUP($D6,'原料主数据'!$A:$AN, 29, FALSE),"")</f>
        <v/>
      </c>
      <c r="AD6" s="6">
        <f>IFERROR($E6*VLOOKUP($D6,'原料主数据'!$A:$AN, 30, FALSE),"")</f>
        <v/>
      </c>
      <c r="AE6" s="6">
        <f>IFERROR($E6*VLOOKUP($D6,'原料主数据'!$A:$AN, 31, FALSE),"")</f>
        <v/>
      </c>
      <c r="AF6" s="6">
        <f>IFERROR($E6*VLOOKUP($D6,'原料主数据'!$A:$AN, 32, FALSE),"")</f>
        <v/>
      </c>
      <c r="AG6" s="6">
        <f>IFERROR($E6*VLOOKUP($D6,'原料主数据'!$A:$AN, 33, FALSE),"")</f>
        <v/>
      </c>
      <c r="AH6" s="6">
        <f>IFERROR($E6*VLOOKUP($D6,'原料主数据'!$A:$AN, 34, FALSE),"")</f>
        <v/>
      </c>
      <c r="AI6" s="6">
        <f>IFERROR($E6*VLOOKUP($D6,'原料主数据'!$A:$AN, 35, FALSE),"")</f>
        <v/>
      </c>
      <c r="AJ6" s="6">
        <f>IFERROR($E6*VLOOKUP($D6,'原料主数据'!$A:$AN, 36, FALSE),"")</f>
        <v/>
      </c>
      <c r="AK6" s="6">
        <f>IFERROR($E6*VLOOKUP($D6,'原料主数据'!$A:$AN, 37, FALSE),"")</f>
        <v/>
      </c>
      <c r="AL6" s="6">
        <f>IFERROR($E6*VLOOKUP($D6,'原料主数据'!$A:$AN, 38, FALSE),"")</f>
        <v/>
      </c>
      <c r="AM6" s="6">
        <f>IFERROR($E6*VLOOKUP($D6,'原料主数据'!$A:$AN, 39, FALSE),"")</f>
        <v/>
      </c>
    </row>
    <row r="7">
      <c r="A7" s="7" t="inlineStr">
        <is>
          <t>EP-0001</t>
        </is>
      </c>
      <c r="B7" s="7" t="inlineStr">
        <is>
          <t>EP-A</t>
        </is>
      </c>
      <c r="C7" s="7" t="inlineStr">
        <is>
          <t>环氧酚醛</t>
        </is>
      </c>
      <c r="D7" s="7" t="inlineStr">
        <is>
          <t>AZ088</t>
        </is>
      </c>
      <c r="E7" s="7" t="n">
        <v>0.06</v>
      </c>
      <c r="F7" s="7">
        <f>IFERROR(VLOOKUP($D7,'原料主数据'!$A:$E,4,FALSE),"待登记")</f>
        <v/>
      </c>
      <c r="G7" s="7">
        <f>IFERROR(VLOOKUP($D7,'原料主数据'!$A:$E,5,FALSE),"待登记")</f>
        <v/>
      </c>
      <c r="H7" s="7">
        <f>IFERROR($E7*VLOOKUP($D7,'原料主数据'!$A:$AN, 8, FALSE),"")</f>
        <v/>
      </c>
      <c r="I7" s="7">
        <f>IFERROR($E7*VLOOKUP($D7,'原料主数据'!$A:$AN, 9, FALSE),"")</f>
        <v/>
      </c>
      <c r="J7" s="7">
        <f>IFERROR($E7*VLOOKUP($D7,'原料主数据'!$A:$AN, 10, FALSE),"")</f>
        <v/>
      </c>
      <c r="K7" s="7">
        <f>IFERROR($E7*VLOOKUP($D7,'原料主数据'!$A:$AN, 11, FALSE),"")</f>
        <v/>
      </c>
      <c r="L7" s="7">
        <f>IFERROR($E7*VLOOKUP($D7,'原料主数据'!$A:$AN, 12, FALSE),"")</f>
        <v/>
      </c>
      <c r="M7" s="7">
        <f>IFERROR($E7*VLOOKUP($D7,'原料主数据'!$A:$AN, 13, FALSE),"")</f>
        <v/>
      </c>
      <c r="N7" s="7">
        <f>IFERROR($E7*VLOOKUP($D7,'原料主数据'!$A:$AN, 14, FALSE),"")</f>
        <v/>
      </c>
      <c r="O7" s="7">
        <f>IFERROR($E7*VLOOKUP($D7,'原料主数据'!$A:$AN, 15, FALSE),"")</f>
        <v/>
      </c>
      <c r="P7" s="7">
        <f>IFERROR($E7*VLOOKUP($D7,'原料主数据'!$A:$AN, 16, FALSE),"")</f>
        <v/>
      </c>
      <c r="Q7" s="7">
        <f>IFERROR($E7*VLOOKUP($D7,'原料主数据'!$A:$AN, 17, FALSE),"")</f>
        <v/>
      </c>
      <c r="R7" s="7">
        <f>IFERROR($E7*VLOOKUP($D7,'原料主数据'!$A:$AN, 18, FALSE),"")</f>
        <v/>
      </c>
      <c r="S7" s="7">
        <f>IFERROR($E7*VLOOKUP($D7,'原料主数据'!$A:$AN, 19, FALSE),"")</f>
        <v/>
      </c>
      <c r="T7" s="7">
        <f>IFERROR($E7*VLOOKUP($D7,'原料主数据'!$A:$AN, 20, FALSE),"")</f>
        <v/>
      </c>
      <c r="U7" s="7">
        <f>IFERROR($E7*VLOOKUP($D7,'原料主数据'!$A:$AN, 21, FALSE),"")</f>
        <v/>
      </c>
      <c r="V7" s="7">
        <f>IFERROR($E7*VLOOKUP($D7,'原料主数据'!$A:$AN, 22, FALSE),"")</f>
        <v/>
      </c>
      <c r="W7" s="7">
        <f>IFERROR($E7*VLOOKUP($D7,'原料主数据'!$A:$AN, 23, FALSE),"")</f>
        <v/>
      </c>
      <c r="X7" s="7">
        <f>IFERROR($E7*VLOOKUP($D7,'原料主数据'!$A:$AN, 24, FALSE),"")</f>
        <v/>
      </c>
      <c r="Y7" s="7">
        <f>IFERROR($E7*VLOOKUP($D7,'原料主数据'!$A:$AN, 25, FALSE),"")</f>
        <v/>
      </c>
      <c r="Z7" s="7">
        <f>IFERROR($E7*VLOOKUP($D7,'原料主数据'!$A:$AN, 26, FALSE),"")</f>
        <v/>
      </c>
      <c r="AA7" s="7">
        <f>IFERROR($E7*VLOOKUP($D7,'原料主数据'!$A:$AN, 27, FALSE),"")</f>
        <v/>
      </c>
      <c r="AB7" s="7">
        <f>IFERROR($E7*VLOOKUP($D7,'原料主数据'!$A:$AN, 28, FALSE),"")</f>
        <v/>
      </c>
      <c r="AC7" s="7">
        <f>IFERROR($E7*VLOOKUP($D7,'原料主数据'!$A:$AN, 29, FALSE),"")</f>
        <v/>
      </c>
      <c r="AD7" s="7">
        <f>IFERROR($E7*VLOOKUP($D7,'原料主数据'!$A:$AN, 30, FALSE),"")</f>
        <v/>
      </c>
      <c r="AE7" s="7">
        <f>IFERROR($E7*VLOOKUP($D7,'原料主数据'!$A:$AN, 31, FALSE),"")</f>
        <v/>
      </c>
      <c r="AF7" s="7">
        <f>IFERROR($E7*VLOOKUP($D7,'原料主数据'!$A:$AN, 32, FALSE),"")</f>
        <v/>
      </c>
      <c r="AG7" s="7">
        <f>IFERROR($E7*VLOOKUP($D7,'原料主数据'!$A:$AN, 33, FALSE),"")</f>
        <v/>
      </c>
      <c r="AH7" s="7">
        <f>IFERROR($E7*VLOOKUP($D7,'原料主数据'!$A:$AN, 34, FALSE),"")</f>
        <v/>
      </c>
      <c r="AI7" s="7">
        <f>IFERROR($E7*VLOOKUP($D7,'原料主数据'!$A:$AN, 35, FALSE),"")</f>
        <v/>
      </c>
      <c r="AJ7" s="7">
        <f>IFERROR($E7*VLOOKUP($D7,'原料主数据'!$A:$AN, 36, FALSE),"")</f>
        <v/>
      </c>
      <c r="AK7" s="7">
        <f>IFERROR($E7*VLOOKUP($D7,'原料主数据'!$A:$AN, 37, FALSE),"")</f>
        <v/>
      </c>
      <c r="AL7" s="7">
        <f>IFERROR($E7*VLOOKUP($D7,'原料主数据'!$A:$AN, 38, FALSE),"")</f>
        <v/>
      </c>
      <c r="AM7" s="7">
        <f>IFERROR($E7*VLOOKUP($D7,'原料主数据'!$A:$AN, 39, FALSE),"")</f>
        <v/>
      </c>
    </row>
    <row r="8">
      <c r="A8" s="6" t="inlineStr">
        <is>
          <t>EP-0001</t>
        </is>
      </c>
      <c r="B8" s="6" t="inlineStr">
        <is>
          <t>EP-A</t>
        </is>
      </c>
      <c r="C8" s="6" t="inlineStr">
        <is>
          <t>环氧酚醛</t>
        </is>
      </c>
      <c r="D8" s="6" t="inlineStr">
        <is>
          <t>正丁醇</t>
        </is>
      </c>
      <c r="E8" s="6" t="n">
        <v>1.48</v>
      </c>
      <c r="F8" s="6">
        <f>IFERROR(VLOOKUP($D8,'原料主数据'!$A:$E,4,FALSE),"待登记")</f>
        <v/>
      </c>
      <c r="G8" s="6">
        <f>IFERROR(VLOOKUP($D8,'原料主数据'!$A:$E,5,FALSE),"待登记")</f>
        <v/>
      </c>
      <c r="H8" s="6">
        <f>IFERROR($E8*VLOOKUP($D8,'原料主数据'!$A:$AN, 8, FALSE),"")</f>
        <v/>
      </c>
      <c r="I8" s="6">
        <f>IFERROR($E8*VLOOKUP($D8,'原料主数据'!$A:$AN, 9, FALSE),"")</f>
        <v/>
      </c>
      <c r="J8" s="6">
        <f>IFERROR($E8*VLOOKUP($D8,'原料主数据'!$A:$AN, 10, FALSE),"")</f>
        <v/>
      </c>
      <c r="K8" s="6">
        <f>IFERROR($E8*VLOOKUP($D8,'原料主数据'!$A:$AN, 11, FALSE),"")</f>
        <v/>
      </c>
      <c r="L8" s="6">
        <f>IFERROR($E8*VLOOKUP($D8,'原料主数据'!$A:$AN, 12, FALSE),"")</f>
        <v/>
      </c>
      <c r="M8" s="6">
        <f>IFERROR($E8*VLOOKUP($D8,'原料主数据'!$A:$AN, 13, FALSE),"")</f>
        <v/>
      </c>
      <c r="N8" s="6">
        <f>IFERROR($E8*VLOOKUP($D8,'原料主数据'!$A:$AN, 14, FALSE),"")</f>
        <v/>
      </c>
      <c r="O8" s="6">
        <f>IFERROR($E8*VLOOKUP($D8,'原料主数据'!$A:$AN, 15, FALSE),"")</f>
        <v/>
      </c>
      <c r="P8" s="6">
        <f>IFERROR($E8*VLOOKUP($D8,'原料主数据'!$A:$AN, 16, FALSE),"")</f>
        <v/>
      </c>
      <c r="Q8" s="6">
        <f>IFERROR($E8*VLOOKUP($D8,'原料主数据'!$A:$AN, 17, FALSE),"")</f>
        <v/>
      </c>
      <c r="R8" s="6">
        <f>IFERROR($E8*VLOOKUP($D8,'原料主数据'!$A:$AN, 18, FALSE),"")</f>
        <v/>
      </c>
      <c r="S8" s="6">
        <f>IFERROR($E8*VLOOKUP($D8,'原料主数据'!$A:$AN, 19, FALSE),"")</f>
        <v/>
      </c>
      <c r="T8" s="6">
        <f>IFERROR($E8*VLOOKUP($D8,'原料主数据'!$A:$AN, 20, FALSE),"")</f>
        <v/>
      </c>
      <c r="U8" s="6">
        <f>IFERROR($E8*VLOOKUP($D8,'原料主数据'!$A:$AN, 21, FALSE),"")</f>
        <v/>
      </c>
      <c r="V8" s="6">
        <f>IFERROR($E8*VLOOKUP($D8,'原料主数据'!$A:$AN, 22, FALSE),"")</f>
        <v/>
      </c>
      <c r="W8" s="6">
        <f>IFERROR($E8*VLOOKUP($D8,'原料主数据'!$A:$AN, 23, FALSE),"")</f>
        <v/>
      </c>
      <c r="X8" s="6">
        <f>IFERROR($E8*VLOOKUP($D8,'原料主数据'!$A:$AN, 24, FALSE),"")</f>
        <v/>
      </c>
      <c r="Y8" s="6">
        <f>IFERROR($E8*VLOOKUP($D8,'原料主数据'!$A:$AN, 25, FALSE),"")</f>
        <v/>
      </c>
      <c r="Z8" s="6">
        <f>IFERROR($E8*VLOOKUP($D8,'原料主数据'!$A:$AN, 26, FALSE),"")</f>
        <v/>
      </c>
      <c r="AA8" s="6">
        <f>IFERROR($E8*VLOOKUP($D8,'原料主数据'!$A:$AN, 27, FALSE),"")</f>
        <v/>
      </c>
      <c r="AB8" s="6">
        <f>IFERROR($E8*VLOOKUP($D8,'原料主数据'!$A:$AN, 28, FALSE),"")</f>
        <v/>
      </c>
      <c r="AC8" s="6">
        <f>IFERROR($E8*VLOOKUP($D8,'原料主数据'!$A:$AN, 29, FALSE),"")</f>
        <v/>
      </c>
      <c r="AD8" s="6">
        <f>IFERROR($E8*VLOOKUP($D8,'原料主数据'!$A:$AN, 30, FALSE),"")</f>
        <v/>
      </c>
      <c r="AE8" s="6">
        <f>IFERROR($E8*VLOOKUP($D8,'原料主数据'!$A:$AN, 31, FALSE),"")</f>
        <v/>
      </c>
      <c r="AF8" s="6">
        <f>IFERROR($E8*VLOOKUP($D8,'原料主数据'!$A:$AN, 32, FALSE),"")</f>
        <v/>
      </c>
      <c r="AG8" s="6">
        <f>IFERROR($E8*VLOOKUP($D8,'原料主数据'!$A:$AN, 33, FALSE),"")</f>
        <v/>
      </c>
      <c r="AH8" s="6">
        <f>IFERROR($E8*VLOOKUP($D8,'原料主数据'!$A:$AN, 34, FALSE),"")</f>
        <v/>
      </c>
      <c r="AI8" s="6">
        <f>IFERROR($E8*VLOOKUP($D8,'原料主数据'!$A:$AN, 35, FALSE),"")</f>
        <v/>
      </c>
      <c r="AJ8" s="6">
        <f>IFERROR($E8*VLOOKUP($D8,'原料主数据'!$A:$AN, 36, FALSE),"")</f>
        <v/>
      </c>
      <c r="AK8" s="6">
        <f>IFERROR($E8*VLOOKUP($D8,'原料主数据'!$A:$AN, 37, FALSE),"")</f>
        <v/>
      </c>
      <c r="AL8" s="6">
        <f>IFERROR($E8*VLOOKUP($D8,'原料主数据'!$A:$AN, 38, FALSE),"")</f>
        <v/>
      </c>
      <c r="AM8" s="6">
        <f>IFERROR($E8*VLOOKUP($D8,'原料主数据'!$A:$AN, 39, FALSE),"")</f>
        <v/>
      </c>
    </row>
    <row r="9">
      <c r="A9" s="7" t="inlineStr">
        <is>
          <t>EP-0001</t>
        </is>
      </c>
      <c r="B9" s="7" t="inlineStr">
        <is>
          <t>EP-A</t>
        </is>
      </c>
      <c r="C9" s="7" t="inlineStr">
        <is>
          <t>环氧酚醛</t>
        </is>
      </c>
      <c r="D9" s="7" t="inlineStr">
        <is>
          <t>补加混合液</t>
        </is>
      </c>
      <c r="E9" s="7" t="n">
        <v>1.27</v>
      </c>
      <c r="F9" s="7">
        <f>IFERROR(VLOOKUP($D9,'原料主数据'!$A:$E,4,FALSE),"待登记")</f>
        <v/>
      </c>
      <c r="G9" s="7">
        <f>IFERROR(VLOOKUP($D9,'原料主数据'!$A:$E,5,FALSE),"待登记")</f>
        <v/>
      </c>
      <c r="H9" s="7">
        <f>IFERROR($E9*VLOOKUP($D9,'原料主数据'!$A:$AN, 8, FALSE),"")</f>
        <v/>
      </c>
      <c r="I9" s="7">
        <f>IFERROR($E9*VLOOKUP($D9,'原料主数据'!$A:$AN, 9, FALSE),"")</f>
        <v/>
      </c>
      <c r="J9" s="7">
        <f>IFERROR($E9*VLOOKUP($D9,'原料主数据'!$A:$AN, 10, FALSE),"")</f>
        <v/>
      </c>
      <c r="K9" s="7">
        <f>IFERROR($E9*VLOOKUP($D9,'原料主数据'!$A:$AN, 11, FALSE),"")</f>
        <v/>
      </c>
      <c r="L9" s="7">
        <f>IFERROR($E9*VLOOKUP($D9,'原料主数据'!$A:$AN, 12, FALSE),"")</f>
        <v/>
      </c>
      <c r="M9" s="7">
        <f>IFERROR($E9*VLOOKUP($D9,'原料主数据'!$A:$AN, 13, FALSE),"")</f>
        <v/>
      </c>
      <c r="N9" s="7">
        <f>IFERROR($E9*VLOOKUP($D9,'原料主数据'!$A:$AN, 14, FALSE),"")</f>
        <v/>
      </c>
      <c r="O9" s="7">
        <f>IFERROR($E9*VLOOKUP($D9,'原料主数据'!$A:$AN, 15, FALSE),"")</f>
        <v/>
      </c>
      <c r="P9" s="7">
        <f>IFERROR($E9*VLOOKUP($D9,'原料主数据'!$A:$AN, 16, FALSE),"")</f>
        <v/>
      </c>
      <c r="Q9" s="7">
        <f>IFERROR($E9*VLOOKUP($D9,'原料主数据'!$A:$AN, 17, FALSE),"")</f>
        <v/>
      </c>
      <c r="R9" s="7">
        <f>IFERROR($E9*VLOOKUP($D9,'原料主数据'!$A:$AN, 18, FALSE),"")</f>
        <v/>
      </c>
      <c r="S9" s="7">
        <f>IFERROR($E9*VLOOKUP($D9,'原料主数据'!$A:$AN, 19, FALSE),"")</f>
        <v/>
      </c>
      <c r="T9" s="7">
        <f>IFERROR($E9*VLOOKUP($D9,'原料主数据'!$A:$AN, 20, FALSE),"")</f>
        <v/>
      </c>
      <c r="U9" s="7">
        <f>IFERROR($E9*VLOOKUP($D9,'原料主数据'!$A:$AN, 21, FALSE),"")</f>
        <v/>
      </c>
      <c r="V9" s="7">
        <f>IFERROR($E9*VLOOKUP($D9,'原料主数据'!$A:$AN, 22, FALSE),"")</f>
        <v/>
      </c>
      <c r="W9" s="7">
        <f>IFERROR($E9*VLOOKUP($D9,'原料主数据'!$A:$AN, 23, FALSE),"")</f>
        <v/>
      </c>
      <c r="X9" s="7">
        <f>IFERROR($E9*VLOOKUP($D9,'原料主数据'!$A:$AN, 24, FALSE),"")</f>
        <v/>
      </c>
      <c r="Y9" s="7">
        <f>IFERROR($E9*VLOOKUP($D9,'原料主数据'!$A:$AN, 25, FALSE),"")</f>
        <v/>
      </c>
      <c r="Z9" s="7">
        <f>IFERROR($E9*VLOOKUP($D9,'原料主数据'!$A:$AN, 26, FALSE),"")</f>
        <v/>
      </c>
      <c r="AA9" s="7">
        <f>IFERROR($E9*VLOOKUP($D9,'原料主数据'!$A:$AN, 27, FALSE),"")</f>
        <v/>
      </c>
      <c r="AB9" s="7">
        <f>IFERROR($E9*VLOOKUP($D9,'原料主数据'!$A:$AN, 28, FALSE),"")</f>
        <v/>
      </c>
      <c r="AC9" s="7">
        <f>IFERROR($E9*VLOOKUP($D9,'原料主数据'!$A:$AN, 29, FALSE),"")</f>
        <v/>
      </c>
      <c r="AD9" s="7">
        <f>IFERROR($E9*VLOOKUP($D9,'原料主数据'!$A:$AN, 30, FALSE),"")</f>
        <v/>
      </c>
      <c r="AE9" s="7">
        <f>IFERROR($E9*VLOOKUP($D9,'原料主数据'!$A:$AN, 31, FALSE),"")</f>
        <v/>
      </c>
      <c r="AF9" s="7">
        <f>IFERROR($E9*VLOOKUP($D9,'原料主数据'!$A:$AN, 32, FALSE),"")</f>
        <v/>
      </c>
      <c r="AG9" s="7">
        <f>IFERROR($E9*VLOOKUP($D9,'原料主数据'!$A:$AN, 33, FALSE),"")</f>
        <v/>
      </c>
      <c r="AH9" s="7">
        <f>IFERROR($E9*VLOOKUP($D9,'原料主数据'!$A:$AN, 34, FALSE),"")</f>
        <v/>
      </c>
      <c r="AI9" s="7">
        <f>IFERROR($E9*VLOOKUP($D9,'原料主数据'!$A:$AN, 35, FALSE),"")</f>
        <v/>
      </c>
      <c r="AJ9" s="7">
        <f>IFERROR($E9*VLOOKUP($D9,'原料主数据'!$A:$AN, 36, FALSE),"")</f>
        <v/>
      </c>
      <c r="AK9" s="7">
        <f>IFERROR($E9*VLOOKUP($D9,'原料主数据'!$A:$AN, 37, FALSE),"")</f>
        <v/>
      </c>
      <c r="AL9" s="7">
        <f>IFERROR($E9*VLOOKUP($D9,'原料主数据'!$A:$AN, 38, FALSE),"")</f>
        <v/>
      </c>
      <c r="AM9" s="7">
        <f>IFERROR($E9*VLOOKUP($D9,'原料主数据'!$A:$AN, 39, FALSE),"")</f>
        <v/>
      </c>
    </row>
    <row r="10">
      <c r="A10" s="6" t="inlineStr">
        <is>
          <t>EP-0002</t>
        </is>
      </c>
      <c r="B10" s="6" t="inlineStr">
        <is>
          <t>EP-A</t>
        </is>
      </c>
      <c r="C10" s="6" t="inlineStr">
        <is>
          <t>环氧酚醛</t>
        </is>
      </c>
      <c r="D10" s="6" t="inlineStr">
        <is>
          <t>IR190</t>
        </is>
      </c>
      <c r="E10" s="6" t="n">
        <v>66.09</v>
      </c>
      <c r="F10" s="6">
        <f>IFERROR(VLOOKUP($D10,'原料主数据'!$A:$E,4,FALSE),"待登记")</f>
        <v/>
      </c>
      <c r="G10" s="6">
        <f>IFERROR(VLOOKUP($D10,'原料主数据'!$A:$E,5,FALSE),"待登记")</f>
        <v/>
      </c>
      <c r="H10" s="6">
        <f>IFERROR($E10*VLOOKUP($D10,'原料主数据'!$A:$AN, 8, FALSE),"")</f>
        <v/>
      </c>
      <c r="I10" s="6">
        <f>IFERROR($E10*VLOOKUP($D10,'原料主数据'!$A:$AN, 9, FALSE),"")</f>
        <v/>
      </c>
      <c r="J10" s="6">
        <f>IFERROR($E10*VLOOKUP($D10,'原料主数据'!$A:$AN, 10, FALSE),"")</f>
        <v/>
      </c>
      <c r="K10" s="6">
        <f>IFERROR($E10*VLOOKUP($D10,'原料主数据'!$A:$AN, 11, FALSE),"")</f>
        <v/>
      </c>
      <c r="L10" s="6">
        <f>IFERROR($E10*VLOOKUP($D10,'原料主数据'!$A:$AN, 12, FALSE),"")</f>
        <v/>
      </c>
      <c r="M10" s="6">
        <f>IFERROR($E10*VLOOKUP($D10,'原料主数据'!$A:$AN, 13, FALSE),"")</f>
        <v/>
      </c>
      <c r="N10" s="6">
        <f>IFERROR($E10*VLOOKUP($D10,'原料主数据'!$A:$AN, 14, FALSE),"")</f>
        <v/>
      </c>
      <c r="O10" s="6">
        <f>IFERROR($E10*VLOOKUP($D10,'原料主数据'!$A:$AN, 15, FALSE),"")</f>
        <v/>
      </c>
      <c r="P10" s="6">
        <f>IFERROR($E10*VLOOKUP($D10,'原料主数据'!$A:$AN, 16, FALSE),"")</f>
        <v/>
      </c>
      <c r="Q10" s="6">
        <f>IFERROR($E10*VLOOKUP($D10,'原料主数据'!$A:$AN, 17, FALSE),"")</f>
        <v/>
      </c>
      <c r="R10" s="6">
        <f>IFERROR($E10*VLOOKUP($D10,'原料主数据'!$A:$AN, 18, FALSE),"")</f>
        <v/>
      </c>
      <c r="S10" s="6">
        <f>IFERROR($E10*VLOOKUP($D10,'原料主数据'!$A:$AN, 19, FALSE),"")</f>
        <v/>
      </c>
      <c r="T10" s="6">
        <f>IFERROR($E10*VLOOKUP($D10,'原料主数据'!$A:$AN, 20, FALSE),"")</f>
        <v/>
      </c>
      <c r="U10" s="6">
        <f>IFERROR($E10*VLOOKUP($D10,'原料主数据'!$A:$AN, 21, FALSE),"")</f>
        <v/>
      </c>
      <c r="V10" s="6">
        <f>IFERROR($E10*VLOOKUP($D10,'原料主数据'!$A:$AN, 22, FALSE),"")</f>
        <v/>
      </c>
      <c r="W10" s="6">
        <f>IFERROR($E10*VLOOKUP($D10,'原料主数据'!$A:$AN, 23, FALSE),"")</f>
        <v/>
      </c>
      <c r="X10" s="6">
        <f>IFERROR($E10*VLOOKUP($D10,'原料主数据'!$A:$AN, 24, FALSE),"")</f>
        <v/>
      </c>
      <c r="Y10" s="6">
        <f>IFERROR($E10*VLOOKUP($D10,'原料主数据'!$A:$AN, 25, FALSE),"")</f>
        <v/>
      </c>
      <c r="Z10" s="6">
        <f>IFERROR($E10*VLOOKUP($D10,'原料主数据'!$A:$AN, 26, FALSE),"")</f>
        <v/>
      </c>
      <c r="AA10" s="6">
        <f>IFERROR($E10*VLOOKUP($D10,'原料主数据'!$A:$AN, 27, FALSE),"")</f>
        <v/>
      </c>
      <c r="AB10" s="6">
        <f>IFERROR($E10*VLOOKUP($D10,'原料主数据'!$A:$AN, 28, FALSE),"")</f>
        <v/>
      </c>
      <c r="AC10" s="6">
        <f>IFERROR($E10*VLOOKUP($D10,'原料主数据'!$A:$AN, 29, FALSE),"")</f>
        <v/>
      </c>
      <c r="AD10" s="6">
        <f>IFERROR($E10*VLOOKUP($D10,'原料主数据'!$A:$AN, 30, FALSE),"")</f>
        <v/>
      </c>
      <c r="AE10" s="6">
        <f>IFERROR($E10*VLOOKUP($D10,'原料主数据'!$A:$AN, 31, FALSE),"")</f>
        <v/>
      </c>
      <c r="AF10" s="6">
        <f>IFERROR($E10*VLOOKUP($D10,'原料主数据'!$A:$AN, 32, FALSE),"")</f>
        <v/>
      </c>
      <c r="AG10" s="6">
        <f>IFERROR($E10*VLOOKUP($D10,'原料主数据'!$A:$AN, 33, FALSE),"")</f>
        <v/>
      </c>
      <c r="AH10" s="6">
        <f>IFERROR($E10*VLOOKUP($D10,'原料主数据'!$A:$AN, 34, FALSE),"")</f>
        <v/>
      </c>
      <c r="AI10" s="6">
        <f>IFERROR($E10*VLOOKUP($D10,'原料主数据'!$A:$AN, 35, FALSE),"")</f>
        <v/>
      </c>
      <c r="AJ10" s="6">
        <f>IFERROR($E10*VLOOKUP($D10,'原料主数据'!$A:$AN, 36, FALSE),"")</f>
        <v/>
      </c>
      <c r="AK10" s="6">
        <f>IFERROR($E10*VLOOKUP($D10,'原料主数据'!$A:$AN, 37, FALSE),"")</f>
        <v/>
      </c>
      <c r="AL10" s="6">
        <f>IFERROR($E10*VLOOKUP($D10,'原料主数据'!$A:$AN, 38, FALSE),"")</f>
        <v/>
      </c>
      <c r="AM10" s="6">
        <f>IFERROR($E10*VLOOKUP($D10,'原料主数据'!$A:$AN, 39, FALSE),"")</f>
        <v/>
      </c>
    </row>
    <row r="11">
      <c r="A11" s="7" t="inlineStr">
        <is>
          <t>EP-0002</t>
        </is>
      </c>
      <c r="B11" s="7" t="inlineStr">
        <is>
          <t>EP-A</t>
        </is>
      </c>
      <c r="C11" s="7" t="inlineStr">
        <is>
          <t>环氧酚醛</t>
        </is>
      </c>
      <c r="D11" s="7" t="inlineStr">
        <is>
          <t>RF401</t>
        </is>
      </c>
      <c r="E11" s="7" t="n">
        <v>0.96</v>
      </c>
      <c r="F11" s="7">
        <f>IFERROR(VLOOKUP($D11,'原料主数据'!$A:$E,4,FALSE),"待登记")</f>
        <v/>
      </c>
      <c r="G11" s="7">
        <f>IFERROR(VLOOKUP($D11,'原料主数据'!$A:$E,5,FALSE),"待登记")</f>
        <v/>
      </c>
      <c r="H11" s="7">
        <f>IFERROR($E11*VLOOKUP($D11,'原料主数据'!$A:$AN, 8, FALSE),"")</f>
        <v/>
      </c>
      <c r="I11" s="7">
        <f>IFERROR($E11*VLOOKUP($D11,'原料主数据'!$A:$AN, 9, FALSE),"")</f>
        <v/>
      </c>
      <c r="J11" s="7">
        <f>IFERROR($E11*VLOOKUP($D11,'原料主数据'!$A:$AN, 10, FALSE),"")</f>
        <v/>
      </c>
      <c r="K11" s="7">
        <f>IFERROR($E11*VLOOKUP($D11,'原料主数据'!$A:$AN, 11, FALSE),"")</f>
        <v/>
      </c>
      <c r="L11" s="7">
        <f>IFERROR($E11*VLOOKUP($D11,'原料主数据'!$A:$AN, 12, FALSE),"")</f>
        <v/>
      </c>
      <c r="M11" s="7">
        <f>IFERROR($E11*VLOOKUP($D11,'原料主数据'!$A:$AN, 13, FALSE),"")</f>
        <v/>
      </c>
      <c r="N11" s="7">
        <f>IFERROR($E11*VLOOKUP($D11,'原料主数据'!$A:$AN, 14, FALSE),"")</f>
        <v/>
      </c>
      <c r="O11" s="7">
        <f>IFERROR($E11*VLOOKUP($D11,'原料主数据'!$A:$AN, 15, FALSE),"")</f>
        <v/>
      </c>
      <c r="P11" s="7">
        <f>IFERROR($E11*VLOOKUP($D11,'原料主数据'!$A:$AN, 16, FALSE),"")</f>
        <v/>
      </c>
      <c r="Q11" s="7">
        <f>IFERROR($E11*VLOOKUP($D11,'原料主数据'!$A:$AN, 17, FALSE),"")</f>
        <v/>
      </c>
      <c r="R11" s="7">
        <f>IFERROR($E11*VLOOKUP($D11,'原料主数据'!$A:$AN, 18, FALSE),"")</f>
        <v/>
      </c>
      <c r="S11" s="7">
        <f>IFERROR($E11*VLOOKUP($D11,'原料主数据'!$A:$AN, 19, FALSE),"")</f>
        <v/>
      </c>
      <c r="T11" s="7">
        <f>IFERROR($E11*VLOOKUP($D11,'原料主数据'!$A:$AN, 20, FALSE),"")</f>
        <v/>
      </c>
      <c r="U11" s="7">
        <f>IFERROR($E11*VLOOKUP($D11,'原料主数据'!$A:$AN, 21, FALSE),"")</f>
        <v/>
      </c>
      <c r="V11" s="7">
        <f>IFERROR($E11*VLOOKUP($D11,'原料主数据'!$A:$AN, 22, FALSE),"")</f>
        <v/>
      </c>
      <c r="W11" s="7">
        <f>IFERROR($E11*VLOOKUP($D11,'原料主数据'!$A:$AN, 23, FALSE),"")</f>
        <v/>
      </c>
      <c r="X11" s="7">
        <f>IFERROR($E11*VLOOKUP($D11,'原料主数据'!$A:$AN, 24, FALSE),"")</f>
        <v/>
      </c>
      <c r="Y11" s="7">
        <f>IFERROR($E11*VLOOKUP($D11,'原料主数据'!$A:$AN, 25, FALSE),"")</f>
        <v/>
      </c>
      <c r="Z11" s="7">
        <f>IFERROR($E11*VLOOKUP($D11,'原料主数据'!$A:$AN, 26, FALSE),"")</f>
        <v/>
      </c>
      <c r="AA11" s="7">
        <f>IFERROR($E11*VLOOKUP($D11,'原料主数据'!$A:$AN, 27, FALSE),"")</f>
        <v/>
      </c>
      <c r="AB11" s="7">
        <f>IFERROR($E11*VLOOKUP($D11,'原料主数据'!$A:$AN, 28, FALSE),"")</f>
        <v/>
      </c>
      <c r="AC11" s="7">
        <f>IFERROR($E11*VLOOKUP($D11,'原料主数据'!$A:$AN, 29, FALSE),"")</f>
        <v/>
      </c>
      <c r="AD11" s="7">
        <f>IFERROR($E11*VLOOKUP($D11,'原料主数据'!$A:$AN, 30, FALSE),"")</f>
        <v/>
      </c>
      <c r="AE11" s="7">
        <f>IFERROR($E11*VLOOKUP($D11,'原料主数据'!$A:$AN, 31, FALSE),"")</f>
        <v/>
      </c>
      <c r="AF11" s="7">
        <f>IFERROR($E11*VLOOKUP($D11,'原料主数据'!$A:$AN, 32, FALSE),"")</f>
        <v/>
      </c>
      <c r="AG11" s="7">
        <f>IFERROR($E11*VLOOKUP($D11,'原料主数据'!$A:$AN, 33, FALSE),"")</f>
        <v/>
      </c>
      <c r="AH11" s="7">
        <f>IFERROR($E11*VLOOKUP($D11,'原料主数据'!$A:$AN, 34, FALSE),"")</f>
        <v/>
      </c>
      <c r="AI11" s="7">
        <f>IFERROR($E11*VLOOKUP($D11,'原料主数据'!$A:$AN, 35, FALSE),"")</f>
        <v/>
      </c>
      <c r="AJ11" s="7">
        <f>IFERROR($E11*VLOOKUP($D11,'原料主数据'!$A:$AN, 36, FALSE),"")</f>
        <v/>
      </c>
      <c r="AK11" s="7">
        <f>IFERROR($E11*VLOOKUP($D11,'原料主数据'!$A:$AN, 37, FALSE),"")</f>
        <v/>
      </c>
      <c r="AL11" s="7">
        <f>IFERROR($E11*VLOOKUP($D11,'原料主数据'!$A:$AN, 38, FALSE),"")</f>
        <v/>
      </c>
      <c r="AM11" s="7">
        <f>IFERROR($E11*VLOOKUP($D11,'原料主数据'!$A:$AN, 39, FALSE),"")</f>
        <v/>
      </c>
    </row>
    <row r="12">
      <c r="A12" s="6" t="inlineStr">
        <is>
          <t>EP-0002</t>
        </is>
      </c>
      <c r="B12" s="6" t="inlineStr">
        <is>
          <t>EP-A</t>
        </is>
      </c>
      <c r="C12" s="6" t="inlineStr">
        <is>
          <t>环氧酚醛</t>
        </is>
      </c>
      <c r="D12" s="6" t="inlineStr">
        <is>
          <t>RF516</t>
        </is>
      </c>
      <c r="E12" s="6" t="n">
        <v>0.48</v>
      </c>
      <c r="F12" s="6">
        <f>IFERROR(VLOOKUP($D12,'原料主数据'!$A:$E,4,FALSE),"待登记")</f>
        <v/>
      </c>
      <c r="G12" s="6">
        <f>IFERROR(VLOOKUP($D12,'原料主数据'!$A:$E,5,FALSE),"待登记")</f>
        <v/>
      </c>
      <c r="H12" s="6">
        <f>IFERROR($E12*VLOOKUP($D12,'原料主数据'!$A:$AN, 8, FALSE),"")</f>
        <v/>
      </c>
      <c r="I12" s="6">
        <f>IFERROR($E12*VLOOKUP($D12,'原料主数据'!$A:$AN, 9, FALSE),"")</f>
        <v/>
      </c>
      <c r="J12" s="6">
        <f>IFERROR($E12*VLOOKUP($D12,'原料主数据'!$A:$AN, 10, FALSE),"")</f>
        <v/>
      </c>
      <c r="K12" s="6">
        <f>IFERROR($E12*VLOOKUP($D12,'原料主数据'!$A:$AN, 11, FALSE),"")</f>
        <v/>
      </c>
      <c r="L12" s="6">
        <f>IFERROR($E12*VLOOKUP($D12,'原料主数据'!$A:$AN, 12, FALSE),"")</f>
        <v/>
      </c>
      <c r="M12" s="6">
        <f>IFERROR($E12*VLOOKUP($D12,'原料主数据'!$A:$AN, 13, FALSE),"")</f>
        <v/>
      </c>
      <c r="N12" s="6">
        <f>IFERROR($E12*VLOOKUP($D12,'原料主数据'!$A:$AN, 14, FALSE),"")</f>
        <v/>
      </c>
      <c r="O12" s="6">
        <f>IFERROR($E12*VLOOKUP($D12,'原料主数据'!$A:$AN, 15, FALSE),"")</f>
        <v/>
      </c>
      <c r="P12" s="6">
        <f>IFERROR($E12*VLOOKUP($D12,'原料主数据'!$A:$AN, 16, FALSE),"")</f>
        <v/>
      </c>
      <c r="Q12" s="6">
        <f>IFERROR($E12*VLOOKUP($D12,'原料主数据'!$A:$AN, 17, FALSE),"")</f>
        <v/>
      </c>
      <c r="R12" s="6">
        <f>IFERROR($E12*VLOOKUP($D12,'原料主数据'!$A:$AN, 18, FALSE),"")</f>
        <v/>
      </c>
      <c r="S12" s="6">
        <f>IFERROR($E12*VLOOKUP($D12,'原料主数据'!$A:$AN, 19, FALSE),"")</f>
        <v/>
      </c>
      <c r="T12" s="6">
        <f>IFERROR($E12*VLOOKUP($D12,'原料主数据'!$A:$AN, 20, FALSE),"")</f>
        <v/>
      </c>
      <c r="U12" s="6">
        <f>IFERROR($E12*VLOOKUP($D12,'原料主数据'!$A:$AN, 21, FALSE),"")</f>
        <v/>
      </c>
      <c r="V12" s="6">
        <f>IFERROR($E12*VLOOKUP($D12,'原料主数据'!$A:$AN, 22, FALSE),"")</f>
        <v/>
      </c>
      <c r="W12" s="6">
        <f>IFERROR($E12*VLOOKUP($D12,'原料主数据'!$A:$AN, 23, FALSE),"")</f>
        <v/>
      </c>
      <c r="X12" s="6">
        <f>IFERROR($E12*VLOOKUP($D12,'原料主数据'!$A:$AN, 24, FALSE),"")</f>
        <v/>
      </c>
      <c r="Y12" s="6">
        <f>IFERROR($E12*VLOOKUP($D12,'原料主数据'!$A:$AN, 25, FALSE),"")</f>
        <v/>
      </c>
      <c r="Z12" s="6">
        <f>IFERROR($E12*VLOOKUP($D12,'原料主数据'!$A:$AN, 26, FALSE),"")</f>
        <v/>
      </c>
      <c r="AA12" s="6">
        <f>IFERROR($E12*VLOOKUP($D12,'原料主数据'!$A:$AN, 27, FALSE),"")</f>
        <v/>
      </c>
      <c r="AB12" s="6">
        <f>IFERROR($E12*VLOOKUP($D12,'原料主数据'!$A:$AN, 28, FALSE),"")</f>
        <v/>
      </c>
      <c r="AC12" s="6">
        <f>IFERROR($E12*VLOOKUP($D12,'原料主数据'!$A:$AN, 29, FALSE),"")</f>
        <v/>
      </c>
      <c r="AD12" s="6">
        <f>IFERROR($E12*VLOOKUP($D12,'原料主数据'!$A:$AN, 30, FALSE),"")</f>
        <v/>
      </c>
      <c r="AE12" s="6">
        <f>IFERROR($E12*VLOOKUP($D12,'原料主数据'!$A:$AN, 31, FALSE),"")</f>
        <v/>
      </c>
      <c r="AF12" s="6">
        <f>IFERROR($E12*VLOOKUP($D12,'原料主数据'!$A:$AN, 32, FALSE),"")</f>
        <v/>
      </c>
      <c r="AG12" s="6">
        <f>IFERROR($E12*VLOOKUP($D12,'原料主数据'!$A:$AN, 33, FALSE),"")</f>
        <v/>
      </c>
      <c r="AH12" s="6">
        <f>IFERROR($E12*VLOOKUP($D12,'原料主数据'!$A:$AN, 34, FALSE),"")</f>
        <v/>
      </c>
      <c r="AI12" s="6">
        <f>IFERROR($E12*VLOOKUP($D12,'原料主数据'!$A:$AN, 35, FALSE),"")</f>
        <v/>
      </c>
      <c r="AJ12" s="6">
        <f>IFERROR($E12*VLOOKUP($D12,'原料主数据'!$A:$AN, 36, FALSE),"")</f>
        <v/>
      </c>
      <c r="AK12" s="6">
        <f>IFERROR($E12*VLOOKUP($D12,'原料主数据'!$A:$AN, 37, FALSE),"")</f>
        <v/>
      </c>
      <c r="AL12" s="6">
        <f>IFERROR($E12*VLOOKUP($D12,'原料主数据'!$A:$AN, 38, FALSE),"")</f>
        <v/>
      </c>
      <c r="AM12" s="6">
        <f>IFERROR($E12*VLOOKUP($D12,'原料主数据'!$A:$AN, 39, FALSE),"")</f>
        <v/>
      </c>
    </row>
    <row r="13">
      <c r="A13" s="7" t="inlineStr">
        <is>
          <t>EP-0002</t>
        </is>
      </c>
      <c r="B13" s="7" t="inlineStr">
        <is>
          <t>EP-A</t>
        </is>
      </c>
      <c r="C13" s="7" t="inlineStr">
        <is>
          <t>环氧酚醛</t>
        </is>
      </c>
      <c r="D13" s="7" t="inlineStr">
        <is>
          <t>RF950</t>
        </is>
      </c>
      <c r="E13" s="7" t="n">
        <v>6.29</v>
      </c>
      <c r="F13" s="7">
        <f>IFERROR(VLOOKUP($D13,'原料主数据'!$A:$E,4,FALSE),"待登记")</f>
        <v/>
      </c>
      <c r="G13" s="7">
        <f>IFERROR(VLOOKUP($D13,'原料主数据'!$A:$E,5,FALSE),"待登记")</f>
        <v/>
      </c>
      <c r="H13" s="7">
        <f>IFERROR($E13*VLOOKUP($D13,'原料主数据'!$A:$AN, 8, FALSE),"")</f>
        <v/>
      </c>
      <c r="I13" s="7">
        <f>IFERROR($E13*VLOOKUP($D13,'原料主数据'!$A:$AN, 9, FALSE),"")</f>
        <v/>
      </c>
      <c r="J13" s="7">
        <f>IFERROR($E13*VLOOKUP($D13,'原料主数据'!$A:$AN, 10, FALSE),"")</f>
        <v/>
      </c>
      <c r="K13" s="7">
        <f>IFERROR($E13*VLOOKUP($D13,'原料主数据'!$A:$AN, 11, FALSE),"")</f>
        <v/>
      </c>
      <c r="L13" s="7">
        <f>IFERROR($E13*VLOOKUP($D13,'原料主数据'!$A:$AN, 12, FALSE),"")</f>
        <v/>
      </c>
      <c r="M13" s="7">
        <f>IFERROR($E13*VLOOKUP($D13,'原料主数据'!$A:$AN, 13, FALSE),"")</f>
        <v/>
      </c>
      <c r="N13" s="7">
        <f>IFERROR($E13*VLOOKUP($D13,'原料主数据'!$A:$AN, 14, FALSE),"")</f>
        <v/>
      </c>
      <c r="O13" s="7">
        <f>IFERROR($E13*VLOOKUP($D13,'原料主数据'!$A:$AN, 15, FALSE),"")</f>
        <v/>
      </c>
      <c r="P13" s="7">
        <f>IFERROR($E13*VLOOKUP($D13,'原料主数据'!$A:$AN, 16, FALSE),"")</f>
        <v/>
      </c>
      <c r="Q13" s="7">
        <f>IFERROR($E13*VLOOKUP($D13,'原料主数据'!$A:$AN, 17, FALSE),"")</f>
        <v/>
      </c>
      <c r="R13" s="7">
        <f>IFERROR($E13*VLOOKUP($D13,'原料主数据'!$A:$AN, 18, FALSE),"")</f>
        <v/>
      </c>
      <c r="S13" s="7">
        <f>IFERROR($E13*VLOOKUP($D13,'原料主数据'!$A:$AN, 19, FALSE),"")</f>
        <v/>
      </c>
      <c r="T13" s="7">
        <f>IFERROR($E13*VLOOKUP($D13,'原料主数据'!$A:$AN, 20, FALSE),"")</f>
        <v/>
      </c>
      <c r="U13" s="7">
        <f>IFERROR($E13*VLOOKUP($D13,'原料主数据'!$A:$AN, 21, FALSE),"")</f>
        <v/>
      </c>
      <c r="V13" s="7">
        <f>IFERROR($E13*VLOOKUP($D13,'原料主数据'!$A:$AN, 22, FALSE),"")</f>
        <v/>
      </c>
      <c r="W13" s="7">
        <f>IFERROR($E13*VLOOKUP($D13,'原料主数据'!$A:$AN, 23, FALSE),"")</f>
        <v/>
      </c>
      <c r="X13" s="7">
        <f>IFERROR($E13*VLOOKUP($D13,'原料主数据'!$A:$AN, 24, FALSE),"")</f>
        <v/>
      </c>
      <c r="Y13" s="7">
        <f>IFERROR($E13*VLOOKUP($D13,'原料主数据'!$A:$AN, 25, FALSE),"")</f>
        <v/>
      </c>
      <c r="Z13" s="7">
        <f>IFERROR($E13*VLOOKUP($D13,'原料主数据'!$A:$AN, 26, FALSE),"")</f>
        <v/>
      </c>
      <c r="AA13" s="7">
        <f>IFERROR($E13*VLOOKUP($D13,'原料主数据'!$A:$AN, 27, FALSE),"")</f>
        <v/>
      </c>
      <c r="AB13" s="7">
        <f>IFERROR($E13*VLOOKUP($D13,'原料主数据'!$A:$AN, 28, FALSE),"")</f>
        <v/>
      </c>
      <c r="AC13" s="7">
        <f>IFERROR($E13*VLOOKUP($D13,'原料主数据'!$A:$AN, 29, FALSE),"")</f>
        <v/>
      </c>
      <c r="AD13" s="7">
        <f>IFERROR($E13*VLOOKUP($D13,'原料主数据'!$A:$AN, 30, FALSE),"")</f>
        <v/>
      </c>
      <c r="AE13" s="7">
        <f>IFERROR($E13*VLOOKUP($D13,'原料主数据'!$A:$AN, 31, FALSE),"")</f>
        <v/>
      </c>
      <c r="AF13" s="7">
        <f>IFERROR($E13*VLOOKUP($D13,'原料主数据'!$A:$AN, 32, FALSE),"")</f>
        <v/>
      </c>
      <c r="AG13" s="7">
        <f>IFERROR($E13*VLOOKUP($D13,'原料主数据'!$A:$AN, 33, FALSE),"")</f>
        <v/>
      </c>
      <c r="AH13" s="7">
        <f>IFERROR($E13*VLOOKUP($D13,'原料主数据'!$A:$AN, 34, FALSE),"")</f>
        <v/>
      </c>
      <c r="AI13" s="7">
        <f>IFERROR($E13*VLOOKUP($D13,'原料主数据'!$A:$AN, 35, FALSE),"")</f>
        <v/>
      </c>
      <c r="AJ13" s="7">
        <f>IFERROR($E13*VLOOKUP($D13,'原料主数据'!$A:$AN, 36, FALSE),"")</f>
        <v/>
      </c>
      <c r="AK13" s="7">
        <f>IFERROR($E13*VLOOKUP($D13,'原料主数据'!$A:$AN, 37, FALSE),"")</f>
        <v/>
      </c>
      <c r="AL13" s="7">
        <f>IFERROR($E13*VLOOKUP($D13,'原料主数据'!$A:$AN, 38, FALSE),"")</f>
        <v/>
      </c>
      <c r="AM13" s="7">
        <f>IFERROR($E13*VLOOKUP($D13,'原料主数据'!$A:$AN, 39, FALSE),"")</f>
        <v/>
      </c>
    </row>
    <row r="14">
      <c r="A14" s="6" t="inlineStr">
        <is>
          <t>EP-0002</t>
        </is>
      </c>
      <c r="B14" s="6" t="inlineStr">
        <is>
          <t>EP-A</t>
        </is>
      </c>
      <c r="C14" s="6" t="inlineStr">
        <is>
          <t>环氧酚醛</t>
        </is>
      </c>
      <c r="D14" s="6" t="inlineStr">
        <is>
          <t>RF956</t>
        </is>
      </c>
      <c r="E14" s="6" t="n">
        <v>6.65</v>
      </c>
      <c r="F14" s="6">
        <f>IFERROR(VLOOKUP($D14,'原料主数据'!$A:$E,4,FALSE),"待登记")</f>
        <v/>
      </c>
      <c r="G14" s="6">
        <f>IFERROR(VLOOKUP($D14,'原料主数据'!$A:$E,5,FALSE),"待登记")</f>
        <v/>
      </c>
      <c r="H14" s="6">
        <f>IFERROR($E14*VLOOKUP($D14,'原料主数据'!$A:$AN, 8, FALSE),"")</f>
        <v/>
      </c>
      <c r="I14" s="6">
        <f>IFERROR($E14*VLOOKUP($D14,'原料主数据'!$A:$AN, 9, FALSE),"")</f>
        <v/>
      </c>
      <c r="J14" s="6">
        <f>IFERROR($E14*VLOOKUP($D14,'原料主数据'!$A:$AN, 10, FALSE),"")</f>
        <v/>
      </c>
      <c r="K14" s="6">
        <f>IFERROR($E14*VLOOKUP($D14,'原料主数据'!$A:$AN, 11, FALSE),"")</f>
        <v/>
      </c>
      <c r="L14" s="6">
        <f>IFERROR($E14*VLOOKUP($D14,'原料主数据'!$A:$AN, 12, FALSE),"")</f>
        <v/>
      </c>
      <c r="M14" s="6">
        <f>IFERROR($E14*VLOOKUP($D14,'原料主数据'!$A:$AN, 13, FALSE),"")</f>
        <v/>
      </c>
      <c r="N14" s="6">
        <f>IFERROR($E14*VLOOKUP($D14,'原料主数据'!$A:$AN, 14, FALSE),"")</f>
        <v/>
      </c>
      <c r="O14" s="6">
        <f>IFERROR($E14*VLOOKUP($D14,'原料主数据'!$A:$AN, 15, FALSE),"")</f>
        <v/>
      </c>
      <c r="P14" s="6">
        <f>IFERROR($E14*VLOOKUP($D14,'原料主数据'!$A:$AN, 16, FALSE),"")</f>
        <v/>
      </c>
      <c r="Q14" s="6">
        <f>IFERROR($E14*VLOOKUP($D14,'原料主数据'!$A:$AN, 17, FALSE),"")</f>
        <v/>
      </c>
      <c r="R14" s="6">
        <f>IFERROR($E14*VLOOKUP($D14,'原料主数据'!$A:$AN, 18, FALSE),"")</f>
        <v/>
      </c>
      <c r="S14" s="6">
        <f>IFERROR($E14*VLOOKUP($D14,'原料主数据'!$A:$AN, 19, FALSE),"")</f>
        <v/>
      </c>
      <c r="T14" s="6">
        <f>IFERROR($E14*VLOOKUP($D14,'原料主数据'!$A:$AN, 20, FALSE),"")</f>
        <v/>
      </c>
      <c r="U14" s="6">
        <f>IFERROR($E14*VLOOKUP($D14,'原料主数据'!$A:$AN, 21, FALSE),"")</f>
        <v/>
      </c>
      <c r="V14" s="6">
        <f>IFERROR($E14*VLOOKUP($D14,'原料主数据'!$A:$AN, 22, FALSE),"")</f>
        <v/>
      </c>
      <c r="W14" s="6">
        <f>IFERROR($E14*VLOOKUP($D14,'原料主数据'!$A:$AN, 23, FALSE),"")</f>
        <v/>
      </c>
      <c r="X14" s="6">
        <f>IFERROR($E14*VLOOKUP($D14,'原料主数据'!$A:$AN, 24, FALSE),"")</f>
        <v/>
      </c>
      <c r="Y14" s="6">
        <f>IFERROR($E14*VLOOKUP($D14,'原料主数据'!$A:$AN, 25, FALSE),"")</f>
        <v/>
      </c>
      <c r="Z14" s="6">
        <f>IFERROR($E14*VLOOKUP($D14,'原料主数据'!$A:$AN, 26, FALSE),"")</f>
        <v/>
      </c>
      <c r="AA14" s="6">
        <f>IFERROR($E14*VLOOKUP($D14,'原料主数据'!$A:$AN, 27, FALSE),"")</f>
        <v/>
      </c>
      <c r="AB14" s="6">
        <f>IFERROR($E14*VLOOKUP($D14,'原料主数据'!$A:$AN, 28, FALSE),"")</f>
        <v/>
      </c>
      <c r="AC14" s="6">
        <f>IFERROR($E14*VLOOKUP($D14,'原料主数据'!$A:$AN, 29, FALSE),"")</f>
        <v/>
      </c>
      <c r="AD14" s="6">
        <f>IFERROR($E14*VLOOKUP($D14,'原料主数据'!$A:$AN, 30, FALSE),"")</f>
        <v/>
      </c>
      <c r="AE14" s="6">
        <f>IFERROR($E14*VLOOKUP($D14,'原料主数据'!$A:$AN, 31, FALSE),"")</f>
        <v/>
      </c>
      <c r="AF14" s="6">
        <f>IFERROR($E14*VLOOKUP($D14,'原料主数据'!$A:$AN, 32, FALSE),"")</f>
        <v/>
      </c>
      <c r="AG14" s="6">
        <f>IFERROR($E14*VLOOKUP($D14,'原料主数据'!$A:$AN, 33, FALSE),"")</f>
        <v/>
      </c>
      <c r="AH14" s="6">
        <f>IFERROR($E14*VLOOKUP($D14,'原料主数据'!$A:$AN, 34, FALSE),"")</f>
        <v/>
      </c>
      <c r="AI14" s="6">
        <f>IFERROR($E14*VLOOKUP($D14,'原料主数据'!$A:$AN, 35, FALSE),"")</f>
        <v/>
      </c>
      <c r="AJ14" s="6">
        <f>IFERROR($E14*VLOOKUP($D14,'原料主数据'!$A:$AN, 36, FALSE),"")</f>
        <v/>
      </c>
      <c r="AK14" s="6">
        <f>IFERROR($E14*VLOOKUP($D14,'原料主数据'!$A:$AN, 37, FALSE),"")</f>
        <v/>
      </c>
      <c r="AL14" s="6">
        <f>IFERROR($E14*VLOOKUP($D14,'原料主数据'!$A:$AN, 38, FALSE),"")</f>
        <v/>
      </c>
      <c r="AM14" s="6">
        <f>IFERROR($E14*VLOOKUP($D14,'原料主数据'!$A:$AN, 39, FALSE),"")</f>
        <v/>
      </c>
    </row>
    <row r="15">
      <c r="A15" s="7" t="inlineStr">
        <is>
          <t>EP-0002</t>
        </is>
      </c>
      <c r="B15" s="7" t="inlineStr">
        <is>
          <t>EP-A</t>
        </is>
      </c>
      <c r="C15" s="7" t="inlineStr">
        <is>
          <t>环氧酚醛</t>
        </is>
      </c>
      <c r="D15" s="7" t="inlineStr">
        <is>
          <t>住友55754G</t>
        </is>
      </c>
      <c r="E15" s="7" t="n">
        <v>0.42</v>
      </c>
      <c r="F15" s="7">
        <f>IFERROR(VLOOKUP($D15,'原料主数据'!$A:$E,4,FALSE),"待登记")</f>
        <v/>
      </c>
      <c r="G15" s="7">
        <f>IFERROR(VLOOKUP($D15,'原料主数据'!$A:$E,5,FALSE),"待登记")</f>
        <v/>
      </c>
      <c r="H15" s="7">
        <f>IFERROR($E15*VLOOKUP($D15,'原料主数据'!$A:$AN, 8, FALSE),"")</f>
        <v/>
      </c>
      <c r="I15" s="7">
        <f>IFERROR($E15*VLOOKUP($D15,'原料主数据'!$A:$AN, 9, FALSE),"")</f>
        <v/>
      </c>
      <c r="J15" s="7">
        <f>IFERROR($E15*VLOOKUP($D15,'原料主数据'!$A:$AN, 10, FALSE),"")</f>
        <v/>
      </c>
      <c r="K15" s="7">
        <f>IFERROR($E15*VLOOKUP($D15,'原料主数据'!$A:$AN, 11, FALSE),"")</f>
        <v/>
      </c>
      <c r="L15" s="7">
        <f>IFERROR($E15*VLOOKUP($D15,'原料主数据'!$A:$AN, 12, FALSE),"")</f>
        <v/>
      </c>
      <c r="M15" s="7">
        <f>IFERROR($E15*VLOOKUP($D15,'原料主数据'!$A:$AN, 13, FALSE),"")</f>
        <v/>
      </c>
      <c r="N15" s="7">
        <f>IFERROR($E15*VLOOKUP($D15,'原料主数据'!$A:$AN, 14, FALSE),"")</f>
        <v/>
      </c>
      <c r="O15" s="7">
        <f>IFERROR($E15*VLOOKUP($D15,'原料主数据'!$A:$AN, 15, FALSE),"")</f>
        <v/>
      </c>
      <c r="P15" s="7">
        <f>IFERROR($E15*VLOOKUP($D15,'原料主数据'!$A:$AN, 16, FALSE),"")</f>
        <v/>
      </c>
      <c r="Q15" s="7">
        <f>IFERROR($E15*VLOOKUP($D15,'原料主数据'!$A:$AN, 17, FALSE),"")</f>
        <v/>
      </c>
      <c r="R15" s="7">
        <f>IFERROR($E15*VLOOKUP($D15,'原料主数据'!$A:$AN, 18, FALSE),"")</f>
        <v/>
      </c>
      <c r="S15" s="7">
        <f>IFERROR($E15*VLOOKUP($D15,'原料主数据'!$A:$AN, 19, FALSE),"")</f>
        <v/>
      </c>
      <c r="T15" s="7">
        <f>IFERROR($E15*VLOOKUP($D15,'原料主数据'!$A:$AN, 20, FALSE),"")</f>
        <v/>
      </c>
      <c r="U15" s="7">
        <f>IFERROR($E15*VLOOKUP($D15,'原料主数据'!$A:$AN, 21, FALSE),"")</f>
        <v/>
      </c>
      <c r="V15" s="7">
        <f>IFERROR($E15*VLOOKUP($D15,'原料主数据'!$A:$AN, 22, FALSE),"")</f>
        <v/>
      </c>
      <c r="W15" s="7">
        <f>IFERROR($E15*VLOOKUP($D15,'原料主数据'!$A:$AN, 23, FALSE),"")</f>
        <v/>
      </c>
      <c r="X15" s="7">
        <f>IFERROR($E15*VLOOKUP($D15,'原料主数据'!$A:$AN, 24, FALSE),"")</f>
        <v/>
      </c>
      <c r="Y15" s="7">
        <f>IFERROR($E15*VLOOKUP($D15,'原料主数据'!$A:$AN, 25, FALSE),"")</f>
        <v/>
      </c>
      <c r="Z15" s="7">
        <f>IFERROR($E15*VLOOKUP($D15,'原料主数据'!$A:$AN, 26, FALSE),"")</f>
        <v/>
      </c>
      <c r="AA15" s="7">
        <f>IFERROR($E15*VLOOKUP($D15,'原料主数据'!$A:$AN, 27, FALSE),"")</f>
        <v/>
      </c>
      <c r="AB15" s="7">
        <f>IFERROR($E15*VLOOKUP($D15,'原料主数据'!$A:$AN, 28, FALSE),"")</f>
        <v/>
      </c>
      <c r="AC15" s="7">
        <f>IFERROR($E15*VLOOKUP($D15,'原料主数据'!$A:$AN, 29, FALSE),"")</f>
        <v/>
      </c>
      <c r="AD15" s="7">
        <f>IFERROR($E15*VLOOKUP($D15,'原料主数据'!$A:$AN, 30, FALSE),"")</f>
        <v/>
      </c>
      <c r="AE15" s="7">
        <f>IFERROR($E15*VLOOKUP($D15,'原料主数据'!$A:$AN, 31, FALSE),"")</f>
        <v/>
      </c>
      <c r="AF15" s="7">
        <f>IFERROR($E15*VLOOKUP($D15,'原料主数据'!$A:$AN, 32, FALSE),"")</f>
        <v/>
      </c>
      <c r="AG15" s="7">
        <f>IFERROR($E15*VLOOKUP($D15,'原料主数据'!$A:$AN, 33, FALSE),"")</f>
        <v/>
      </c>
      <c r="AH15" s="7">
        <f>IFERROR($E15*VLOOKUP($D15,'原料主数据'!$A:$AN, 34, FALSE),"")</f>
        <v/>
      </c>
      <c r="AI15" s="7">
        <f>IFERROR($E15*VLOOKUP($D15,'原料主数据'!$A:$AN, 35, FALSE),"")</f>
        <v/>
      </c>
      <c r="AJ15" s="7">
        <f>IFERROR($E15*VLOOKUP($D15,'原料主数据'!$A:$AN, 36, FALSE),"")</f>
        <v/>
      </c>
      <c r="AK15" s="7">
        <f>IFERROR($E15*VLOOKUP($D15,'原料主数据'!$A:$AN, 37, FALSE),"")</f>
        <v/>
      </c>
      <c r="AL15" s="7">
        <f>IFERROR($E15*VLOOKUP($D15,'原料主数据'!$A:$AN, 38, FALSE),"")</f>
        <v/>
      </c>
      <c r="AM15" s="7">
        <f>IFERROR($E15*VLOOKUP($D15,'原料主数据'!$A:$AN, 39, FALSE),"")</f>
        <v/>
      </c>
    </row>
    <row r="16">
      <c r="A16" s="6" t="inlineStr">
        <is>
          <t>EP-0002</t>
        </is>
      </c>
      <c r="B16" s="6" t="inlineStr">
        <is>
          <t>EP-A</t>
        </is>
      </c>
      <c r="C16" s="6" t="inlineStr">
        <is>
          <t>环氧酚醛</t>
        </is>
      </c>
      <c r="D16" s="6" t="inlineStr">
        <is>
          <t>1510蜡</t>
        </is>
      </c>
      <c r="E16" s="6" t="n">
        <v>2.98</v>
      </c>
      <c r="F16" s="6">
        <f>IFERROR(VLOOKUP($D16,'原料主数据'!$A:$E,4,FALSE),"待登记")</f>
        <v/>
      </c>
      <c r="G16" s="6">
        <f>IFERROR(VLOOKUP($D16,'原料主数据'!$A:$E,5,FALSE),"待登记")</f>
        <v/>
      </c>
      <c r="H16" s="6">
        <f>IFERROR($E16*VLOOKUP($D16,'原料主数据'!$A:$AN, 8, FALSE),"")</f>
        <v/>
      </c>
      <c r="I16" s="6">
        <f>IFERROR($E16*VLOOKUP($D16,'原料主数据'!$A:$AN, 9, FALSE),"")</f>
        <v/>
      </c>
      <c r="J16" s="6">
        <f>IFERROR($E16*VLOOKUP($D16,'原料主数据'!$A:$AN, 10, FALSE),"")</f>
        <v/>
      </c>
      <c r="K16" s="6">
        <f>IFERROR($E16*VLOOKUP($D16,'原料主数据'!$A:$AN, 11, FALSE),"")</f>
        <v/>
      </c>
      <c r="L16" s="6">
        <f>IFERROR($E16*VLOOKUP($D16,'原料主数据'!$A:$AN, 12, FALSE),"")</f>
        <v/>
      </c>
      <c r="M16" s="6">
        <f>IFERROR($E16*VLOOKUP($D16,'原料主数据'!$A:$AN, 13, FALSE),"")</f>
        <v/>
      </c>
      <c r="N16" s="6">
        <f>IFERROR($E16*VLOOKUP($D16,'原料主数据'!$A:$AN, 14, FALSE),"")</f>
        <v/>
      </c>
      <c r="O16" s="6">
        <f>IFERROR($E16*VLOOKUP($D16,'原料主数据'!$A:$AN, 15, FALSE),"")</f>
        <v/>
      </c>
      <c r="P16" s="6">
        <f>IFERROR($E16*VLOOKUP($D16,'原料主数据'!$A:$AN, 16, FALSE),"")</f>
        <v/>
      </c>
      <c r="Q16" s="6">
        <f>IFERROR($E16*VLOOKUP($D16,'原料主数据'!$A:$AN, 17, FALSE),"")</f>
        <v/>
      </c>
      <c r="R16" s="6">
        <f>IFERROR($E16*VLOOKUP($D16,'原料主数据'!$A:$AN, 18, FALSE),"")</f>
        <v/>
      </c>
      <c r="S16" s="6">
        <f>IFERROR($E16*VLOOKUP($D16,'原料主数据'!$A:$AN, 19, FALSE),"")</f>
        <v/>
      </c>
      <c r="T16" s="6">
        <f>IFERROR($E16*VLOOKUP($D16,'原料主数据'!$A:$AN, 20, FALSE),"")</f>
        <v/>
      </c>
      <c r="U16" s="6">
        <f>IFERROR($E16*VLOOKUP($D16,'原料主数据'!$A:$AN, 21, FALSE),"")</f>
        <v/>
      </c>
      <c r="V16" s="6">
        <f>IFERROR($E16*VLOOKUP($D16,'原料主数据'!$A:$AN, 22, FALSE),"")</f>
        <v/>
      </c>
      <c r="W16" s="6">
        <f>IFERROR($E16*VLOOKUP($D16,'原料主数据'!$A:$AN, 23, FALSE),"")</f>
        <v/>
      </c>
      <c r="X16" s="6">
        <f>IFERROR($E16*VLOOKUP($D16,'原料主数据'!$A:$AN, 24, FALSE),"")</f>
        <v/>
      </c>
      <c r="Y16" s="6">
        <f>IFERROR($E16*VLOOKUP($D16,'原料主数据'!$A:$AN, 25, FALSE),"")</f>
        <v/>
      </c>
      <c r="Z16" s="6">
        <f>IFERROR($E16*VLOOKUP($D16,'原料主数据'!$A:$AN, 26, FALSE),"")</f>
        <v/>
      </c>
      <c r="AA16" s="6">
        <f>IFERROR($E16*VLOOKUP($D16,'原料主数据'!$A:$AN, 27, FALSE),"")</f>
        <v/>
      </c>
      <c r="AB16" s="6">
        <f>IFERROR($E16*VLOOKUP($D16,'原料主数据'!$A:$AN, 28, FALSE),"")</f>
        <v/>
      </c>
      <c r="AC16" s="6">
        <f>IFERROR($E16*VLOOKUP($D16,'原料主数据'!$A:$AN, 29, FALSE),"")</f>
        <v/>
      </c>
      <c r="AD16" s="6">
        <f>IFERROR($E16*VLOOKUP($D16,'原料主数据'!$A:$AN, 30, FALSE),"")</f>
        <v/>
      </c>
      <c r="AE16" s="6">
        <f>IFERROR($E16*VLOOKUP($D16,'原料主数据'!$A:$AN, 31, FALSE),"")</f>
        <v/>
      </c>
      <c r="AF16" s="6">
        <f>IFERROR($E16*VLOOKUP($D16,'原料主数据'!$A:$AN, 32, FALSE),"")</f>
        <v/>
      </c>
      <c r="AG16" s="6">
        <f>IFERROR($E16*VLOOKUP($D16,'原料主数据'!$A:$AN, 33, FALSE),"")</f>
        <v/>
      </c>
      <c r="AH16" s="6">
        <f>IFERROR($E16*VLOOKUP($D16,'原料主数据'!$A:$AN, 34, FALSE),"")</f>
        <v/>
      </c>
      <c r="AI16" s="6">
        <f>IFERROR($E16*VLOOKUP($D16,'原料主数据'!$A:$AN, 35, FALSE),"")</f>
        <v/>
      </c>
      <c r="AJ16" s="6">
        <f>IFERROR($E16*VLOOKUP($D16,'原料主数据'!$A:$AN, 36, FALSE),"")</f>
        <v/>
      </c>
      <c r="AK16" s="6">
        <f>IFERROR($E16*VLOOKUP($D16,'原料主数据'!$A:$AN, 37, FALSE),"")</f>
        <v/>
      </c>
      <c r="AL16" s="6">
        <f>IFERROR($E16*VLOOKUP($D16,'原料主数据'!$A:$AN, 38, FALSE),"")</f>
        <v/>
      </c>
      <c r="AM16" s="6">
        <f>IFERROR($E16*VLOOKUP($D16,'原料主数据'!$A:$AN, 39, FALSE),"")</f>
        <v/>
      </c>
    </row>
    <row r="17">
      <c r="A17" s="7" t="inlineStr">
        <is>
          <t>EP-0002</t>
        </is>
      </c>
      <c r="B17" s="7" t="inlineStr">
        <is>
          <t>EP-A</t>
        </is>
      </c>
      <c r="C17" s="7" t="inlineStr">
        <is>
          <t>环氧酚醛</t>
        </is>
      </c>
      <c r="D17" s="7" t="inlineStr">
        <is>
          <t>AZ088</t>
        </is>
      </c>
      <c r="E17" s="7" t="n">
        <v>0.06</v>
      </c>
      <c r="F17" s="7">
        <f>IFERROR(VLOOKUP($D17,'原料主数据'!$A:$E,4,FALSE),"待登记")</f>
        <v/>
      </c>
      <c r="G17" s="7">
        <f>IFERROR(VLOOKUP($D17,'原料主数据'!$A:$E,5,FALSE),"待登记")</f>
        <v/>
      </c>
      <c r="H17" s="7">
        <f>IFERROR($E17*VLOOKUP($D17,'原料主数据'!$A:$AN, 8, FALSE),"")</f>
        <v/>
      </c>
      <c r="I17" s="7">
        <f>IFERROR($E17*VLOOKUP($D17,'原料主数据'!$A:$AN, 9, FALSE),"")</f>
        <v/>
      </c>
      <c r="J17" s="7">
        <f>IFERROR($E17*VLOOKUP($D17,'原料主数据'!$A:$AN, 10, FALSE),"")</f>
        <v/>
      </c>
      <c r="K17" s="7">
        <f>IFERROR($E17*VLOOKUP($D17,'原料主数据'!$A:$AN, 11, FALSE),"")</f>
        <v/>
      </c>
      <c r="L17" s="7">
        <f>IFERROR($E17*VLOOKUP($D17,'原料主数据'!$A:$AN, 12, FALSE),"")</f>
        <v/>
      </c>
      <c r="M17" s="7">
        <f>IFERROR($E17*VLOOKUP($D17,'原料主数据'!$A:$AN, 13, FALSE),"")</f>
        <v/>
      </c>
      <c r="N17" s="7">
        <f>IFERROR($E17*VLOOKUP($D17,'原料主数据'!$A:$AN, 14, FALSE),"")</f>
        <v/>
      </c>
      <c r="O17" s="7">
        <f>IFERROR($E17*VLOOKUP($D17,'原料主数据'!$A:$AN, 15, FALSE),"")</f>
        <v/>
      </c>
      <c r="P17" s="7">
        <f>IFERROR($E17*VLOOKUP($D17,'原料主数据'!$A:$AN, 16, FALSE),"")</f>
        <v/>
      </c>
      <c r="Q17" s="7">
        <f>IFERROR($E17*VLOOKUP($D17,'原料主数据'!$A:$AN, 17, FALSE),"")</f>
        <v/>
      </c>
      <c r="R17" s="7">
        <f>IFERROR($E17*VLOOKUP($D17,'原料主数据'!$A:$AN, 18, FALSE),"")</f>
        <v/>
      </c>
      <c r="S17" s="7">
        <f>IFERROR($E17*VLOOKUP($D17,'原料主数据'!$A:$AN, 19, FALSE),"")</f>
        <v/>
      </c>
      <c r="T17" s="7">
        <f>IFERROR($E17*VLOOKUP($D17,'原料主数据'!$A:$AN, 20, FALSE),"")</f>
        <v/>
      </c>
      <c r="U17" s="7">
        <f>IFERROR($E17*VLOOKUP($D17,'原料主数据'!$A:$AN, 21, FALSE),"")</f>
        <v/>
      </c>
      <c r="V17" s="7">
        <f>IFERROR($E17*VLOOKUP($D17,'原料主数据'!$A:$AN, 22, FALSE),"")</f>
        <v/>
      </c>
      <c r="W17" s="7">
        <f>IFERROR($E17*VLOOKUP($D17,'原料主数据'!$A:$AN, 23, FALSE),"")</f>
        <v/>
      </c>
      <c r="X17" s="7">
        <f>IFERROR($E17*VLOOKUP($D17,'原料主数据'!$A:$AN, 24, FALSE),"")</f>
        <v/>
      </c>
      <c r="Y17" s="7">
        <f>IFERROR($E17*VLOOKUP($D17,'原料主数据'!$A:$AN, 25, FALSE),"")</f>
        <v/>
      </c>
      <c r="Z17" s="7">
        <f>IFERROR($E17*VLOOKUP($D17,'原料主数据'!$A:$AN, 26, FALSE),"")</f>
        <v/>
      </c>
      <c r="AA17" s="7">
        <f>IFERROR($E17*VLOOKUP($D17,'原料主数据'!$A:$AN, 27, FALSE),"")</f>
        <v/>
      </c>
      <c r="AB17" s="7">
        <f>IFERROR($E17*VLOOKUP($D17,'原料主数据'!$A:$AN, 28, FALSE),"")</f>
        <v/>
      </c>
      <c r="AC17" s="7">
        <f>IFERROR($E17*VLOOKUP($D17,'原料主数据'!$A:$AN, 29, FALSE),"")</f>
        <v/>
      </c>
      <c r="AD17" s="7">
        <f>IFERROR($E17*VLOOKUP($D17,'原料主数据'!$A:$AN, 30, FALSE),"")</f>
        <v/>
      </c>
      <c r="AE17" s="7">
        <f>IFERROR($E17*VLOOKUP($D17,'原料主数据'!$A:$AN, 31, FALSE),"")</f>
        <v/>
      </c>
      <c r="AF17" s="7">
        <f>IFERROR($E17*VLOOKUP($D17,'原料主数据'!$A:$AN, 32, FALSE),"")</f>
        <v/>
      </c>
      <c r="AG17" s="7">
        <f>IFERROR($E17*VLOOKUP($D17,'原料主数据'!$A:$AN, 33, FALSE),"")</f>
        <v/>
      </c>
      <c r="AH17" s="7">
        <f>IFERROR($E17*VLOOKUP($D17,'原料主数据'!$A:$AN, 34, FALSE),"")</f>
        <v/>
      </c>
      <c r="AI17" s="7">
        <f>IFERROR($E17*VLOOKUP($D17,'原料主数据'!$A:$AN, 35, FALSE),"")</f>
        <v/>
      </c>
      <c r="AJ17" s="7">
        <f>IFERROR($E17*VLOOKUP($D17,'原料主数据'!$A:$AN, 36, FALSE),"")</f>
        <v/>
      </c>
      <c r="AK17" s="7">
        <f>IFERROR($E17*VLOOKUP($D17,'原料主数据'!$A:$AN, 37, FALSE),"")</f>
        <v/>
      </c>
      <c r="AL17" s="7">
        <f>IFERROR($E17*VLOOKUP($D17,'原料主数据'!$A:$AN, 38, FALSE),"")</f>
        <v/>
      </c>
      <c r="AM17" s="7">
        <f>IFERROR($E17*VLOOKUP($D17,'原料主数据'!$A:$AN, 39, FALSE),"")</f>
        <v/>
      </c>
    </row>
    <row r="18">
      <c r="A18" s="6" t="inlineStr">
        <is>
          <t>EP-0002</t>
        </is>
      </c>
      <c r="B18" s="6" t="inlineStr">
        <is>
          <t>EP-A</t>
        </is>
      </c>
      <c r="C18" s="6" t="inlineStr">
        <is>
          <t>环氧酚醛</t>
        </is>
      </c>
      <c r="D18" s="6" t="inlineStr">
        <is>
          <t>正丁醇</t>
        </is>
      </c>
      <c r="E18" s="6" t="n">
        <v>5.49</v>
      </c>
      <c r="F18" s="6">
        <f>IFERROR(VLOOKUP($D18,'原料主数据'!$A:$E,4,FALSE),"待登记")</f>
        <v/>
      </c>
      <c r="G18" s="6">
        <f>IFERROR(VLOOKUP($D18,'原料主数据'!$A:$E,5,FALSE),"待登记")</f>
        <v/>
      </c>
      <c r="H18" s="6">
        <f>IFERROR($E18*VLOOKUP($D18,'原料主数据'!$A:$AN, 8, FALSE),"")</f>
        <v/>
      </c>
      <c r="I18" s="6">
        <f>IFERROR($E18*VLOOKUP($D18,'原料主数据'!$A:$AN, 9, FALSE),"")</f>
        <v/>
      </c>
      <c r="J18" s="6">
        <f>IFERROR($E18*VLOOKUP($D18,'原料主数据'!$A:$AN, 10, FALSE),"")</f>
        <v/>
      </c>
      <c r="K18" s="6">
        <f>IFERROR($E18*VLOOKUP($D18,'原料主数据'!$A:$AN, 11, FALSE),"")</f>
        <v/>
      </c>
      <c r="L18" s="6">
        <f>IFERROR($E18*VLOOKUP($D18,'原料主数据'!$A:$AN, 12, FALSE),"")</f>
        <v/>
      </c>
      <c r="M18" s="6">
        <f>IFERROR($E18*VLOOKUP($D18,'原料主数据'!$A:$AN, 13, FALSE),"")</f>
        <v/>
      </c>
      <c r="N18" s="6">
        <f>IFERROR($E18*VLOOKUP($D18,'原料主数据'!$A:$AN, 14, FALSE),"")</f>
        <v/>
      </c>
      <c r="O18" s="6">
        <f>IFERROR($E18*VLOOKUP($D18,'原料主数据'!$A:$AN, 15, FALSE),"")</f>
        <v/>
      </c>
      <c r="P18" s="6">
        <f>IFERROR($E18*VLOOKUP($D18,'原料主数据'!$A:$AN, 16, FALSE),"")</f>
        <v/>
      </c>
      <c r="Q18" s="6">
        <f>IFERROR($E18*VLOOKUP($D18,'原料主数据'!$A:$AN, 17, FALSE),"")</f>
        <v/>
      </c>
      <c r="R18" s="6">
        <f>IFERROR($E18*VLOOKUP($D18,'原料主数据'!$A:$AN, 18, FALSE),"")</f>
        <v/>
      </c>
      <c r="S18" s="6">
        <f>IFERROR($E18*VLOOKUP($D18,'原料主数据'!$A:$AN, 19, FALSE),"")</f>
        <v/>
      </c>
      <c r="T18" s="6">
        <f>IFERROR($E18*VLOOKUP($D18,'原料主数据'!$A:$AN, 20, FALSE),"")</f>
        <v/>
      </c>
      <c r="U18" s="6">
        <f>IFERROR($E18*VLOOKUP($D18,'原料主数据'!$A:$AN, 21, FALSE),"")</f>
        <v/>
      </c>
      <c r="V18" s="6">
        <f>IFERROR($E18*VLOOKUP($D18,'原料主数据'!$A:$AN, 22, FALSE),"")</f>
        <v/>
      </c>
      <c r="W18" s="6">
        <f>IFERROR($E18*VLOOKUP($D18,'原料主数据'!$A:$AN, 23, FALSE),"")</f>
        <v/>
      </c>
      <c r="X18" s="6">
        <f>IFERROR($E18*VLOOKUP($D18,'原料主数据'!$A:$AN, 24, FALSE),"")</f>
        <v/>
      </c>
      <c r="Y18" s="6">
        <f>IFERROR($E18*VLOOKUP($D18,'原料主数据'!$A:$AN, 25, FALSE),"")</f>
        <v/>
      </c>
      <c r="Z18" s="6">
        <f>IFERROR($E18*VLOOKUP($D18,'原料主数据'!$A:$AN, 26, FALSE),"")</f>
        <v/>
      </c>
      <c r="AA18" s="6">
        <f>IFERROR($E18*VLOOKUP($D18,'原料主数据'!$A:$AN, 27, FALSE),"")</f>
        <v/>
      </c>
      <c r="AB18" s="6">
        <f>IFERROR($E18*VLOOKUP($D18,'原料主数据'!$A:$AN, 28, FALSE),"")</f>
        <v/>
      </c>
      <c r="AC18" s="6">
        <f>IFERROR($E18*VLOOKUP($D18,'原料主数据'!$A:$AN, 29, FALSE),"")</f>
        <v/>
      </c>
      <c r="AD18" s="6">
        <f>IFERROR($E18*VLOOKUP($D18,'原料主数据'!$A:$AN, 30, FALSE),"")</f>
        <v/>
      </c>
      <c r="AE18" s="6">
        <f>IFERROR($E18*VLOOKUP($D18,'原料主数据'!$A:$AN, 31, FALSE),"")</f>
        <v/>
      </c>
      <c r="AF18" s="6">
        <f>IFERROR($E18*VLOOKUP($D18,'原料主数据'!$A:$AN, 32, FALSE),"")</f>
        <v/>
      </c>
      <c r="AG18" s="6">
        <f>IFERROR($E18*VLOOKUP($D18,'原料主数据'!$A:$AN, 33, FALSE),"")</f>
        <v/>
      </c>
      <c r="AH18" s="6">
        <f>IFERROR($E18*VLOOKUP($D18,'原料主数据'!$A:$AN, 34, FALSE),"")</f>
        <v/>
      </c>
      <c r="AI18" s="6">
        <f>IFERROR($E18*VLOOKUP($D18,'原料主数据'!$A:$AN, 35, FALSE),"")</f>
        <v/>
      </c>
      <c r="AJ18" s="6">
        <f>IFERROR($E18*VLOOKUP($D18,'原料主数据'!$A:$AN, 36, FALSE),"")</f>
        <v/>
      </c>
      <c r="AK18" s="6">
        <f>IFERROR($E18*VLOOKUP($D18,'原料主数据'!$A:$AN, 37, FALSE),"")</f>
        <v/>
      </c>
      <c r="AL18" s="6">
        <f>IFERROR($E18*VLOOKUP($D18,'原料主数据'!$A:$AN, 38, FALSE),"")</f>
        <v/>
      </c>
      <c r="AM18" s="6">
        <f>IFERROR($E18*VLOOKUP($D18,'原料主数据'!$A:$AN, 39, FALSE),"")</f>
        <v/>
      </c>
    </row>
    <row r="19">
      <c r="A19" s="7" t="inlineStr">
        <is>
          <t>EP-0002</t>
        </is>
      </c>
      <c r="B19" s="7" t="inlineStr">
        <is>
          <t>EP-A</t>
        </is>
      </c>
      <c r="C19" s="7" t="inlineStr">
        <is>
          <t>环氧酚醛</t>
        </is>
      </c>
      <c r="D19" s="7" t="inlineStr">
        <is>
          <t>补加混合液</t>
        </is>
      </c>
      <c r="E19" s="7" t="n">
        <v>1.55</v>
      </c>
      <c r="F19" s="7">
        <f>IFERROR(VLOOKUP($D19,'原料主数据'!$A:$E,4,FALSE),"待登记")</f>
        <v/>
      </c>
      <c r="G19" s="7">
        <f>IFERROR(VLOOKUP($D19,'原料主数据'!$A:$E,5,FALSE),"待登记")</f>
        <v/>
      </c>
      <c r="H19" s="7">
        <f>IFERROR($E19*VLOOKUP($D19,'原料主数据'!$A:$AN, 8, FALSE),"")</f>
        <v/>
      </c>
      <c r="I19" s="7">
        <f>IFERROR($E19*VLOOKUP($D19,'原料主数据'!$A:$AN, 9, FALSE),"")</f>
        <v/>
      </c>
      <c r="J19" s="7">
        <f>IFERROR($E19*VLOOKUP($D19,'原料主数据'!$A:$AN, 10, FALSE),"")</f>
        <v/>
      </c>
      <c r="K19" s="7">
        <f>IFERROR($E19*VLOOKUP($D19,'原料主数据'!$A:$AN, 11, FALSE),"")</f>
        <v/>
      </c>
      <c r="L19" s="7">
        <f>IFERROR($E19*VLOOKUP($D19,'原料主数据'!$A:$AN, 12, FALSE),"")</f>
        <v/>
      </c>
      <c r="M19" s="7">
        <f>IFERROR($E19*VLOOKUP($D19,'原料主数据'!$A:$AN, 13, FALSE),"")</f>
        <v/>
      </c>
      <c r="N19" s="7">
        <f>IFERROR($E19*VLOOKUP($D19,'原料主数据'!$A:$AN, 14, FALSE),"")</f>
        <v/>
      </c>
      <c r="O19" s="7">
        <f>IFERROR($E19*VLOOKUP($D19,'原料主数据'!$A:$AN, 15, FALSE),"")</f>
        <v/>
      </c>
      <c r="P19" s="7">
        <f>IFERROR($E19*VLOOKUP($D19,'原料主数据'!$A:$AN, 16, FALSE),"")</f>
        <v/>
      </c>
      <c r="Q19" s="7">
        <f>IFERROR($E19*VLOOKUP($D19,'原料主数据'!$A:$AN, 17, FALSE),"")</f>
        <v/>
      </c>
      <c r="R19" s="7">
        <f>IFERROR($E19*VLOOKUP($D19,'原料主数据'!$A:$AN, 18, FALSE),"")</f>
        <v/>
      </c>
      <c r="S19" s="7">
        <f>IFERROR($E19*VLOOKUP($D19,'原料主数据'!$A:$AN, 19, FALSE),"")</f>
        <v/>
      </c>
      <c r="T19" s="7">
        <f>IFERROR($E19*VLOOKUP($D19,'原料主数据'!$A:$AN, 20, FALSE),"")</f>
        <v/>
      </c>
      <c r="U19" s="7">
        <f>IFERROR($E19*VLOOKUP($D19,'原料主数据'!$A:$AN, 21, FALSE),"")</f>
        <v/>
      </c>
      <c r="V19" s="7">
        <f>IFERROR($E19*VLOOKUP($D19,'原料主数据'!$A:$AN, 22, FALSE),"")</f>
        <v/>
      </c>
      <c r="W19" s="7">
        <f>IFERROR($E19*VLOOKUP($D19,'原料主数据'!$A:$AN, 23, FALSE),"")</f>
        <v/>
      </c>
      <c r="X19" s="7">
        <f>IFERROR($E19*VLOOKUP($D19,'原料主数据'!$A:$AN, 24, FALSE),"")</f>
        <v/>
      </c>
      <c r="Y19" s="7">
        <f>IFERROR($E19*VLOOKUP($D19,'原料主数据'!$A:$AN, 25, FALSE),"")</f>
        <v/>
      </c>
      <c r="Z19" s="7">
        <f>IFERROR($E19*VLOOKUP($D19,'原料主数据'!$A:$AN, 26, FALSE),"")</f>
        <v/>
      </c>
      <c r="AA19" s="7">
        <f>IFERROR($E19*VLOOKUP($D19,'原料主数据'!$A:$AN, 27, FALSE),"")</f>
        <v/>
      </c>
      <c r="AB19" s="7">
        <f>IFERROR($E19*VLOOKUP($D19,'原料主数据'!$A:$AN, 28, FALSE),"")</f>
        <v/>
      </c>
      <c r="AC19" s="7">
        <f>IFERROR($E19*VLOOKUP($D19,'原料主数据'!$A:$AN, 29, FALSE),"")</f>
        <v/>
      </c>
      <c r="AD19" s="7">
        <f>IFERROR($E19*VLOOKUP($D19,'原料主数据'!$A:$AN, 30, FALSE),"")</f>
        <v/>
      </c>
      <c r="AE19" s="7">
        <f>IFERROR($E19*VLOOKUP($D19,'原料主数据'!$A:$AN, 31, FALSE),"")</f>
        <v/>
      </c>
      <c r="AF19" s="7">
        <f>IFERROR($E19*VLOOKUP($D19,'原料主数据'!$A:$AN, 32, FALSE),"")</f>
        <v/>
      </c>
      <c r="AG19" s="7">
        <f>IFERROR($E19*VLOOKUP($D19,'原料主数据'!$A:$AN, 33, FALSE),"")</f>
        <v/>
      </c>
      <c r="AH19" s="7">
        <f>IFERROR($E19*VLOOKUP($D19,'原料主数据'!$A:$AN, 34, FALSE),"")</f>
        <v/>
      </c>
      <c r="AI19" s="7">
        <f>IFERROR($E19*VLOOKUP($D19,'原料主数据'!$A:$AN, 35, FALSE),"")</f>
        <v/>
      </c>
      <c r="AJ19" s="7">
        <f>IFERROR($E19*VLOOKUP($D19,'原料主数据'!$A:$AN, 36, FALSE),"")</f>
        <v/>
      </c>
      <c r="AK19" s="7">
        <f>IFERROR($E19*VLOOKUP($D19,'原料主数据'!$A:$AN, 37, FALSE),"")</f>
        <v/>
      </c>
      <c r="AL19" s="7">
        <f>IFERROR($E19*VLOOKUP($D19,'原料主数据'!$A:$AN, 38, FALSE),"")</f>
        <v/>
      </c>
      <c r="AM19" s="7">
        <f>IFERROR($E19*VLOOKUP($D19,'原料主数据'!$A:$AN, 39, FALSE),"")</f>
        <v/>
      </c>
    </row>
    <row r="20">
      <c r="A20" s="6" t="inlineStr">
        <is>
          <t>EP-0002</t>
        </is>
      </c>
      <c r="B20" s="6" t="inlineStr">
        <is>
          <t>EP-A</t>
        </is>
      </c>
      <c r="C20" s="6" t="inlineStr">
        <is>
          <t>环氧酚醛</t>
        </is>
      </c>
      <c r="D20" s="6" t="inlineStr">
        <is>
          <t>10%磷酸</t>
        </is>
      </c>
      <c r="E20" s="6" t="n">
        <v>2.4</v>
      </c>
      <c r="F20" s="6">
        <f>IFERROR(VLOOKUP($D20,'原料主数据'!$A:$E,4,FALSE),"待登记")</f>
        <v/>
      </c>
      <c r="G20" s="6">
        <f>IFERROR(VLOOKUP($D20,'原料主数据'!$A:$E,5,FALSE),"待登记")</f>
        <v/>
      </c>
      <c r="H20" s="6">
        <f>IFERROR($E20*VLOOKUP($D20,'原料主数据'!$A:$AN, 8, FALSE),"")</f>
        <v/>
      </c>
      <c r="I20" s="6">
        <f>IFERROR($E20*VLOOKUP($D20,'原料主数据'!$A:$AN, 9, FALSE),"")</f>
        <v/>
      </c>
      <c r="J20" s="6">
        <f>IFERROR($E20*VLOOKUP($D20,'原料主数据'!$A:$AN, 10, FALSE),"")</f>
        <v/>
      </c>
      <c r="K20" s="6">
        <f>IFERROR($E20*VLOOKUP($D20,'原料主数据'!$A:$AN, 11, FALSE),"")</f>
        <v/>
      </c>
      <c r="L20" s="6">
        <f>IFERROR($E20*VLOOKUP($D20,'原料主数据'!$A:$AN, 12, FALSE),"")</f>
        <v/>
      </c>
      <c r="M20" s="6">
        <f>IFERROR($E20*VLOOKUP($D20,'原料主数据'!$A:$AN, 13, FALSE),"")</f>
        <v/>
      </c>
      <c r="N20" s="6">
        <f>IFERROR($E20*VLOOKUP($D20,'原料主数据'!$A:$AN, 14, FALSE),"")</f>
        <v/>
      </c>
      <c r="O20" s="6">
        <f>IFERROR($E20*VLOOKUP($D20,'原料主数据'!$A:$AN, 15, FALSE),"")</f>
        <v/>
      </c>
      <c r="P20" s="6">
        <f>IFERROR($E20*VLOOKUP($D20,'原料主数据'!$A:$AN, 16, FALSE),"")</f>
        <v/>
      </c>
      <c r="Q20" s="6">
        <f>IFERROR($E20*VLOOKUP($D20,'原料主数据'!$A:$AN, 17, FALSE),"")</f>
        <v/>
      </c>
      <c r="R20" s="6">
        <f>IFERROR($E20*VLOOKUP($D20,'原料主数据'!$A:$AN, 18, FALSE),"")</f>
        <v/>
      </c>
      <c r="S20" s="6">
        <f>IFERROR($E20*VLOOKUP($D20,'原料主数据'!$A:$AN, 19, FALSE),"")</f>
        <v/>
      </c>
      <c r="T20" s="6">
        <f>IFERROR($E20*VLOOKUP($D20,'原料主数据'!$A:$AN, 20, FALSE),"")</f>
        <v/>
      </c>
      <c r="U20" s="6">
        <f>IFERROR($E20*VLOOKUP($D20,'原料主数据'!$A:$AN, 21, FALSE),"")</f>
        <v/>
      </c>
      <c r="V20" s="6">
        <f>IFERROR($E20*VLOOKUP($D20,'原料主数据'!$A:$AN, 22, FALSE),"")</f>
        <v/>
      </c>
      <c r="W20" s="6">
        <f>IFERROR($E20*VLOOKUP($D20,'原料主数据'!$A:$AN, 23, FALSE),"")</f>
        <v/>
      </c>
      <c r="X20" s="6">
        <f>IFERROR($E20*VLOOKUP($D20,'原料主数据'!$A:$AN, 24, FALSE),"")</f>
        <v/>
      </c>
      <c r="Y20" s="6">
        <f>IFERROR($E20*VLOOKUP($D20,'原料主数据'!$A:$AN, 25, FALSE),"")</f>
        <v/>
      </c>
      <c r="Z20" s="6">
        <f>IFERROR($E20*VLOOKUP($D20,'原料主数据'!$A:$AN, 26, FALSE),"")</f>
        <v/>
      </c>
      <c r="AA20" s="6">
        <f>IFERROR($E20*VLOOKUP($D20,'原料主数据'!$A:$AN, 27, FALSE),"")</f>
        <v/>
      </c>
      <c r="AB20" s="6">
        <f>IFERROR($E20*VLOOKUP($D20,'原料主数据'!$A:$AN, 28, FALSE),"")</f>
        <v/>
      </c>
      <c r="AC20" s="6">
        <f>IFERROR($E20*VLOOKUP($D20,'原料主数据'!$A:$AN, 29, FALSE),"")</f>
        <v/>
      </c>
      <c r="AD20" s="6">
        <f>IFERROR($E20*VLOOKUP($D20,'原料主数据'!$A:$AN, 30, FALSE),"")</f>
        <v/>
      </c>
      <c r="AE20" s="6">
        <f>IFERROR($E20*VLOOKUP($D20,'原料主数据'!$A:$AN, 31, FALSE),"")</f>
        <v/>
      </c>
      <c r="AF20" s="6">
        <f>IFERROR($E20*VLOOKUP($D20,'原料主数据'!$A:$AN, 32, FALSE),"")</f>
        <v/>
      </c>
      <c r="AG20" s="6">
        <f>IFERROR($E20*VLOOKUP($D20,'原料主数据'!$A:$AN, 33, FALSE),"")</f>
        <v/>
      </c>
      <c r="AH20" s="6">
        <f>IFERROR($E20*VLOOKUP($D20,'原料主数据'!$A:$AN, 34, FALSE),"")</f>
        <v/>
      </c>
      <c r="AI20" s="6">
        <f>IFERROR($E20*VLOOKUP($D20,'原料主数据'!$A:$AN, 35, FALSE),"")</f>
        <v/>
      </c>
      <c r="AJ20" s="6">
        <f>IFERROR($E20*VLOOKUP($D20,'原料主数据'!$A:$AN, 36, FALSE),"")</f>
        <v/>
      </c>
      <c r="AK20" s="6">
        <f>IFERROR($E20*VLOOKUP($D20,'原料主数据'!$A:$AN, 37, FALSE),"")</f>
        <v/>
      </c>
      <c r="AL20" s="6">
        <f>IFERROR($E20*VLOOKUP($D20,'原料主数据'!$A:$AN, 38, FALSE),"")</f>
        <v/>
      </c>
      <c r="AM20" s="6">
        <f>IFERROR($E20*VLOOKUP($D20,'原料主数据'!$A:$AN, 39, FALSE),"")</f>
        <v/>
      </c>
    </row>
    <row r="21">
      <c r="A21" s="7" t="inlineStr">
        <is>
          <t>EP-0003</t>
        </is>
      </c>
      <c r="B21" s="7" t="inlineStr">
        <is>
          <t>EP-B</t>
        </is>
      </c>
      <c r="C21" s="7" t="inlineStr">
        <is>
          <t>环氧酚醛</t>
        </is>
      </c>
      <c r="D21" s="7" t="inlineStr">
        <is>
          <t>IR190</t>
        </is>
      </c>
      <c r="E21" s="7" t="n">
        <v>66.08</v>
      </c>
      <c r="F21" s="7">
        <f>IFERROR(VLOOKUP($D21,'原料主数据'!$A:$E,4,FALSE),"待登记")</f>
        <v/>
      </c>
      <c r="G21" s="7">
        <f>IFERROR(VLOOKUP($D21,'原料主数据'!$A:$E,5,FALSE),"待登记")</f>
        <v/>
      </c>
      <c r="H21" s="7">
        <f>IFERROR($E21*VLOOKUP($D21,'原料主数据'!$A:$AN, 8, FALSE),"")</f>
        <v/>
      </c>
      <c r="I21" s="7">
        <f>IFERROR($E21*VLOOKUP($D21,'原料主数据'!$A:$AN, 9, FALSE),"")</f>
        <v/>
      </c>
      <c r="J21" s="7">
        <f>IFERROR($E21*VLOOKUP($D21,'原料主数据'!$A:$AN, 10, FALSE),"")</f>
        <v/>
      </c>
      <c r="K21" s="7">
        <f>IFERROR($E21*VLOOKUP($D21,'原料主数据'!$A:$AN, 11, FALSE),"")</f>
        <v/>
      </c>
      <c r="L21" s="7">
        <f>IFERROR($E21*VLOOKUP($D21,'原料主数据'!$A:$AN, 12, FALSE),"")</f>
        <v/>
      </c>
      <c r="M21" s="7">
        <f>IFERROR($E21*VLOOKUP($D21,'原料主数据'!$A:$AN, 13, FALSE),"")</f>
        <v/>
      </c>
      <c r="N21" s="7">
        <f>IFERROR($E21*VLOOKUP($D21,'原料主数据'!$A:$AN, 14, FALSE),"")</f>
        <v/>
      </c>
      <c r="O21" s="7">
        <f>IFERROR($E21*VLOOKUP($D21,'原料主数据'!$A:$AN, 15, FALSE),"")</f>
        <v/>
      </c>
      <c r="P21" s="7">
        <f>IFERROR($E21*VLOOKUP($D21,'原料主数据'!$A:$AN, 16, FALSE),"")</f>
        <v/>
      </c>
      <c r="Q21" s="7">
        <f>IFERROR($E21*VLOOKUP($D21,'原料主数据'!$A:$AN, 17, FALSE),"")</f>
        <v/>
      </c>
      <c r="R21" s="7">
        <f>IFERROR($E21*VLOOKUP($D21,'原料主数据'!$A:$AN, 18, FALSE),"")</f>
        <v/>
      </c>
      <c r="S21" s="7">
        <f>IFERROR($E21*VLOOKUP($D21,'原料主数据'!$A:$AN, 19, FALSE),"")</f>
        <v/>
      </c>
      <c r="T21" s="7">
        <f>IFERROR($E21*VLOOKUP($D21,'原料主数据'!$A:$AN, 20, FALSE),"")</f>
        <v/>
      </c>
      <c r="U21" s="7">
        <f>IFERROR($E21*VLOOKUP($D21,'原料主数据'!$A:$AN, 21, FALSE),"")</f>
        <v/>
      </c>
      <c r="V21" s="7">
        <f>IFERROR($E21*VLOOKUP($D21,'原料主数据'!$A:$AN, 22, FALSE),"")</f>
        <v/>
      </c>
      <c r="W21" s="7">
        <f>IFERROR($E21*VLOOKUP($D21,'原料主数据'!$A:$AN, 23, FALSE),"")</f>
        <v/>
      </c>
      <c r="X21" s="7">
        <f>IFERROR($E21*VLOOKUP($D21,'原料主数据'!$A:$AN, 24, FALSE),"")</f>
        <v/>
      </c>
      <c r="Y21" s="7">
        <f>IFERROR($E21*VLOOKUP($D21,'原料主数据'!$A:$AN, 25, FALSE),"")</f>
        <v/>
      </c>
      <c r="Z21" s="7">
        <f>IFERROR($E21*VLOOKUP($D21,'原料主数据'!$A:$AN, 26, FALSE),"")</f>
        <v/>
      </c>
      <c r="AA21" s="7">
        <f>IFERROR($E21*VLOOKUP($D21,'原料主数据'!$A:$AN, 27, FALSE),"")</f>
        <v/>
      </c>
      <c r="AB21" s="7">
        <f>IFERROR($E21*VLOOKUP($D21,'原料主数据'!$A:$AN, 28, FALSE),"")</f>
        <v/>
      </c>
      <c r="AC21" s="7">
        <f>IFERROR($E21*VLOOKUP($D21,'原料主数据'!$A:$AN, 29, FALSE),"")</f>
        <v/>
      </c>
      <c r="AD21" s="7">
        <f>IFERROR($E21*VLOOKUP($D21,'原料主数据'!$A:$AN, 30, FALSE),"")</f>
        <v/>
      </c>
      <c r="AE21" s="7">
        <f>IFERROR($E21*VLOOKUP($D21,'原料主数据'!$A:$AN, 31, FALSE),"")</f>
        <v/>
      </c>
      <c r="AF21" s="7">
        <f>IFERROR($E21*VLOOKUP($D21,'原料主数据'!$A:$AN, 32, FALSE),"")</f>
        <v/>
      </c>
      <c r="AG21" s="7">
        <f>IFERROR($E21*VLOOKUP($D21,'原料主数据'!$A:$AN, 33, FALSE),"")</f>
        <v/>
      </c>
      <c r="AH21" s="7">
        <f>IFERROR($E21*VLOOKUP($D21,'原料主数据'!$A:$AN, 34, FALSE),"")</f>
        <v/>
      </c>
      <c r="AI21" s="7">
        <f>IFERROR($E21*VLOOKUP($D21,'原料主数据'!$A:$AN, 35, FALSE),"")</f>
        <v/>
      </c>
      <c r="AJ21" s="7">
        <f>IFERROR($E21*VLOOKUP($D21,'原料主数据'!$A:$AN, 36, FALSE),"")</f>
        <v/>
      </c>
      <c r="AK21" s="7">
        <f>IFERROR($E21*VLOOKUP($D21,'原料主数据'!$A:$AN, 37, FALSE),"")</f>
        <v/>
      </c>
      <c r="AL21" s="7">
        <f>IFERROR($E21*VLOOKUP($D21,'原料主数据'!$A:$AN, 38, FALSE),"")</f>
        <v/>
      </c>
      <c r="AM21" s="7">
        <f>IFERROR($E21*VLOOKUP($D21,'原料主数据'!$A:$AN, 39, FALSE),"")</f>
        <v/>
      </c>
    </row>
    <row r="22">
      <c r="A22" s="6" t="inlineStr">
        <is>
          <t>EP-0003</t>
        </is>
      </c>
      <c r="B22" s="6" t="inlineStr">
        <is>
          <t>EP-B</t>
        </is>
      </c>
      <c r="C22" s="6" t="inlineStr">
        <is>
          <t>环氧酚醛</t>
        </is>
      </c>
      <c r="D22" s="6" t="inlineStr">
        <is>
          <t>RF160</t>
        </is>
      </c>
      <c r="E22" s="6" t="n">
        <v>11.73</v>
      </c>
      <c r="F22" s="6">
        <f>IFERROR(VLOOKUP($D22,'原料主数据'!$A:$E,4,FALSE),"待登记")</f>
        <v/>
      </c>
      <c r="G22" s="6">
        <f>IFERROR(VLOOKUP($D22,'原料主数据'!$A:$E,5,FALSE),"待登记")</f>
        <v/>
      </c>
      <c r="H22" s="6">
        <f>IFERROR($E22*VLOOKUP($D22,'原料主数据'!$A:$AN, 8, FALSE),"")</f>
        <v/>
      </c>
      <c r="I22" s="6">
        <f>IFERROR($E22*VLOOKUP($D22,'原料主数据'!$A:$AN, 9, FALSE),"")</f>
        <v/>
      </c>
      <c r="J22" s="6">
        <f>IFERROR($E22*VLOOKUP($D22,'原料主数据'!$A:$AN, 10, FALSE),"")</f>
        <v/>
      </c>
      <c r="K22" s="6">
        <f>IFERROR($E22*VLOOKUP($D22,'原料主数据'!$A:$AN, 11, FALSE),"")</f>
        <v/>
      </c>
      <c r="L22" s="6">
        <f>IFERROR($E22*VLOOKUP($D22,'原料主数据'!$A:$AN, 12, FALSE),"")</f>
        <v/>
      </c>
      <c r="M22" s="6">
        <f>IFERROR($E22*VLOOKUP($D22,'原料主数据'!$A:$AN, 13, FALSE),"")</f>
        <v/>
      </c>
      <c r="N22" s="6">
        <f>IFERROR($E22*VLOOKUP($D22,'原料主数据'!$A:$AN, 14, FALSE),"")</f>
        <v/>
      </c>
      <c r="O22" s="6">
        <f>IFERROR($E22*VLOOKUP($D22,'原料主数据'!$A:$AN, 15, FALSE),"")</f>
        <v/>
      </c>
      <c r="P22" s="6">
        <f>IFERROR($E22*VLOOKUP($D22,'原料主数据'!$A:$AN, 16, FALSE),"")</f>
        <v/>
      </c>
      <c r="Q22" s="6">
        <f>IFERROR($E22*VLOOKUP($D22,'原料主数据'!$A:$AN, 17, FALSE),"")</f>
        <v/>
      </c>
      <c r="R22" s="6">
        <f>IFERROR($E22*VLOOKUP($D22,'原料主数据'!$A:$AN, 18, FALSE),"")</f>
        <v/>
      </c>
      <c r="S22" s="6">
        <f>IFERROR($E22*VLOOKUP($D22,'原料主数据'!$A:$AN, 19, FALSE),"")</f>
        <v/>
      </c>
      <c r="T22" s="6">
        <f>IFERROR($E22*VLOOKUP($D22,'原料主数据'!$A:$AN, 20, FALSE),"")</f>
        <v/>
      </c>
      <c r="U22" s="6">
        <f>IFERROR($E22*VLOOKUP($D22,'原料主数据'!$A:$AN, 21, FALSE),"")</f>
        <v/>
      </c>
      <c r="V22" s="6">
        <f>IFERROR($E22*VLOOKUP($D22,'原料主数据'!$A:$AN, 22, FALSE),"")</f>
        <v/>
      </c>
      <c r="W22" s="6">
        <f>IFERROR($E22*VLOOKUP($D22,'原料主数据'!$A:$AN, 23, FALSE),"")</f>
        <v/>
      </c>
      <c r="X22" s="6">
        <f>IFERROR($E22*VLOOKUP($D22,'原料主数据'!$A:$AN, 24, FALSE),"")</f>
        <v/>
      </c>
      <c r="Y22" s="6">
        <f>IFERROR($E22*VLOOKUP($D22,'原料主数据'!$A:$AN, 25, FALSE),"")</f>
        <v/>
      </c>
      <c r="Z22" s="6">
        <f>IFERROR($E22*VLOOKUP($D22,'原料主数据'!$A:$AN, 26, FALSE),"")</f>
        <v/>
      </c>
      <c r="AA22" s="6">
        <f>IFERROR($E22*VLOOKUP($D22,'原料主数据'!$A:$AN, 27, FALSE),"")</f>
        <v/>
      </c>
      <c r="AB22" s="6">
        <f>IFERROR($E22*VLOOKUP($D22,'原料主数据'!$A:$AN, 28, FALSE),"")</f>
        <v/>
      </c>
      <c r="AC22" s="6">
        <f>IFERROR($E22*VLOOKUP($D22,'原料主数据'!$A:$AN, 29, FALSE),"")</f>
        <v/>
      </c>
      <c r="AD22" s="6">
        <f>IFERROR($E22*VLOOKUP($D22,'原料主数据'!$A:$AN, 30, FALSE),"")</f>
        <v/>
      </c>
      <c r="AE22" s="6">
        <f>IFERROR($E22*VLOOKUP($D22,'原料主数据'!$A:$AN, 31, FALSE),"")</f>
        <v/>
      </c>
      <c r="AF22" s="6">
        <f>IFERROR($E22*VLOOKUP($D22,'原料主数据'!$A:$AN, 32, FALSE),"")</f>
        <v/>
      </c>
      <c r="AG22" s="6">
        <f>IFERROR($E22*VLOOKUP($D22,'原料主数据'!$A:$AN, 33, FALSE),"")</f>
        <v/>
      </c>
      <c r="AH22" s="6">
        <f>IFERROR($E22*VLOOKUP($D22,'原料主数据'!$A:$AN, 34, FALSE),"")</f>
        <v/>
      </c>
      <c r="AI22" s="6">
        <f>IFERROR($E22*VLOOKUP($D22,'原料主数据'!$A:$AN, 35, FALSE),"")</f>
        <v/>
      </c>
      <c r="AJ22" s="6">
        <f>IFERROR($E22*VLOOKUP($D22,'原料主数据'!$A:$AN, 36, FALSE),"")</f>
        <v/>
      </c>
      <c r="AK22" s="6">
        <f>IFERROR($E22*VLOOKUP($D22,'原料主数据'!$A:$AN, 37, FALSE),"")</f>
        <v/>
      </c>
      <c r="AL22" s="6">
        <f>IFERROR($E22*VLOOKUP($D22,'原料主数据'!$A:$AN, 38, FALSE),"")</f>
        <v/>
      </c>
      <c r="AM22" s="6">
        <f>IFERROR($E22*VLOOKUP($D22,'原料主数据'!$A:$AN, 39, FALSE),"")</f>
        <v/>
      </c>
    </row>
    <row r="23">
      <c r="A23" s="7" t="inlineStr">
        <is>
          <t>EP-0003</t>
        </is>
      </c>
      <c r="B23" s="7" t="inlineStr">
        <is>
          <t>EP-B</t>
        </is>
      </c>
      <c r="C23" s="7" t="inlineStr">
        <is>
          <t>环氧酚醛</t>
        </is>
      </c>
      <c r="D23" s="7" t="inlineStr">
        <is>
          <t>RF950</t>
        </is>
      </c>
      <c r="E23" s="7" t="n">
        <v>0.46</v>
      </c>
      <c r="F23" s="7">
        <f>IFERROR(VLOOKUP($D23,'原料主数据'!$A:$E,4,FALSE),"待登记")</f>
        <v/>
      </c>
      <c r="G23" s="7">
        <f>IFERROR(VLOOKUP($D23,'原料主数据'!$A:$E,5,FALSE),"待登记")</f>
        <v/>
      </c>
      <c r="H23" s="7">
        <f>IFERROR($E23*VLOOKUP($D23,'原料主数据'!$A:$AN, 8, FALSE),"")</f>
        <v/>
      </c>
      <c r="I23" s="7">
        <f>IFERROR($E23*VLOOKUP($D23,'原料主数据'!$A:$AN, 9, FALSE),"")</f>
        <v/>
      </c>
      <c r="J23" s="7">
        <f>IFERROR($E23*VLOOKUP($D23,'原料主数据'!$A:$AN, 10, FALSE),"")</f>
        <v/>
      </c>
      <c r="K23" s="7">
        <f>IFERROR($E23*VLOOKUP($D23,'原料主数据'!$A:$AN, 11, FALSE),"")</f>
        <v/>
      </c>
      <c r="L23" s="7">
        <f>IFERROR($E23*VLOOKUP($D23,'原料主数据'!$A:$AN, 12, FALSE),"")</f>
        <v/>
      </c>
      <c r="M23" s="7">
        <f>IFERROR($E23*VLOOKUP($D23,'原料主数据'!$A:$AN, 13, FALSE),"")</f>
        <v/>
      </c>
      <c r="N23" s="7">
        <f>IFERROR($E23*VLOOKUP($D23,'原料主数据'!$A:$AN, 14, FALSE),"")</f>
        <v/>
      </c>
      <c r="O23" s="7">
        <f>IFERROR($E23*VLOOKUP($D23,'原料主数据'!$A:$AN, 15, FALSE),"")</f>
        <v/>
      </c>
      <c r="P23" s="7">
        <f>IFERROR($E23*VLOOKUP($D23,'原料主数据'!$A:$AN, 16, FALSE),"")</f>
        <v/>
      </c>
      <c r="Q23" s="7">
        <f>IFERROR($E23*VLOOKUP($D23,'原料主数据'!$A:$AN, 17, FALSE),"")</f>
        <v/>
      </c>
      <c r="R23" s="7">
        <f>IFERROR($E23*VLOOKUP($D23,'原料主数据'!$A:$AN, 18, FALSE),"")</f>
        <v/>
      </c>
      <c r="S23" s="7">
        <f>IFERROR($E23*VLOOKUP($D23,'原料主数据'!$A:$AN, 19, FALSE),"")</f>
        <v/>
      </c>
      <c r="T23" s="7">
        <f>IFERROR($E23*VLOOKUP($D23,'原料主数据'!$A:$AN, 20, FALSE),"")</f>
        <v/>
      </c>
      <c r="U23" s="7">
        <f>IFERROR($E23*VLOOKUP($D23,'原料主数据'!$A:$AN, 21, FALSE),"")</f>
        <v/>
      </c>
      <c r="V23" s="7">
        <f>IFERROR($E23*VLOOKUP($D23,'原料主数据'!$A:$AN, 22, FALSE),"")</f>
        <v/>
      </c>
      <c r="W23" s="7">
        <f>IFERROR($E23*VLOOKUP($D23,'原料主数据'!$A:$AN, 23, FALSE),"")</f>
        <v/>
      </c>
      <c r="X23" s="7">
        <f>IFERROR($E23*VLOOKUP($D23,'原料主数据'!$A:$AN, 24, FALSE),"")</f>
        <v/>
      </c>
      <c r="Y23" s="7">
        <f>IFERROR($E23*VLOOKUP($D23,'原料主数据'!$A:$AN, 25, FALSE),"")</f>
        <v/>
      </c>
      <c r="Z23" s="7">
        <f>IFERROR($E23*VLOOKUP($D23,'原料主数据'!$A:$AN, 26, FALSE),"")</f>
        <v/>
      </c>
      <c r="AA23" s="7">
        <f>IFERROR($E23*VLOOKUP($D23,'原料主数据'!$A:$AN, 27, FALSE),"")</f>
        <v/>
      </c>
      <c r="AB23" s="7">
        <f>IFERROR($E23*VLOOKUP($D23,'原料主数据'!$A:$AN, 28, FALSE),"")</f>
        <v/>
      </c>
      <c r="AC23" s="7">
        <f>IFERROR($E23*VLOOKUP($D23,'原料主数据'!$A:$AN, 29, FALSE),"")</f>
        <v/>
      </c>
      <c r="AD23" s="7">
        <f>IFERROR($E23*VLOOKUP($D23,'原料主数据'!$A:$AN, 30, FALSE),"")</f>
        <v/>
      </c>
      <c r="AE23" s="7">
        <f>IFERROR($E23*VLOOKUP($D23,'原料主数据'!$A:$AN, 31, FALSE),"")</f>
        <v/>
      </c>
      <c r="AF23" s="7">
        <f>IFERROR($E23*VLOOKUP($D23,'原料主数据'!$A:$AN, 32, FALSE),"")</f>
        <v/>
      </c>
      <c r="AG23" s="7">
        <f>IFERROR($E23*VLOOKUP($D23,'原料主数据'!$A:$AN, 33, FALSE),"")</f>
        <v/>
      </c>
      <c r="AH23" s="7">
        <f>IFERROR($E23*VLOOKUP($D23,'原料主数据'!$A:$AN, 34, FALSE),"")</f>
        <v/>
      </c>
      <c r="AI23" s="7">
        <f>IFERROR($E23*VLOOKUP($D23,'原料主数据'!$A:$AN, 35, FALSE),"")</f>
        <v/>
      </c>
      <c r="AJ23" s="7">
        <f>IFERROR($E23*VLOOKUP($D23,'原料主数据'!$A:$AN, 36, FALSE),"")</f>
        <v/>
      </c>
      <c r="AK23" s="7">
        <f>IFERROR($E23*VLOOKUP($D23,'原料主数据'!$A:$AN, 37, FALSE),"")</f>
        <v/>
      </c>
      <c r="AL23" s="7">
        <f>IFERROR($E23*VLOOKUP($D23,'原料主数据'!$A:$AN, 38, FALSE),"")</f>
        <v/>
      </c>
      <c r="AM23" s="7">
        <f>IFERROR($E23*VLOOKUP($D23,'原料主数据'!$A:$AN, 39, FALSE),"")</f>
        <v/>
      </c>
    </row>
    <row r="24">
      <c r="A24" s="6" t="inlineStr">
        <is>
          <t>EP-0003</t>
        </is>
      </c>
      <c r="B24" s="6" t="inlineStr">
        <is>
          <t>EP-B</t>
        </is>
      </c>
      <c r="C24" s="6" t="inlineStr">
        <is>
          <t>环氧酚醛</t>
        </is>
      </c>
      <c r="D24" s="6" t="inlineStr">
        <is>
          <t>1510蜡</t>
        </is>
      </c>
      <c r="E24" s="6" t="n">
        <v>3</v>
      </c>
      <c r="F24" s="6">
        <f>IFERROR(VLOOKUP($D24,'原料主数据'!$A:$E,4,FALSE),"待登记")</f>
        <v/>
      </c>
      <c r="G24" s="6">
        <f>IFERROR(VLOOKUP($D24,'原料主数据'!$A:$E,5,FALSE),"待登记")</f>
        <v/>
      </c>
      <c r="H24" s="6">
        <f>IFERROR($E24*VLOOKUP($D24,'原料主数据'!$A:$AN, 8, FALSE),"")</f>
        <v/>
      </c>
      <c r="I24" s="6">
        <f>IFERROR($E24*VLOOKUP($D24,'原料主数据'!$A:$AN, 9, FALSE),"")</f>
        <v/>
      </c>
      <c r="J24" s="6">
        <f>IFERROR($E24*VLOOKUP($D24,'原料主数据'!$A:$AN, 10, FALSE),"")</f>
        <v/>
      </c>
      <c r="K24" s="6">
        <f>IFERROR($E24*VLOOKUP($D24,'原料主数据'!$A:$AN, 11, FALSE),"")</f>
        <v/>
      </c>
      <c r="L24" s="6">
        <f>IFERROR($E24*VLOOKUP($D24,'原料主数据'!$A:$AN, 12, FALSE),"")</f>
        <v/>
      </c>
      <c r="M24" s="6">
        <f>IFERROR($E24*VLOOKUP($D24,'原料主数据'!$A:$AN, 13, FALSE),"")</f>
        <v/>
      </c>
      <c r="N24" s="6">
        <f>IFERROR($E24*VLOOKUP($D24,'原料主数据'!$A:$AN, 14, FALSE),"")</f>
        <v/>
      </c>
      <c r="O24" s="6">
        <f>IFERROR($E24*VLOOKUP($D24,'原料主数据'!$A:$AN, 15, FALSE),"")</f>
        <v/>
      </c>
      <c r="P24" s="6">
        <f>IFERROR($E24*VLOOKUP($D24,'原料主数据'!$A:$AN, 16, FALSE),"")</f>
        <v/>
      </c>
      <c r="Q24" s="6">
        <f>IFERROR($E24*VLOOKUP($D24,'原料主数据'!$A:$AN, 17, FALSE),"")</f>
        <v/>
      </c>
      <c r="R24" s="6">
        <f>IFERROR($E24*VLOOKUP($D24,'原料主数据'!$A:$AN, 18, FALSE),"")</f>
        <v/>
      </c>
      <c r="S24" s="6">
        <f>IFERROR($E24*VLOOKUP($D24,'原料主数据'!$A:$AN, 19, FALSE),"")</f>
        <v/>
      </c>
      <c r="T24" s="6">
        <f>IFERROR($E24*VLOOKUP($D24,'原料主数据'!$A:$AN, 20, FALSE),"")</f>
        <v/>
      </c>
      <c r="U24" s="6">
        <f>IFERROR($E24*VLOOKUP($D24,'原料主数据'!$A:$AN, 21, FALSE),"")</f>
        <v/>
      </c>
      <c r="V24" s="6">
        <f>IFERROR($E24*VLOOKUP($D24,'原料主数据'!$A:$AN, 22, FALSE),"")</f>
        <v/>
      </c>
      <c r="W24" s="6">
        <f>IFERROR($E24*VLOOKUP($D24,'原料主数据'!$A:$AN, 23, FALSE),"")</f>
        <v/>
      </c>
      <c r="X24" s="6">
        <f>IFERROR($E24*VLOOKUP($D24,'原料主数据'!$A:$AN, 24, FALSE),"")</f>
        <v/>
      </c>
      <c r="Y24" s="6">
        <f>IFERROR($E24*VLOOKUP($D24,'原料主数据'!$A:$AN, 25, FALSE),"")</f>
        <v/>
      </c>
      <c r="Z24" s="6">
        <f>IFERROR($E24*VLOOKUP($D24,'原料主数据'!$A:$AN, 26, FALSE),"")</f>
        <v/>
      </c>
      <c r="AA24" s="6">
        <f>IFERROR($E24*VLOOKUP($D24,'原料主数据'!$A:$AN, 27, FALSE),"")</f>
        <v/>
      </c>
      <c r="AB24" s="6">
        <f>IFERROR($E24*VLOOKUP($D24,'原料主数据'!$A:$AN, 28, FALSE),"")</f>
        <v/>
      </c>
      <c r="AC24" s="6">
        <f>IFERROR($E24*VLOOKUP($D24,'原料主数据'!$A:$AN, 29, FALSE),"")</f>
        <v/>
      </c>
      <c r="AD24" s="6">
        <f>IFERROR($E24*VLOOKUP($D24,'原料主数据'!$A:$AN, 30, FALSE),"")</f>
        <v/>
      </c>
      <c r="AE24" s="6">
        <f>IFERROR($E24*VLOOKUP($D24,'原料主数据'!$A:$AN, 31, FALSE),"")</f>
        <v/>
      </c>
      <c r="AF24" s="6">
        <f>IFERROR($E24*VLOOKUP($D24,'原料主数据'!$A:$AN, 32, FALSE),"")</f>
        <v/>
      </c>
      <c r="AG24" s="6">
        <f>IFERROR($E24*VLOOKUP($D24,'原料主数据'!$A:$AN, 33, FALSE),"")</f>
        <v/>
      </c>
      <c r="AH24" s="6">
        <f>IFERROR($E24*VLOOKUP($D24,'原料主数据'!$A:$AN, 34, FALSE),"")</f>
        <v/>
      </c>
      <c r="AI24" s="6">
        <f>IFERROR($E24*VLOOKUP($D24,'原料主数据'!$A:$AN, 35, FALSE),"")</f>
        <v/>
      </c>
      <c r="AJ24" s="6">
        <f>IFERROR($E24*VLOOKUP($D24,'原料主数据'!$A:$AN, 36, FALSE),"")</f>
        <v/>
      </c>
      <c r="AK24" s="6">
        <f>IFERROR($E24*VLOOKUP($D24,'原料主数据'!$A:$AN, 37, FALSE),"")</f>
        <v/>
      </c>
      <c r="AL24" s="6">
        <f>IFERROR($E24*VLOOKUP($D24,'原料主数据'!$A:$AN, 38, FALSE),"")</f>
        <v/>
      </c>
      <c r="AM24" s="6">
        <f>IFERROR($E24*VLOOKUP($D24,'原料主数据'!$A:$AN, 39, FALSE),"")</f>
        <v/>
      </c>
    </row>
    <row r="25">
      <c r="A25" s="7" t="inlineStr">
        <is>
          <t>EP-0003</t>
        </is>
      </c>
      <c r="B25" s="7" t="inlineStr">
        <is>
          <t>EP-B</t>
        </is>
      </c>
      <c r="C25" s="7" t="inlineStr">
        <is>
          <t>环氧酚醛</t>
        </is>
      </c>
      <c r="D25" s="7" t="inlineStr">
        <is>
          <t>AZ088</t>
        </is>
      </c>
      <c r="E25" s="7" t="n">
        <v>0.06</v>
      </c>
      <c r="F25" s="7">
        <f>IFERROR(VLOOKUP($D25,'原料主数据'!$A:$E,4,FALSE),"待登记")</f>
        <v/>
      </c>
      <c r="G25" s="7">
        <f>IFERROR(VLOOKUP($D25,'原料主数据'!$A:$E,5,FALSE),"待登记")</f>
        <v/>
      </c>
      <c r="H25" s="7">
        <f>IFERROR($E25*VLOOKUP($D25,'原料主数据'!$A:$AN, 8, FALSE),"")</f>
        <v/>
      </c>
      <c r="I25" s="7">
        <f>IFERROR($E25*VLOOKUP($D25,'原料主数据'!$A:$AN, 9, FALSE),"")</f>
        <v/>
      </c>
      <c r="J25" s="7">
        <f>IFERROR($E25*VLOOKUP($D25,'原料主数据'!$A:$AN, 10, FALSE),"")</f>
        <v/>
      </c>
      <c r="K25" s="7">
        <f>IFERROR($E25*VLOOKUP($D25,'原料主数据'!$A:$AN, 11, FALSE),"")</f>
        <v/>
      </c>
      <c r="L25" s="7">
        <f>IFERROR($E25*VLOOKUP($D25,'原料主数据'!$A:$AN, 12, FALSE),"")</f>
        <v/>
      </c>
      <c r="M25" s="7">
        <f>IFERROR($E25*VLOOKUP($D25,'原料主数据'!$A:$AN, 13, FALSE),"")</f>
        <v/>
      </c>
      <c r="N25" s="7">
        <f>IFERROR($E25*VLOOKUP($D25,'原料主数据'!$A:$AN, 14, FALSE),"")</f>
        <v/>
      </c>
      <c r="O25" s="7">
        <f>IFERROR($E25*VLOOKUP($D25,'原料主数据'!$A:$AN, 15, FALSE),"")</f>
        <v/>
      </c>
      <c r="P25" s="7">
        <f>IFERROR($E25*VLOOKUP($D25,'原料主数据'!$A:$AN, 16, FALSE),"")</f>
        <v/>
      </c>
      <c r="Q25" s="7">
        <f>IFERROR($E25*VLOOKUP($D25,'原料主数据'!$A:$AN, 17, FALSE),"")</f>
        <v/>
      </c>
      <c r="R25" s="7">
        <f>IFERROR($E25*VLOOKUP($D25,'原料主数据'!$A:$AN, 18, FALSE),"")</f>
        <v/>
      </c>
      <c r="S25" s="7">
        <f>IFERROR($E25*VLOOKUP($D25,'原料主数据'!$A:$AN, 19, FALSE),"")</f>
        <v/>
      </c>
      <c r="T25" s="7">
        <f>IFERROR($E25*VLOOKUP($D25,'原料主数据'!$A:$AN, 20, FALSE),"")</f>
        <v/>
      </c>
      <c r="U25" s="7">
        <f>IFERROR($E25*VLOOKUP($D25,'原料主数据'!$A:$AN, 21, FALSE),"")</f>
        <v/>
      </c>
      <c r="V25" s="7">
        <f>IFERROR($E25*VLOOKUP($D25,'原料主数据'!$A:$AN, 22, FALSE),"")</f>
        <v/>
      </c>
      <c r="W25" s="7">
        <f>IFERROR($E25*VLOOKUP($D25,'原料主数据'!$A:$AN, 23, FALSE),"")</f>
        <v/>
      </c>
      <c r="X25" s="7">
        <f>IFERROR($E25*VLOOKUP($D25,'原料主数据'!$A:$AN, 24, FALSE),"")</f>
        <v/>
      </c>
      <c r="Y25" s="7">
        <f>IFERROR($E25*VLOOKUP($D25,'原料主数据'!$A:$AN, 25, FALSE),"")</f>
        <v/>
      </c>
      <c r="Z25" s="7">
        <f>IFERROR($E25*VLOOKUP($D25,'原料主数据'!$A:$AN, 26, FALSE),"")</f>
        <v/>
      </c>
      <c r="AA25" s="7">
        <f>IFERROR($E25*VLOOKUP($D25,'原料主数据'!$A:$AN, 27, FALSE),"")</f>
        <v/>
      </c>
      <c r="AB25" s="7">
        <f>IFERROR($E25*VLOOKUP($D25,'原料主数据'!$A:$AN, 28, FALSE),"")</f>
        <v/>
      </c>
      <c r="AC25" s="7">
        <f>IFERROR($E25*VLOOKUP($D25,'原料主数据'!$A:$AN, 29, FALSE),"")</f>
        <v/>
      </c>
      <c r="AD25" s="7">
        <f>IFERROR($E25*VLOOKUP($D25,'原料主数据'!$A:$AN, 30, FALSE),"")</f>
        <v/>
      </c>
      <c r="AE25" s="7">
        <f>IFERROR($E25*VLOOKUP($D25,'原料主数据'!$A:$AN, 31, FALSE),"")</f>
        <v/>
      </c>
      <c r="AF25" s="7">
        <f>IFERROR($E25*VLOOKUP($D25,'原料主数据'!$A:$AN, 32, FALSE),"")</f>
        <v/>
      </c>
      <c r="AG25" s="7">
        <f>IFERROR($E25*VLOOKUP($D25,'原料主数据'!$A:$AN, 33, FALSE),"")</f>
        <v/>
      </c>
      <c r="AH25" s="7">
        <f>IFERROR($E25*VLOOKUP($D25,'原料主数据'!$A:$AN, 34, FALSE),"")</f>
        <v/>
      </c>
      <c r="AI25" s="7">
        <f>IFERROR($E25*VLOOKUP($D25,'原料主数据'!$A:$AN, 35, FALSE),"")</f>
        <v/>
      </c>
      <c r="AJ25" s="7">
        <f>IFERROR($E25*VLOOKUP($D25,'原料主数据'!$A:$AN, 36, FALSE),"")</f>
        <v/>
      </c>
      <c r="AK25" s="7">
        <f>IFERROR($E25*VLOOKUP($D25,'原料主数据'!$A:$AN, 37, FALSE),"")</f>
        <v/>
      </c>
      <c r="AL25" s="7">
        <f>IFERROR($E25*VLOOKUP($D25,'原料主数据'!$A:$AN, 38, FALSE),"")</f>
        <v/>
      </c>
      <c r="AM25" s="7">
        <f>IFERROR($E25*VLOOKUP($D25,'原料主数据'!$A:$AN, 39, FALSE),"")</f>
        <v/>
      </c>
    </row>
    <row r="26">
      <c r="A26" s="6" t="inlineStr">
        <is>
          <t>EP-0003</t>
        </is>
      </c>
      <c r="B26" s="6" t="inlineStr">
        <is>
          <t>EP-B</t>
        </is>
      </c>
      <c r="C26" s="6" t="inlineStr">
        <is>
          <t>环氧酚醛</t>
        </is>
      </c>
      <c r="D26" s="6" t="inlineStr">
        <is>
          <t>正丁醇</t>
        </is>
      </c>
      <c r="E26" s="6" t="n">
        <v>4.11</v>
      </c>
      <c r="F26" s="6">
        <f>IFERROR(VLOOKUP($D26,'原料主数据'!$A:$E,4,FALSE),"待登记")</f>
        <v/>
      </c>
      <c r="G26" s="6">
        <f>IFERROR(VLOOKUP($D26,'原料主数据'!$A:$E,5,FALSE),"待登记")</f>
        <v/>
      </c>
      <c r="H26" s="6">
        <f>IFERROR($E26*VLOOKUP($D26,'原料主数据'!$A:$AN, 8, FALSE),"")</f>
        <v/>
      </c>
      <c r="I26" s="6">
        <f>IFERROR($E26*VLOOKUP($D26,'原料主数据'!$A:$AN, 9, FALSE),"")</f>
        <v/>
      </c>
      <c r="J26" s="6">
        <f>IFERROR($E26*VLOOKUP($D26,'原料主数据'!$A:$AN, 10, FALSE),"")</f>
        <v/>
      </c>
      <c r="K26" s="6">
        <f>IFERROR($E26*VLOOKUP($D26,'原料主数据'!$A:$AN, 11, FALSE),"")</f>
        <v/>
      </c>
      <c r="L26" s="6">
        <f>IFERROR($E26*VLOOKUP($D26,'原料主数据'!$A:$AN, 12, FALSE),"")</f>
        <v/>
      </c>
      <c r="M26" s="6">
        <f>IFERROR($E26*VLOOKUP($D26,'原料主数据'!$A:$AN, 13, FALSE),"")</f>
        <v/>
      </c>
      <c r="N26" s="6">
        <f>IFERROR($E26*VLOOKUP($D26,'原料主数据'!$A:$AN, 14, FALSE),"")</f>
        <v/>
      </c>
      <c r="O26" s="6">
        <f>IFERROR($E26*VLOOKUP($D26,'原料主数据'!$A:$AN, 15, FALSE),"")</f>
        <v/>
      </c>
      <c r="P26" s="6">
        <f>IFERROR($E26*VLOOKUP($D26,'原料主数据'!$A:$AN, 16, FALSE),"")</f>
        <v/>
      </c>
      <c r="Q26" s="6">
        <f>IFERROR($E26*VLOOKUP($D26,'原料主数据'!$A:$AN, 17, FALSE),"")</f>
        <v/>
      </c>
      <c r="R26" s="6">
        <f>IFERROR($E26*VLOOKUP($D26,'原料主数据'!$A:$AN, 18, FALSE),"")</f>
        <v/>
      </c>
      <c r="S26" s="6">
        <f>IFERROR($E26*VLOOKUP($D26,'原料主数据'!$A:$AN, 19, FALSE),"")</f>
        <v/>
      </c>
      <c r="T26" s="6">
        <f>IFERROR($E26*VLOOKUP($D26,'原料主数据'!$A:$AN, 20, FALSE),"")</f>
        <v/>
      </c>
      <c r="U26" s="6">
        <f>IFERROR($E26*VLOOKUP($D26,'原料主数据'!$A:$AN, 21, FALSE),"")</f>
        <v/>
      </c>
      <c r="V26" s="6">
        <f>IFERROR($E26*VLOOKUP($D26,'原料主数据'!$A:$AN, 22, FALSE),"")</f>
        <v/>
      </c>
      <c r="W26" s="6">
        <f>IFERROR($E26*VLOOKUP($D26,'原料主数据'!$A:$AN, 23, FALSE),"")</f>
        <v/>
      </c>
      <c r="X26" s="6">
        <f>IFERROR($E26*VLOOKUP($D26,'原料主数据'!$A:$AN, 24, FALSE),"")</f>
        <v/>
      </c>
      <c r="Y26" s="6">
        <f>IFERROR($E26*VLOOKUP($D26,'原料主数据'!$A:$AN, 25, FALSE),"")</f>
        <v/>
      </c>
      <c r="Z26" s="6">
        <f>IFERROR($E26*VLOOKUP($D26,'原料主数据'!$A:$AN, 26, FALSE),"")</f>
        <v/>
      </c>
      <c r="AA26" s="6">
        <f>IFERROR($E26*VLOOKUP($D26,'原料主数据'!$A:$AN, 27, FALSE),"")</f>
        <v/>
      </c>
      <c r="AB26" s="6">
        <f>IFERROR($E26*VLOOKUP($D26,'原料主数据'!$A:$AN, 28, FALSE),"")</f>
        <v/>
      </c>
      <c r="AC26" s="6">
        <f>IFERROR($E26*VLOOKUP($D26,'原料主数据'!$A:$AN, 29, FALSE),"")</f>
        <v/>
      </c>
      <c r="AD26" s="6">
        <f>IFERROR($E26*VLOOKUP($D26,'原料主数据'!$A:$AN, 30, FALSE),"")</f>
        <v/>
      </c>
      <c r="AE26" s="6">
        <f>IFERROR($E26*VLOOKUP($D26,'原料主数据'!$A:$AN, 31, FALSE),"")</f>
        <v/>
      </c>
      <c r="AF26" s="6">
        <f>IFERROR($E26*VLOOKUP($D26,'原料主数据'!$A:$AN, 32, FALSE),"")</f>
        <v/>
      </c>
      <c r="AG26" s="6">
        <f>IFERROR($E26*VLOOKUP($D26,'原料主数据'!$A:$AN, 33, FALSE),"")</f>
        <v/>
      </c>
      <c r="AH26" s="6">
        <f>IFERROR($E26*VLOOKUP($D26,'原料主数据'!$A:$AN, 34, FALSE),"")</f>
        <v/>
      </c>
      <c r="AI26" s="6">
        <f>IFERROR($E26*VLOOKUP($D26,'原料主数据'!$A:$AN, 35, FALSE),"")</f>
        <v/>
      </c>
      <c r="AJ26" s="6">
        <f>IFERROR($E26*VLOOKUP($D26,'原料主数据'!$A:$AN, 36, FALSE),"")</f>
        <v/>
      </c>
      <c r="AK26" s="6">
        <f>IFERROR($E26*VLOOKUP($D26,'原料主数据'!$A:$AN, 37, FALSE),"")</f>
        <v/>
      </c>
      <c r="AL26" s="6">
        <f>IFERROR($E26*VLOOKUP($D26,'原料主数据'!$A:$AN, 38, FALSE),"")</f>
        <v/>
      </c>
      <c r="AM26" s="6">
        <f>IFERROR($E26*VLOOKUP($D26,'原料主数据'!$A:$AN, 39, FALSE),"")</f>
        <v/>
      </c>
    </row>
    <row r="27">
      <c r="A27" s="7" t="inlineStr">
        <is>
          <t>EP-0003</t>
        </is>
      </c>
      <c r="B27" s="7" t="inlineStr">
        <is>
          <t>EP-B</t>
        </is>
      </c>
      <c r="C27" s="7" t="inlineStr">
        <is>
          <t>环氧酚醛</t>
        </is>
      </c>
      <c r="D27" s="7" t="inlineStr">
        <is>
          <t>补加混合液</t>
        </is>
      </c>
      <c r="E27" s="7" t="n">
        <v>6.24</v>
      </c>
      <c r="F27" s="7">
        <f>IFERROR(VLOOKUP($D27,'原料主数据'!$A:$E,4,FALSE),"待登记")</f>
        <v/>
      </c>
      <c r="G27" s="7">
        <f>IFERROR(VLOOKUP($D27,'原料主数据'!$A:$E,5,FALSE),"待登记")</f>
        <v/>
      </c>
      <c r="H27" s="7">
        <f>IFERROR($E27*VLOOKUP($D27,'原料主数据'!$A:$AN, 8, FALSE),"")</f>
        <v/>
      </c>
      <c r="I27" s="7">
        <f>IFERROR($E27*VLOOKUP($D27,'原料主数据'!$A:$AN, 9, FALSE),"")</f>
        <v/>
      </c>
      <c r="J27" s="7">
        <f>IFERROR($E27*VLOOKUP($D27,'原料主数据'!$A:$AN, 10, FALSE),"")</f>
        <v/>
      </c>
      <c r="K27" s="7">
        <f>IFERROR($E27*VLOOKUP($D27,'原料主数据'!$A:$AN, 11, FALSE),"")</f>
        <v/>
      </c>
      <c r="L27" s="7">
        <f>IFERROR($E27*VLOOKUP($D27,'原料主数据'!$A:$AN, 12, FALSE),"")</f>
        <v/>
      </c>
      <c r="M27" s="7">
        <f>IFERROR($E27*VLOOKUP($D27,'原料主数据'!$A:$AN, 13, FALSE),"")</f>
        <v/>
      </c>
      <c r="N27" s="7">
        <f>IFERROR($E27*VLOOKUP($D27,'原料主数据'!$A:$AN, 14, FALSE),"")</f>
        <v/>
      </c>
      <c r="O27" s="7">
        <f>IFERROR($E27*VLOOKUP($D27,'原料主数据'!$A:$AN, 15, FALSE),"")</f>
        <v/>
      </c>
      <c r="P27" s="7">
        <f>IFERROR($E27*VLOOKUP($D27,'原料主数据'!$A:$AN, 16, FALSE),"")</f>
        <v/>
      </c>
      <c r="Q27" s="7">
        <f>IFERROR($E27*VLOOKUP($D27,'原料主数据'!$A:$AN, 17, FALSE),"")</f>
        <v/>
      </c>
      <c r="R27" s="7">
        <f>IFERROR($E27*VLOOKUP($D27,'原料主数据'!$A:$AN, 18, FALSE),"")</f>
        <v/>
      </c>
      <c r="S27" s="7">
        <f>IFERROR($E27*VLOOKUP($D27,'原料主数据'!$A:$AN, 19, FALSE),"")</f>
        <v/>
      </c>
      <c r="T27" s="7">
        <f>IFERROR($E27*VLOOKUP($D27,'原料主数据'!$A:$AN, 20, FALSE),"")</f>
        <v/>
      </c>
      <c r="U27" s="7">
        <f>IFERROR($E27*VLOOKUP($D27,'原料主数据'!$A:$AN, 21, FALSE),"")</f>
        <v/>
      </c>
      <c r="V27" s="7">
        <f>IFERROR($E27*VLOOKUP($D27,'原料主数据'!$A:$AN, 22, FALSE),"")</f>
        <v/>
      </c>
      <c r="W27" s="7">
        <f>IFERROR($E27*VLOOKUP($D27,'原料主数据'!$A:$AN, 23, FALSE),"")</f>
        <v/>
      </c>
      <c r="X27" s="7">
        <f>IFERROR($E27*VLOOKUP($D27,'原料主数据'!$A:$AN, 24, FALSE),"")</f>
        <v/>
      </c>
      <c r="Y27" s="7">
        <f>IFERROR($E27*VLOOKUP($D27,'原料主数据'!$A:$AN, 25, FALSE),"")</f>
        <v/>
      </c>
      <c r="Z27" s="7">
        <f>IFERROR($E27*VLOOKUP($D27,'原料主数据'!$A:$AN, 26, FALSE),"")</f>
        <v/>
      </c>
      <c r="AA27" s="7">
        <f>IFERROR($E27*VLOOKUP($D27,'原料主数据'!$A:$AN, 27, FALSE),"")</f>
        <v/>
      </c>
      <c r="AB27" s="7">
        <f>IFERROR($E27*VLOOKUP($D27,'原料主数据'!$A:$AN, 28, FALSE),"")</f>
        <v/>
      </c>
      <c r="AC27" s="7">
        <f>IFERROR($E27*VLOOKUP($D27,'原料主数据'!$A:$AN, 29, FALSE),"")</f>
        <v/>
      </c>
      <c r="AD27" s="7">
        <f>IFERROR($E27*VLOOKUP($D27,'原料主数据'!$A:$AN, 30, FALSE),"")</f>
        <v/>
      </c>
      <c r="AE27" s="7">
        <f>IFERROR($E27*VLOOKUP($D27,'原料主数据'!$A:$AN, 31, FALSE),"")</f>
        <v/>
      </c>
      <c r="AF27" s="7">
        <f>IFERROR($E27*VLOOKUP($D27,'原料主数据'!$A:$AN, 32, FALSE),"")</f>
        <v/>
      </c>
      <c r="AG27" s="7">
        <f>IFERROR($E27*VLOOKUP($D27,'原料主数据'!$A:$AN, 33, FALSE),"")</f>
        <v/>
      </c>
      <c r="AH27" s="7">
        <f>IFERROR($E27*VLOOKUP($D27,'原料主数据'!$A:$AN, 34, FALSE),"")</f>
        <v/>
      </c>
      <c r="AI27" s="7">
        <f>IFERROR($E27*VLOOKUP($D27,'原料主数据'!$A:$AN, 35, FALSE),"")</f>
        <v/>
      </c>
      <c r="AJ27" s="7">
        <f>IFERROR($E27*VLOOKUP($D27,'原料主数据'!$A:$AN, 36, FALSE),"")</f>
        <v/>
      </c>
      <c r="AK27" s="7">
        <f>IFERROR($E27*VLOOKUP($D27,'原料主数据'!$A:$AN, 37, FALSE),"")</f>
        <v/>
      </c>
      <c r="AL27" s="7">
        <f>IFERROR($E27*VLOOKUP($D27,'原料主数据'!$A:$AN, 38, FALSE),"")</f>
        <v/>
      </c>
      <c r="AM27" s="7">
        <f>IFERROR($E27*VLOOKUP($D27,'原料主数据'!$A:$AN, 39, FALSE),"")</f>
        <v/>
      </c>
    </row>
    <row r="28">
      <c r="A28" s="6" t="inlineStr">
        <is>
          <t>EP-0003</t>
        </is>
      </c>
      <c r="B28" s="6" t="inlineStr">
        <is>
          <t>EP-B</t>
        </is>
      </c>
      <c r="C28" s="6" t="inlineStr">
        <is>
          <t>环氧酚醛</t>
        </is>
      </c>
      <c r="D28" s="6" t="inlineStr">
        <is>
          <t>10%磷酸</t>
        </is>
      </c>
      <c r="E28" s="6" t="n">
        <v>1.79</v>
      </c>
      <c r="F28" s="6">
        <f>IFERROR(VLOOKUP($D28,'原料主数据'!$A:$E,4,FALSE),"待登记")</f>
        <v/>
      </c>
      <c r="G28" s="6">
        <f>IFERROR(VLOOKUP($D28,'原料主数据'!$A:$E,5,FALSE),"待登记")</f>
        <v/>
      </c>
      <c r="H28" s="6">
        <f>IFERROR($E28*VLOOKUP($D28,'原料主数据'!$A:$AN, 8, FALSE),"")</f>
        <v/>
      </c>
      <c r="I28" s="6">
        <f>IFERROR($E28*VLOOKUP($D28,'原料主数据'!$A:$AN, 9, FALSE),"")</f>
        <v/>
      </c>
      <c r="J28" s="6">
        <f>IFERROR($E28*VLOOKUP($D28,'原料主数据'!$A:$AN, 10, FALSE),"")</f>
        <v/>
      </c>
      <c r="K28" s="6">
        <f>IFERROR($E28*VLOOKUP($D28,'原料主数据'!$A:$AN, 11, FALSE),"")</f>
        <v/>
      </c>
      <c r="L28" s="6">
        <f>IFERROR($E28*VLOOKUP($D28,'原料主数据'!$A:$AN, 12, FALSE),"")</f>
        <v/>
      </c>
      <c r="M28" s="6">
        <f>IFERROR($E28*VLOOKUP($D28,'原料主数据'!$A:$AN, 13, FALSE),"")</f>
        <v/>
      </c>
      <c r="N28" s="6">
        <f>IFERROR($E28*VLOOKUP($D28,'原料主数据'!$A:$AN, 14, FALSE),"")</f>
        <v/>
      </c>
      <c r="O28" s="6">
        <f>IFERROR($E28*VLOOKUP($D28,'原料主数据'!$A:$AN, 15, FALSE),"")</f>
        <v/>
      </c>
      <c r="P28" s="6">
        <f>IFERROR($E28*VLOOKUP($D28,'原料主数据'!$A:$AN, 16, FALSE),"")</f>
        <v/>
      </c>
      <c r="Q28" s="6">
        <f>IFERROR($E28*VLOOKUP($D28,'原料主数据'!$A:$AN, 17, FALSE),"")</f>
        <v/>
      </c>
      <c r="R28" s="6">
        <f>IFERROR($E28*VLOOKUP($D28,'原料主数据'!$A:$AN, 18, FALSE),"")</f>
        <v/>
      </c>
      <c r="S28" s="6">
        <f>IFERROR($E28*VLOOKUP($D28,'原料主数据'!$A:$AN, 19, FALSE),"")</f>
        <v/>
      </c>
      <c r="T28" s="6">
        <f>IFERROR($E28*VLOOKUP($D28,'原料主数据'!$A:$AN, 20, FALSE),"")</f>
        <v/>
      </c>
      <c r="U28" s="6">
        <f>IFERROR($E28*VLOOKUP($D28,'原料主数据'!$A:$AN, 21, FALSE),"")</f>
        <v/>
      </c>
      <c r="V28" s="6">
        <f>IFERROR($E28*VLOOKUP($D28,'原料主数据'!$A:$AN, 22, FALSE),"")</f>
        <v/>
      </c>
      <c r="W28" s="6">
        <f>IFERROR($E28*VLOOKUP($D28,'原料主数据'!$A:$AN, 23, FALSE),"")</f>
        <v/>
      </c>
      <c r="X28" s="6">
        <f>IFERROR($E28*VLOOKUP($D28,'原料主数据'!$A:$AN, 24, FALSE),"")</f>
        <v/>
      </c>
      <c r="Y28" s="6">
        <f>IFERROR($E28*VLOOKUP($D28,'原料主数据'!$A:$AN, 25, FALSE),"")</f>
        <v/>
      </c>
      <c r="Z28" s="6">
        <f>IFERROR($E28*VLOOKUP($D28,'原料主数据'!$A:$AN, 26, FALSE),"")</f>
        <v/>
      </c>
      <c r="AA28" s="6">
        <f>IFERROR($E28*VLOOKUP($D28,'原料主数据'!$A:$AN, 27, FALSE),"")</f>
        <v/>
      </c>
      <c r="AB28" s="6">
        <f>IFERROR($E28*VLOOKUP($D28,'原料主数据'!$A:$AN, 28, FALSE),"")</f>
        <v/>
      </c>
      <c r="AC28" s="6">
        <f>IFERROR($E28*VLOOKUP($D28,'原料主数据'!$A:$AN, 29, FALSE),"")</f>
        <v/>
      </c>
      <c r="AD28" s="6">
        <f>IFERROR($E28*VLOOKUP($D28,'原料主数据'!$A:$AN, 30, FALSE),"")</f>
        <v/>
      </c>
      <c r="AE28" s="6">
        <f>IFERROR($E28*VLOOKUP($D28,'原料主数据'!$A:$AN, 31, FALSE),"")</f>
        <v/>
      </c>
      <c r="AF28" s="6">
        <f>IFERROR($E28*VLOOKUP($D28,'原料主数据'!$A:$AN, 32, FALSE),"")</f>
        <v/>
      </c>
      <c r="AG28" s="6">
        <f>IFERROR($E28*VLOOKUP($D28,'原料主数据'!$A:$AN, 33, FALSE),"")</f>
        <v/>
      </c>
      <c r="AH28" s="6">
        <f>IFERROR($E28*VLOOKUP($D28,'原料主数据'!$A:$AN, 34, FALSE),"")</f>
        <v/>
      </c>
      <c r="AI28" s="6">
        <f>IFERROR($E28*VLOOKUP($D28,'原料主数据'!$A:$AN, 35, FALSE),"")</f>
        <v/>
      </c>
      <c r="AJ28" s="6">
        <f>IFERROR($E28*VLOOKUP($D28,'原料主数据'!$A:$AN, 36, FALSE),"")</f>
        <v/>
      </c>
      <c r="AK28" s="6">
        <f>IFERROR($E28*VLOOKUP($D28,'原料主数据'!$A:$AN, 37, FALSE),"")</f>
        <v/>
      </c>
      <c r="AL28" s="6">
        <f>IFERROR($E28*VLOOKUP($D28,'原料主数据'!$A:$AN, 38, FALSE),"")</f>
        <v/>
      </c>
      <c r="AM28" s="6">
        <f>IFERROR($E28*VLOOKUP($D28,'原料主数据'!$A:$AN, 39, FALSE),"")</f>
        <v/>
      </c>
    </row>
    <row r="29">
      <c r="A29" s="7" t="inlineStr">
        <is>
          <t>EP-0004</t>
        </is>
      </c>
      <c r="B29" s="7" t="inlineStr">
        <is>
          <t>EP-B</t>
        </is>
      </c>
      <c r="C29" s="7" t="inlineStr">
        <is>
          <t>环氧酚醛</t>
        </is>
      </c>
      <c r="D29" s="7" t="inlineStr">
        <is>
          <t>IR190</t>
        </is>
      </c>
      <c r="E29" s="7" t="n">
        <v>66.23999999999999</v>
      </c>
      <c r="F29" s="7">
        <f>IFERROR(VLOOKUP($D29,'原料主数据'!$A:$E,4,FALSE),"待登记")</f>
        <v/>
      </c>
      <c r="G29" s="7">
        <f>IFERROR(VLOOKUP($D29,'原料主数据'!$A:$E,5,FALSE),"待登记")</f>
        <v/>
      </c>
      <c r="H29" s="7">
        <f>IFERROR($E29*VLOOKUP($D29,'原料主数据'!$A:$AN, 8, FALSE),"")</f>
        <v/>
      </c>
      <c r="I29" s="7">
        <f>IFERROR($E29*VLOOKUP($D29,'原料主数据'!$A:$AN, 9, FALSE),"")</f>
        <v/>
      </c>
      <c r="J29" s="7">
        <f>IFERROR($E29*VLOOKUP($D29,'原料主数据'!$A:$AN, 10, FALSE),"")</f>
        <v/>
      </c>
      <c r="K29" s="7">
        <f>IFERROR($E29*VLOOKUP($D29,'原料主数据'!$A:$AN, 11, FALSE),"")</f>
        <v/>
      </c>
      <c r="L29" s="7">
        <f>IFERROR($E29*VLOOKUP($D29,'原料主数据'!$A:$AN, 12, FALSE),"")</f>
        <v/>
      </c>
      <c r="M29" s="7">
        <f>IFERROR($E29*VLOOKUP($D29,'原料主数据'!$A:$AN, 13, FALSE),"")</f>
        <v/>
      </c>
      <c r="N29" s="7">
        <f>IFERROR($E29*VLOOKUP($D29,'原料主数据'!$A:$AN, 14, FALSE),"")</f>
        <v/>
      </c>
      <c r="O29" s="7">
        <f>IFERROR($E29*VLOOKUP($D29,'原料主数据'!$A:$AN, 15, FALSE),"")</f>
        <v/>
      </c>
      <c r="P29" s="7">
        <f>IFERROR($E29*VLOOKUP($D29,'原料主数据'!$A:$AN, 16, FALSE),"")</f>
        <v/>
      </c>
      <c r="Q29" s="7">
        <f>IFERROR($E29*VLOOKUP($D29,'原料主数据'!$A:$AN, 17, FALSE),"")</f>
        <v/>
      </c>
      <c r="R29" s="7">
        <f>IFERROR($E29*VLOOKUP($D29,'原料主数据'!$A:$AN, 18, FALSE),"")</f>
        <v/>
      </c>
      <c r="S29" s="7">
        <f>IFERROR($E29*VLOOKUP($D29,'原料主数据'!$A:$AN, 19, FALSE),"")</f>
        <v/>
      </c>
      <c r="T29" s="7">
        <f>IFERROR($E29*VLOOKUP($D29,'原料主数据'!$A:$AN, 20, FALSE),"")</f>
        <v/>
      </c>
      <c r="U29" s="7">
        <f>IFERROR($E29*VLOOKUP($D29,'原料主数据'!$A:$AN, 21, FALSE),"")</f>
        <v/>
      </c>
      <c r="V29" s="7">
        <f>IFERROR($E29*VLOOKUP($D29,'原料主数据'!$A:$AN, 22, FALSE),"")</f>
        <v/>
      </c>
      <c r="W29" s="7">
        <f>IFERROR($E29*VLOOKUP($D29,'原料主数据'!$A:$AN, 23, FALSE),"")</f>
        <v/>
      </c>
      <c r="X29" s="7">
        <f>IFERROR($E29*VLOOKUP($D29,'原料主数据'!$A:$AN, 24, FALSE),"")</f>
        <v/>
      </c>
      <c r="Y29" s="7">
        <f>IFERROR($E29*VLOOKUP($D29,'原料主数据'!$A:$AN, 25, FALSE),"")</f>
        <v/>
      </c>
      <c r="Z29" s="7">
        <f>IFERROR($E29*VLOOKUP($D29,'原料主数据'!$A:$AN, 26, FALSE),"")</f>
        <v/>
      </c>
      <c r="AA29" s="7">
        <f>IFERROR($E29*VLOOKUP($D29,'原料主数据'!$A:$AN, 27, FALSE),"")</f>
        <v/>
      </c>
      <c r="AB29" s="7">
        <f>IFERROR($E29*VLOOKUP($D29,'原料主数据'!$A:$AN, 28, FALSE),"")</f>
        <v/>
      </c>
      <c r="AC29" s="7">
        <f>IFERROR($E29*VLOOKUP($D29,'原料主数据'!$A:$AN, 29, FALSE),"")</f>
        <v/>
      </c>
      <c r="AD29" s="7">
        <f>IFERROR($E29*VLOOKUP($D29,'原料主数据'!$A:$AN, 30, FALSE),"")</f>
        <v/>
      </c>
      <c r="AE29" s="7">
        <f>IFERROR($E29*VLOOKUP($D29,'原料主数据'!$A:$AN, 31, FALSE),"")</f>
        <v/>
      </c>
      <c r="AF29" s="7">
        <f>IFERROR($E29*VLOOKUP($D29,'原料主数据'!$A:$AN, 32, FALSE),"")</f>
        <v/>
      </c>
      <c r="AG29" s="7">
        <f>IFERROR($E29*VLOOKUP($D29,'原料主数据'!$A:$AN, 33, FALSE),"")</f>
        <v/>
      </c>
      <c r="AH29" s="7">
        <f>IFERROR($E29*VLOOKUP($D29,'原料主数据'!$A:$AN, 34, FALSE),"")</f>
        <v/>
      </c>
      <c r="AI29" s="7">
        <f>IFERROR($E29*VLOOKUP($D29,'原料主数据'!$A:$AN, 35, FALSE),"")</f>
        <v/>
      </c>
      <c r="AJ29" s="7">
        <f>IFERROR($E29*VLOOKUP($D29,'原料主数据'!$A:$AN, 36, FALSE),"")</f>
        <v/>
      </c>
      <c r="AK29" s="7">
        <f>IFERROR($E29*VLOOKUP($D29,'原料主数据'!$A:$AN, 37, FALSE),"")</f>
        <v/>
      </c>
      <c r="AL29" s="7">
        <f>IFERROR($E29*VLOOKUP($D29,'原料主数据'!$A:$AN, 38, FALSE),"")</f>
        <v/>
      </c>
      <c r="AM29" s="7">
        <f>IFERROR($E29*VLOOKUP($D29,'原料主数据'!$A:$AN, 39, FALSE),"")</f>
        <v/>
      </c>
    </row>
    <row r="30">
      <c r="A30" s="6" t="inlineStr">
        <is>
          <t>EP-0004</t>
        </is>
      </c>
      <c r="B30" s="6" t="inlineStr">
        <is>
          <t>EP-B</t>
        </is>
      </c>
      <c r="C30" s="6" t="inlineStr">
        <is>
          <t>环氧酚醛</t>
        </is>
      </c>
      <c r="D30" s="6" t="inlineStr">
        <is>
          <t>RF160</t>
        </is>
      </c>
      <c r="E30" s="6" t="n">
        <v>1.02</v>
      </c>
      <c r="F30" s="6">
        <f>IFERROR(VLOOKUP($D30,'原料主数据'!$A:$E,4,FALSE),"待登记")</f>
        <v/>
      </c>
      <c r="G30" s="6">
        <f>IFERROR(VLOOKUP($D30,'原料主数据'!$A:$E,5,FALSE),"待登记")</f>
        <v/>
      </c>
      <c r="H30" s="6">
        <f>IFERROR($E30*VLOOKUP($D30,'原料主数据'!$A:$AN, 8, FALSE),"")</f>
        <v/>
      </c>
      <c r="I30" s="6">
        <f>IFERROR($E30*VLOOKUP($D30,'原料主数据'!$A:$AN, 9, FALSE),"")</f>
        <v/>
      </c>
      <c r="J30" s="6">
        <f>IFERROR($E30*VLOOKUP($D30,'原料主数据'!$A:$AN, 10, FALSE),"")</f>
        <v/>
      </c>
      <c r="K30" s="6">
        <f>IFERROR($E30*VLOOKUP($D30,'原料主数据'!$A:$AN, 11, FALSE),"")</f>
        <v/>
      </c>
      <c r="L30" s="6">
        <f>IFERROR($E30*VLOOKUP($D30,'原料主数据'!$A:$AN, 12, FALSE),"")</f>
        <v/>
      </c>
      <c r="M30" s="6">
        <f>IFERROR($E30*VLOOKUP($D30,'原料主数据'!$A:$AN, 13, FALSE),"")</f>
        <v/>
      </c>
      <c r="N30" s="6">
        <f>IFERROR($E30*VLOOKUP($D30,'原料主数据'!$A:$AN, 14, FALSE),"")</f>
        <v/>
      </c>
      <c r="O30" s="6">
        <f>IFERROR($E30*VLOOKUP($D30,'原料主数据'!$A:$AN, 15, FALSE),"")</f>
        <v/>
      </c>
      <c r="P30" s="6">
        <f>IFERROR($E30*VLOOKUP($D30,'原料主数据'!$A:$AN, 16, FALSE),"")</f>
        <v/>
      </c>
      <c r="Q30" s="6">
        <f>IFERROR($E30*VLOOKUP($D30,'原料主数据'!$A:$AN, 17, FALSE),"")</f>
        <v/>
      </c>
      <c r="R30" s="6">
        <f>IFERROR($E30*VLOOKUP($D30,'原料主数据'!$A:$AN, 18, FALSE),"")</f>
        <v/>
      </c>
      <c r="S30" s="6">
        <f>IFERROR($E30*VLOOKUP($D30,'原料主数据'!$A:$AN, 19, FALSE),"")</f>
        <v/>
      </c>
      <c r="T30" s="6">
        <f>IFERROR($E30*VLOOKUP($D30,'原料主数据'!$A:$AN, 20, FALSE),"")</f>
        <v/>
      </c>
      <c r="U30" s="6">
        <f>IFERROR($E30*VLOOKUP($D30,'原料主数据'!$A:$AN, 21, FALSE),"")</f>
        <v/>
      </c>
      <c r="V30" s="6">
        <f>IFERROR($E30*VLOOKUP($D30,'原料主数据'!$A:$AN, 22, FALSE),"")</f>
        <v/>
      </c>
      <c r="W30" s="6">
        <f>IFERROR($E30*VLOOKUP($D30,'原料主数据'!$A:$AN, 23, FALSE),"")</f>
        <v/>
      </c>
      <c r="X30" s="6">
        <f>IFERROR($E30*VLOOKUP($D30,'原料主数据'!$A:$AN, 24, FALSE),"")</f>
        <v/>
      </c>
      <c r="Y30" s="6">
        <f>IFERROR($E30*VLOOKUP($D30,'原料主数据'!$A:$AN, 25, FALSE),"")</f>
        <v/>
      </c>
      <c r="Z30" s="6">
        <f>IFERROR($E30*VLOOKUP($D30,'原料主数据'!$A:$AN, 26, FALSE),"")</f>
        <v/>
      </c>
      <c r="AA30" s="6">
        <f>IFERROR($E30*VLOOKUP($D30,'原料主数据'!$A:$AN, 27, FALSE),"")</f>
        <v/>
      </c>
      <c r="AB30" s="6">
        <f>IFERROR($E30*VLOOKUP($D30,'原料主数据'!$A:$AN, 28, FALSE),"")</f>
        <v/>
      </c>
      <c r="AC30" s="6">
        <f>IFERROR($E30*VLOOKUP($D30,'原料主数据'!$A:$AN, 29, FALSE),"")</f>
        <v/>
      </c>
      <c r="AD30" s="6">
        <f>IFERROR($E30*VLOOKUP($D30,'原料主数据'!$A:$AN, 30, FALSE),"")</f>
        <v/>
      </c>
      <c r="AE30" s="6">
        <f>IFERROR($E30*VLOOKUP($D30,'原料主数据'!$A:$AN, 31, FALSE),"")</f>
        <v/>
      </c>
      <c r="AF30" s="6">
        <f>IFERROR($E30*VLOOKUP($D30,'原料主数据'!$A:$AN, 32, FALSE),"")</f>
        <v/>
      </c>
      <c r="AG30" s="6">
        <f>IFERROR($E30*VLOOKUP($D30,'原料主数据'!$A:$AN, 33, FALSE),"")</f>
        <v/>
      </c>
      <c r="AH30" s="6">
        <f>IFERROR($E30*VLOOKUP($D30,'原料主数据'!$A:$AN, 34, FALSE),"")</f>
        <v/>
      </c>
      <c r="AI30" s="6">
        <f>IFERROR($E30*VLOOKUP($D30,'原料主数据'!$A:$AN, 35, FALSE),"")</f>
        <v/>
      </c>
      <c r="AJ30" s="6">
        <f>IFERROR($E30*VLOOKUP($D30,'原料主数据'!$A:$AN, 36, FALSE),"")</f>
        <v/>
      </c>
      <c r="AK30" s="6">
        <f>IFERROR($E30*VLOOKUP($D30,'原料主数据'!$A:$AN, 37, FALSE),"")</f>
        <v/>
      </c>
      <c r="AL30" s="6">
        <f>IFERROR($E30*VLOOKUP($D30,'原料主数据'!$A:$AN, 38, FALSE),"")</f>
        <v/>
      </c>
      <c r="AM30" s="6">
        <f>IFERROR($E30*VLOOKUP($D30,'原料主数据'!$A:$AN, 39, FALSE),"")</f>
        <v/>
      </c>
    </row>
    <row r="31">
      <c r="A31" s="7" t="inlineStr">
        <is>
          <t>EP-0004</t>
        </is>
      </c>
      <c r="B31" s="7" t="inlineStr">
        <is>
          <t>EP-B</t>
        </is>
      </c>
      <c r="C31" s="7" t="inlineStr">
        <is>
          <t>环氧酚醛</t>
        </is>
      </c>
      <c r="D31" s="7" t="inlineStr">
        <is>
          <t>IR809</t>
        </is>
      </c>
      <c r="E31" s="7" t="n">
        <v>0.51</v>
      </c>
      <c r="F31" s="7">
        <f>IFERROR(VLOOKUP($D31,'原料主数据'!$A:$E,4,FALSE),"待登记")</f>
        <v/>
      </c>
      <c r="G31" s="7">
        <f>IFERROR(VLOOKUP($D31,'原料主数据'!$A:$E,5,FALSE),"待登记")</f>
        <v/>
      </c>
      <c r="H31" s="7">
        <f>IFERROR($E31*VLOOKUP($D31,'原料主数据'!$A:$AN, 8, FALSE),"")</f>
        <v/>
      </c>
      <c r="I31" s="7">
        <f>IFERROR($E31*VLOOKUP($D31,'原料主数据'!$A:$AN, 9, FALSE),"")</f>
        <v/>
      </c>
      <c r="J31" s="7">
        <f>IFERROR($E31*VLOOKUP($D31,'原料主数据'!$A:$AN, 10, FALSE),"")</f>
        <v/>
      </c>
      <c r="K31" s="7">
        <f>IFERROR($E31*VLOOKUP($D31,'原料主数据'!$A:$AN, 11, FALSE),"")</f>
        <v/>
      </c>
      <c r="L31" s="7">
        <f>IFERROR($E31*VLOOKUP($D31,'原料主数据'!$A:$AN, 12, FALSE),"")</f>
        <v/>
      </c>
      <c r="M31" s="7">
        <f>IFERROR($E31*VLOOKUP($D31,'原料主数据'!$A:$AN, 13, FALSE),"")</f>
        <v/>
      </c>
      <c r="N31" s="7">
        <f>IFERROR($E31*VLOOKUP($D31,'原料主数据'!$A:$AN, 14, FALSE),"")</f>
        <v/>
      </c>
      <c r="O31" s="7">
        <f>IFERROR($E31*VLOOKUP($D31,'原料主数据'!$A:$AN, 15, FALSE),"")</f>
        <v/>
      </c>
      <c r="P31" s="7">
        <f>IFERROR($E31*VLOOKUP($D31,'原料主数据'!$A:$AN, 16, FALSE),"")</f>
        <v/>
      </c>
      <c r="Q31" s="7">
        <f>IFERROR($E31*VLOOKUP($D31,'原料主数据'!$A:$AN, 17, FALSE),"")</f>
        <v/>
      </c>
      <c r="R31" s="7">
        <f>IFERROR($E31*VLOOKUP($D31,'原料主数据'!$A:$AN, 18, FALSE),"")</f>
        <v/>
      </c>
      <c r="S31" s="7">
        <f>IFERROR($E31*VLOOKUP($D31,'原料主数据'!$A:$AN, 19, FALSE),"")</f>
        <v/>
      </c>
      <c r="T31" s="7">
        <f>IFERROR($E31*VLOOKUP($D31,'原料主数据'!$A:$AN, 20, FALSE),"")</f>
        <v/>
      </c>
      <c r="U31" s="7">
        <f>IFERROR($E31*VLOOKUP($D31,'原料主数据'!$A:$AN, 21, FALSE),"")</f>
        <v/>
      </c>
      <c r="V31" s="7">
        <f>IFERROR($E31*VLOOKUP($D31,'原料主数据'!$A:$AN, 22, FALSE),"")</f>
        <v/>
      </c>
      <c r="W31" s="7">
        <f>IFERROR($E31*VLOOKUP($D31,'原料主数据'!$A:$AN, 23, FALSE),"")</f>
        <v/>
      </c>
      <c r="X31" s="7">
        <f>IFERROR($E31*VLOOKUP($D31,'原料主数据'!$A:$AN, 24, FALSE),"")</f>
        <v/>
      </c>
      <c r="Y31" s="7">
        <f>IFERROR($E31*VLOOKUP($D31,'原料主数据'!$A:$AN, 25, FALSE),"")</f>
        <v/>
      </c>
      <c r="Z31" s="7">
        <f>IFERROR($E31*VLOOKUP($D31,'原料主数据'!$A:$AN, 26, FALSE),"")</f>
        <v/>
      </c>
      <c r="AA31" s="7">
        <f>IFERROR($E31*VLOOKUP($D31,'原料主数据'!$A:$AN, 27, FALSE),"")</f>
        <v/>
      </c>
      <c r="AB31" s="7">
        <f>IFERROR($E31*VLOOKUP($D31,'原料主数据'!$A:$AN, 28, FALSE),"")</f>
        <v/>
      </c>
      <c r="AC31" s="7">
        <f>IFERROR($E31*VLOOKUP($D31,'原料主数据'!$A:$AN, 29, FALSE),"")</f>
        <v/>
      </c>
      <c r="AD31" s="7">
        <f>IFERROR($E31*VLOOKUP($D31,'原料主数据'!$A:$AN, 30, FALSE),"")</f>
        <v/>
      </c>
      <c r="AE31" s="7">
        <f>IFERROR($E31*VLOOKUP($D31,'原料主数据'!$A:$AN, 31, FALSE),"")</f>
        <v/>
      </c>
      <c r="AF31" s="7">
        <f>IFERROR($E31*VLOOKUP($D31,'原料主数据'!$A:$AN, 32, FALSE),"")</f>
        <v/>
      </c>
      <c r="AG31" s="7">
        <f>IFERROR($E31*VLOOKUP($D31,'原料主数据'!$A:$AN, 33, FALSE),"")</f>
        <v/>
      </c>
      <c r="AH31" s="7">
        <f>IFERROR($E31*VLOOKUP($D31,'原料主数据'!$A:$AN, 34, FALSE),"")</f>
        <v/>
      </c>
      <c r="AI31" s="7">
        <f>IFERROR($E31*VLOOKUP($D31,'原料主数据'!$A:$AN, 35, FALSE),"")</f>
        <v/>
      </c>
      <c r="AJ31" s="7">
        <f>IFERROR($E31*VLOOKUP($D31,'原料主数据'!$A:$AN, 36, FALSE),"")</f>
        <v/>
      </c>
      <c r="AK31" s="7">
        <f>IFERROR($E31*VLOOKUP($D31,'原料主数据'!$A:$AN, 37, FALSE),"")</f>
        <v/>
      </c>
      <c r="AL31" s="7">
        <f>IFERROR($E31*VLOOKUP($D31,'原料主数据'!$A:$AN, 38, FALSE),"")</f>
        <v/>
      </c>
      <c r="AM31" s="7">
        <f>IFERROR($E31*VLOOKUP($D31,'原料主数据'!$A:$AN, 39, FALSE),"")</f>
        <v/>
      </c>
    </row>
    <row r="32">
      <c r="A32" s="6" t="inlineStr">
        <is>
          <t>EP-0004</t>
        </is>
      </c>
      <c r="B32" s="6" t="inlineStr">
        <is>
          <t>EP-B</t>
        </is>
      </c>
      <c r="C32" s="6" t="inlineStr">
        <is>
          <t>环氧酚醛</t>
        </is>
      </c>
      <c r="D32" s="6" t="inlineStr">
        <is>
          <t>RF516</t>
        </is>
      </c>
      <c r="E32" s="6" t="n">
        <v>6.18</v>
      </c>
      <c r="F32" s="6">
        <f>IFERROR(VLOOKUP($D32,'原料主数据'!$A:$E,4,FALSE),"待登记")</f>
        <v/>
      </c>
      <c r="G32" s="6">
        <f>IFERROR(VLOOKUP($D32,'原料主数据'!$A:$E,5,FALSE),"待登记")</f>
        <v/>
      </c>
      <c r="H32" s="6">
        <f>IFERROR($E32*VLOOKUP($D32,'原料主数据'!$A:$AN, 8, FALSE),"")</f>
        <v/>
      </c>
      <c r="I32" s="6">
        <f>IFERROR($E32*VLOOKUP($D32,'原料主数据'!$A:$AN, 9, FALSE),"")</f>
        <v/>
      </c>
      <c r="J32" s="6">
        <f>IFERROR($E32*VLOOKUP($D32,'原料主数据'!$A:$AN, 10, FALSE),"")</f>
        <v/>
      </c>
      <c r="K32" s="6">
        <f>IFERROR($E32*VLOOKUP($D32,'原料主数据'!$A:$AN, 11, FALSE),"")</f>
        <v/>
      </c>
      <c r="L32" s="6">
        <f>IFERROR($E32*VLOOKUP($D32,'原料主数据'!$A:$AN, 12, FALSE),"")</f>
        <v/>
      </c>
      <c r="M32" s="6">
        <f>IFERROR($E32*VLOOKUP($D32,'原料主数据'!$A:$AN, 13, FALSE),"")</f>
        <v/>
      </c>
      <c r="N32" s="6">
        <f>IFERROR($E32*VLOOKUP($D32,'原料主数据'!$A:$AN, 14, FALSE),"")</f>
        <v/>
      </c>
      <c r="O32" s="6">
        <f>IFERROR($E32*VLOOKUP($D32,'原料主数据'!$A:$AN, 15, FALSE),"")</f>
        <v/>
      </c>
      <c r="P32" s="6">
        <f>IFERROR($E32*VLOOKUP($D32,'原料主数据'!$A:$AN, 16, FALSE),"")</f>
        <v/>
      </c>
      <c r="Q32" s="6">
        <f>IFERROR($E32*VLOOKUP($D32,'原料主数据'!$A:$AN, 17, FALSE),"")</f>
        <v/>
      </c>
      <c r="R32" s="6">
        <f>IFERROR($E32*VLOOKUP($D32,'原料主数据'!$A:$AN, 18, FALSE),"")</f>
        <v/>
      </c>
      <c r="S32" s="6">
        <f>IFERROR($E32*VLOOKUP($D32,'原料主数据'!$A:$AN, 19, FALSE),"")</f>
        <v/>
      </c>
      <c r="T32" s="6">
        <f>IFERROR($E32*VLOOKUP($D32,'原料主数据'!$A:$AN, 20, FALSE),"")</f>
        <v/>
      </c>
      <c r="U32" s="6">
        <f>IFERROR($E32*VLOOKUP($D32,'原料主数据'!$A:$AN, 21, FALSE),"")</f>
        <v/>
      </c>
      <c r="V32" s="6">
        <f>IFERROR($E32*VLOOKUP($D32,'原料主数据'!$A:$AN, 22, FALSE),"")</f>
        <v/>
      </c>
      <c r="W32" s="6">
        <f>IFERROR($E32*VLOOKUP($D32,'原料主数据'!$A:$AN, 23, FALSE),"")</f>
        <v/>
      </c>
      <c r="X32" s="6">
        <f>IFERROR($E32*VLOOKUP($D32,'原料主数据'!$A:$AN, 24, FALSE),"")</f>
        <v/>
      </c>
      <c r="Y32" s="6">
        <f>IFERROR($E32*VLOOKUP($D32,'原料主数据'!$A:$AN, 25, FALSE),"")</f>
        <v/>
      </c>
      <c r="Z32" s="6">
        <f>IFERROR($E32*VLOOKUP($D32,'原料主数据'!$A:$AN, 26, FALSE),"")</f>
        <v/>
      </c>
      <c r="AA32" s="6">
        <f>IFERROR($E32*VLOOKUP($D32,'原料主数据'!$A:$AN, 27, FALSE),"")</f>
        <v/>
      </c>
      <c r="AB32" s="6">
        <f>IFERROR($E32*VLOOKUP($D32,'原料主数据'!$A:$AN, 28, FALSE),"")</f>
        <v/>
      </c>
      <c r="AC32" s="6">
        <f>IFERROR($E32*VLOOKUP($D32,'原料主数据'!$A:$AN, 29, FALSE),"")</f>
        <v/>
      </c>
      <c r="AD32" s="6">
        <f>IFERROR($E32*VLOOKUP($D32,'原料主数据'!$A:$AN, 30, FALSE),"")</f>
        <v/>
      </c>
      <c r="AE32" s="6">
        <f>IFERROR($E32*VLOOKUP($D32,'原料主数据'!$A:$AN, 31, FALSE),"")</f>
        <v/>
      </c>
      <c r="AF32" s="6">
        <f>IFERROR($E32*VLOOKUP($D32,'原料主数据'!$A:$AN, 32, FALSE),"")</f>
        <v/>
      </c>
      <c r="AG32" s="6">
        <f>IFERROR($E32*VLOOKUP($D32,'原料主数据'!$A:$AN, 33, FALSE),"")</f>
        <v/>
      </c>
      <c r="AH32" s="6">
        <f>IFERROR($E32*VLOOKUP($D32,'原料主数据'!$A:$AN, 34, FALSE),"")</f>
        <v/>
      </c>
      <c r="AI32" s="6">
        <f>IFERROR($E32*VLOOKUP($D32,'原料主数据'!$A:$AN, 35, FALSE),"")</f>
        <v/>
      </c>
      <c r="AJ32" s="6">
        <f>IFERROR($E32*VLOOKUP($D32,'原料主数据'!$A:$AN, 36, FALSE),"")</f>
        <v/>
      </c>
      <c r="AK32" s="6">
        <f>IFERROR($E32*VLOOKUP($D32,'原料主数据'!$A:$AN, 37, FALSE),"")</f>
        <v/>
      </c>
      <c r="AL32" s="6">
        <f>IFERROR($E32*VLOOKUP($D32,'原料主数据'!$A:$AN, 38, FALSE),"")</f>
        <v/>
      </c>
      <c r="AM32" s="6">
        <f>IFERROR($E32*VLOOKUP($D32,'原料主数据'!$A:$AN, 39, FALSE),"")</f>
        <v/>
      </c>
    </row>
    <row r="33">
      <c r="A33" s="7" t="inlineStr">
        <is>
          <t>EP-0004</t>
        </is>
      </c>
      <c r="B33" s="7" t="inlineStr">
        <is>
          <t>EP-B</t>
        </is>
      </c>
      <c r="C33" s="7" t="inlineStr">
        <is>
          <t>环氧酚醛</t>
        </is>
      </c>
      <c r="D33" s="7" t="inlineStr">
        <is>
          <t>RF950</t>
        </is>
      </c>
      <c r="E33" s="7" t="n">
        <v>3.17</v>
      </c>
      <c r="F33" s="7">
        <f>IFERROR(VLOOKUP($D33,'原料主数据'!$A:$E,4,FALSE),"待登记")</f>
        <v/>
      </c>
      <c r="G33" s="7">
        <f>IFERROR(VLOOKUP($D33,'原料主数据'!$A:$E,5,FALSE),"待登记")</f>
        <v/>
      </c>
      <c r="H33" s="7">
        <f>IFERROR($E33*VLOOKUP($D33,'原料主数据'!$A:$AN, 8, FALSE),"")</f>
        <v/>
      </c>
      <c r="I33" s="7">
        <f>IFERROR($E33*VLOOKUP($D33,'原料主数据'!$A:$AN, 9, FALSE),"")</f>
        <v/>
      </c>
      <c r="J33" s="7">
        <f>IFERROR($E33*VLOOKUP($D33,'原料主数据'!$A:$AN, 10, FALSE),"")</f>
        <v/>
      </c>
      <c r="K33" s="7">
        <f>IFERROR($E33*VLOOKUP($D33,'原料主数据'!$A:$AN, 11, FALSE),"")</f>
        <v/>
      </c>
      <c r="L33" s="7">
        <f>IFERROR($E33*VLOOKUP($D33,'原料主数据'!$A:$AN, 12, FALSE),"")</f>
        <v/>
      </c>
      <c r="M33" s="7">
        <f>IFERROR($E33*VLOOKUP($D33,'原料主数据'!$A:$AN, 13, FALSE),"")</f>
        <v/>
      </c>
      <c r="N33" s="7">
        <f>IFERROR($E33*VLOOKUP($D33,'原料主数据'!$A:$AN, 14, FALSE),"")</f>
        <v/>
      </c>
      <c r="O33" s="7">
        <f>IFERROR($E33*VLOOKUP($D33,'原料主数据'!$A:$AN, 15, FALSE),"")</f>
        <v/>
      </c>
      <c r="P33" s="7">
        <f>IFERROR($E33*VLOOKUP($D33,'原料主数据'!$A:$AN, 16, FALSE),"")</f>
        <v/>
      </c>
      <c r="Q33" s="7">
        <f>IFERROR($E33*VLOOKUP($D33,'原料主数据'!$A:$AN, 17, FALSE),"")</f>
        <v/>
      </c>
      <c r="R33" s="7">
        <f>IFERROR($E33*VLOOKUP($D33,'原料主数据'!$A:$AN, 18, FALSE),"")</f>
        <v/>
      </c>
      <c r="S33" s="7">
        <f>IFERROR($E33*VLOOKUP($D33,'原料主数据'!$A:$AN, 19, FALSE),"")</f>
        <v/>
      </c>
      <c r="T33" s="7">
        <f>IFERROR($E33*VLOOKUP($D33,'原料主数据'!$A:$AN, 20, FALSE),"")</f>
        <v/>
      </c>
      <c r="U33" s="7">
        <f>IFERROR($E33*VLOOKUP($D33,'原料主数据'!$A:$AN, 21, FALSE),"")</f>
        <v/>
      </c>
      <c r="V33" s="7">
        <f>IFERROR($E33*VLOOKUP($D33,'原料主数据'!$A:$AN, 22, FALSE),"")</f>
        <v/>
      </c>
      <c r="W33" s="7">
        <f>IFERROR($E33*VLOOKUP($D33,'原料主数据'!$A:$AN, 23, FALSE),"")</f>
        <v/>
      </c>
      <c r="X33" s="7">
        <f>IFERROR($E33*VLOOKUP($D33,'原料主数据'!$A:$AN, 24, FALSE),"")</f>
        <v/>
      </c>
      <c r="Y33" s="7">
        <f>IFERROR($E33*VLOOKUP($D33,'原料主数据'!$A:$AN, 25, FALSE),"")</f>
        <v/>
      </c>
      <c r="Z33" s="7">
        <f>IFERROR($E33*VLOOKUP($D33,'原料主数据'!$A:$AN, 26, FALSE),"")</f>
        <v/>
      </c>
      <c r="AA33" s="7">
        <f>IFERROR($E33*VLOOKUP($D33,'原料主数据'!$A:$AN, 27, FALSE),"")</f>
        <v/>
      </c>
      <c r="AB33" s="7">
        <f>IFERROR($E33*VLOOKUP($D33,'原料主数据'!$A:$AN, 28, FALSE),"")</f>
        <v/>
      </c>
      <c r="AC33" s="7">
        <f>IFERROR($E33*VLOOKUP($D33,'原料主数据'!$A:$AN, 29, FALSE),"")</f>
        <v/>
      </c>
      <c r="AD33" s="7">
        <f>IFERROR($E33*VLOOKUP($D33,'原料主数据'!$A:$AN, 30, FALSE),"")</f>
        <v/>
      </c>
      <c r="AE33" s="7">
        <f>IFERROR($E33*VLOOKUP($D33,'原料主数据'!$A:$AN, 31, FALSE),"")</f>
        <v/>
      </c>
      <c r="AF33" s="7">
        <f>IFERROR($E33*VLOOKUP($D33,'原料主数据'!$A:$AN, 32, FALSE),"")</f>
        <v/>
      </c>
      <c r="AG33" s="7">
        <f>IFERROR($E33*VLOOKUP($D33,'原料主数据'!$A:$AN, 33, FALSE),"")</f>
        <v/>
      </c>
      <c r="AH33" s="7">
        <f>IFERROR($E33*VLOOKUP($D33,'原料主数据'!$A:$AN, 34, FALSE),"")</f>
        <v/>
      </c>
      <c r="AI33" s="7">
        <f>IFERROR($E33*VLOOKUP($D33,'原料主数据'!$A:$AN, 35, FALSE),"")</f>
        <v/>
      </c>
      <c r="AJ33" s="7">
        <f>IFERROR($E33*VLOOKUP($D33,'原料主数据'!$A:$AN, 36, FALSE),"")</f>
        <v/>
      </c>
      <c r="AK33" s="7">
        <f>IFERROR($E33*VLOOKUP($D33,'原料主数据'!$A:$AN, 37, FALSE),"")</f>
        <v/>
      </c>
      <c r="AL33" s="7">
        <f>IFERROR($E33*VLOOKUP($D33,'原料主数据'!$A:$AN, 38, FALSE),"")</f>
        <v/>
      </c>
      <c r="AM33" s="7">
        <f>IFERROR($E33*VLOOKUP($D33,'原料主数据'!$A:$AN, 39, FALSE),"")</f>
        <v/>
      </c>
    </row>
    <row r="34">
      <c r="A34" s="6" t="inlineStr">
        <is>
          <t>EP-0004</t>
        </is>
      </c>
      <c r="B34" s="6" t="inlineStr">
        <is>
          <t>EP-B</t>
        </is>
      </c>
      <c r="C34" s="6" t="inlineStr">
        <is>
          <t>环氧酚醛</t>
        </is>
      </c>
      <c r="D34" s="6" t="inlineStr">
        <is>
          <t>RF956</t>
        </is>
      </c>
      <c r="E34" s="6" t="n">
        <v>6.81</v>
      </c>
      <c r="F34" s="6">
        <f>IFERROR(VLOOKUP($D34,'原料主数据'!$A:$E,4,FALSE),"待登记")</f>
        <v/>
      </c>
      <c r="G34" s="6">
        <f>IFERROR(VLOOKUP($D34,'原料主数据'!$A:$E,5,FALSE),"待登记")</f>
        <v/>
      </c>
      <c r="H34" s="6">
        <f>IFERROR($E34*VLOOKUP($D34,'原料主数据'!$A:$AN, 8, FALSE),"")</f>
        <v/>
      </c>
      <c r="I34" s="6">
        <f>IFERROR($E34*VLOOKUP($D34,'原料主数据'!$A:$AN, 9, FALSE),"")</f>
        <v/>
      </c>
      <c r="J34" s="6">
        <f>IFERROR($E34*VLOOKUP($D34,'原料主数据'!$A:$AN, 10, FALSE),"")</f>
        <v/>
      </c>
      <c r="K34" s="6">
        <f>IFERROR($E34*VLOOKUP($D34,'原料主数据'!$A:$AN, 11, FALSE),"")</f>
        <v/>
      </c>
      <c r="L34" s="6">
        <f>IFERROR($E34*VLOOKUP($D34,'原料主数据'!$A:$AN, 12, FALSE),"")</f>
        <v/>
      </c>
      <c r="M34" s="6">
        <f>IFERROR($E34*VLOOKUP($D34,'原料主数据'!$A:$AN, 13, FALSE),"")</f>
        <v/>
      </c>
      <c r="N34" s="6">
        <f>IFERROR($E34*VLOOKUP($D34,'原料主数据'!$A:$AN, 14, FALSE),"")</f>
        <v/>
      </c>
      <c r="O34" s="6">
        <f>IFERROR($E34*VLOOKUP($D34,'原料主数据'!$A:$AN, 15, FALSE),"")</f>
        <v/>
      </c>
      <c r="P34" s="6">
        <f>IFERROR($E34*VLOOKUP($D34,'原料主数据'!$A:$AN, 16, FALSE),"")</f>
        <v/>
      </c>
      <c r="Q34" s="6">
        <f>IFERROR($E34*VLOOKUP($D34,'原料主数据'!$A:$AN, 17, FALSE),"")</f>
        <v/>
      </c>
      <c r="R34" s="6">
        <f>IFERROR($E34*VLOOKUP($D34,'原料主数据'!$A:$AN, 18, FALSE),"")</f>
        <v/>
      </c>
      <c r="S34" s="6">
        <f>IFERROR($E34*VLOOKUP($D34,'原料主数据'!$A:$AN, 19, FALSE),"")</f>
        <v/>
      </c>
      <c r="T34" s="6">
        <f>IFERROR($E34*VLOOKUP($D34,'原料主数据'!$A:$AN, 20, FALSE),"")</f>
        <v/>
      </c>
      <c r="U34" s="6">
        <f>IFERROR($E34*VLOOKUP($D34,'原料主数据'!$A:$AN, 21, FALSE),"")</f>
        <v/>
      </c>
      <c r="V34" s="6">
        <f>IFERROR($E34*VLOOKUP($D34,'原料主数据'!$A:$AN, 22, FALSE),"")</f>
        <v/>
      </c>
      <c r="W34" s="6">
        <f>IFERROR($E34*VLOOKUP($D34,'原料主数据'!$A:$AN, 23, FALSE),"")</f>
        <v/>
      </c>
      <c r="X34" s="6">
        <f>IFERROR($E34*VLOOKUP($D34,'原料主数据'!$A:$AN, 24, FALSE),"")</f>
        <v/>
      </c>
      <c r="Y34" s="6">
        <f>IFERROR($E34*VLOOKUP($D34,'原料主数据'!$A:$AN, 25, FALSE),"")</f>
        <v/>
      </c>
      <c r="Z34" s="6">
        <f>IFERROR($E34*VLOOKUP($D34,'原料主数据'!$A:$AN, 26, FALSE),"")</f>
        <v/>
      </c>
      <c r="AA34" s="6">
        <f>IFERROR($E34*VLOOKUP($D34,'原料主数据'!$A:$AN, 27, FALSE),"")</f>
        <v/>
      </c>
      <c r="AB34" s="6">
        <f>IFERROR($E34*VLOOKUP($D34,'原料主数据'!$A:$AN, 28, FALSE),"")</f>
        <v/>
      </c>
      <c r="AC34" s="6">
        <f>IFERROR($E34*VLOOKUP($D34,'原料主数据'!$A:$AN, 29, FALSE),"")</f>
        <v/>
      </c>
      <c r="AD34" s="6">
        <f>IFERROR($E34*VLOOKUP($D34,'原料主数据'!$A:$AN, 30, FALSE),"")</f>
        <v/>
      </c>
      <c r="AE34" s="6">
        <f>IFERROR($E34*VLOOKUP($D34,'原料主数据'!$A:$AN, 31, FALSE),"")</f>
        <v/>
      </c>
      <c r="AF34" s="6">
        <f>IFERROR($E34*VLOOKUP($D34,'原料主数据'!$A:$AN, 32, FALSE),"")</f>
        <v/>
      </c>
      <c r="AG34" s="6">
        <f>IFERROR($E34*VLOOKUP($D34,'原料主数据'!$A:$AN, 33, FALSE),"")</f>
        <v/>
      </c>
      <c r="AH34" s="6">
        <f>IFERROR($E34*VLOOKUP($D34,'原料主数据'!$A:$AN, 34, FALSE),"")</f>
        <v/>
      </c>
      <c r="AI34" s="6">
        <f>IFERROR($E34*VLOOKUP($D34,'原料主数据'!$A:$AN, 35, FALSE),"")</f>
        <v/>
      </c>
      <c r="AJ34" s="6">
        <f>IFERROR($E34*VLOOKUP($D34,'原料主数据'!$A:$AN, 36, FALSE),"")</f>
        <v/>
      </c>
      <c r="AK34" s="6">
        <f>IFERROR($E34*VLOOKUP($D34,'原料主数据'!$A:$AN, 37, FALSE),"")</f>
        <v/>
      </c>
      <c r="AL34" s="6">
        <f>IFERROR($E34*VLOOKUP($D34,'原料主数据'!$A:$AN, 38, FALSE),"")</f>
        <v/>
      </c>
      <c r="AM34" s="6">
        <f>IFERROR($E34*VLOOKUP($D34,'原料主数据'!$A:$AN, 39, FALSE),"")</f>
        <v/>
      </c>
    </row>
    <row r="35">
      <c r="A35" s="7" t="inlineStr">
        <is>
          <t>EP-0004</t>
        </is>
      </c>
      <c r="B35" s="7" t="inlineStr">
        <is>
          <t>EP-B</t>
        </is>
      </c>
      <c r="C35" s="7" t="inlineStr">
        <is>
          <t>环氧酚醛</t>
        </is>
      </c>
      <c r="D35" s="7" t="inlineStr">
        <is>
          <t>RH601</t>
        </is>
      </c>
      <c r="E35" s="7" t="n">
        <v>3.16</v>
      </c>
      <c r="F35" s="7">
        <f>IFERROR(VLOOKUP($D35,'原料主数据'!$A:$E,4,FALSE),"待登记")</f>
        <v/>
      </c>
      <c r="G35" s="7">
        <f>IFERROR(VLOOKUP($D35,'原料主数据'!$A:$E,5,FALSE),"待登记")</f>
        <v/>
      </c>
      <c r="H35" s="7">
        <f>IFERROR($E35*VLOOKUP($D35,'原料主数据'!$A:$AN, 8, FALSE),"")</f>
        <v/>
      </c>
      <c r="I35" s="7">
        <f>IFERROR($E35*VLOOKUP($D35,'原料主数据'!$A:$AN, 9, FALSE),"")</f>
        <v/>
      </c>
      <c r="J35" s="7">
        <f>IFERROR($E35*VLOOKUP($D35,'原料主数据'!$A:$AN, 10, FALSE),"")</f>
        <v/>
      </c>
      <c r="K35" s="7">
        <f>IFERROR($E35*VLOOKUP($D35,'原料主数据'!$A:$AN, 11, FALSE),"")</f>
        <v/>
      </c>
      <c r="L35" s="7">
        <f>IFERROR($E35*VLOOKUP($D35,'原料主数据'!$A:$AN, 12, FALSE),"")</f>
        <v/>
      </c>
      <c r="M35" s="7">
        <f>IFERROR($E35*VLOOKUP($D35,'原料主数据'!$A:$AN, 13, FALSE),"")</f>
        <v/>
      </c>
      <c r="N35" s="7">
        <f>IFERROR($E35*VLOOKUP($D35,'原料主数据'!$A:$AN, 14, FALSE),"")</f>
        <v/>
      </c>
      <c r="O35" s="7">
        <f>IFERROR($E35*VLOOKUP($D35,'原料主数据'!$A:$AN, 15, FALSE),"")</f>
        <v/>
      </c>
      <c r="P35" s="7">
        <f>IFERROR($E35*VLOOKUP($D35,'原料主数据'!$A:$AN, 16, FALSE),"")</f>
        <v/>
      </c>
      <c r="Q35" s="7">
        <f>IFERROR($E35*VLOOKUP($D35,'原料主数据'!$A:$AN, 17, FALSE),"")</f>
        <v/>
      </c>
      <c r="R35" s="7">
        <f>IFERROR($E35*VLOOKUP($D35,'原料主数据'!$A:$AN, 18, FALSE),"")</f>
        <v/>
      </c>
      <c r="S35" s="7">
        <f>IFERROR($E35*VLOOKUP($D35,'原料主数据'!$A:$AN, 19, FALSE),"")</f>
        <v/>
      </c>
      <c r="T35" s="7">
        <f>IFERROR($E35*VLOOKUP($D35,'原料主数据'!$A:$AN, 20, FALSE),"")</f>
        <v/>
      </c>
      <c r="U35" s="7">
        <f>IFERROR($E35*VLOOKUP($D35,'原料主数据'!$A:$AN, 21, FALSE),"")</f>
        <v/>
      </c>
      <c r="V35" s="7">
        <f>IFERROR($E35*VLOOKUP($D35,'原料主数据'!$A:$AN, 22, FALSE),"")</f>
        <v/>
      </c>
      <c r="W35" s="7">
        <f>IFERROR($E35*VLOOKUP($D35,'原料主数据'!$A:$AN, 23, FALSE),"")</f>
        <v/>
      </c>
      <c r="X35" s="7">
        <f>IFERROR($E35*VLOOKUP($D35,'原料主数据'!$A:$AN, 24, FALSE),"")</f>
        <v/>
      </c>
      <c r="Y35" s="7">
        <f>IFERROR($E35*VLOOKUP($D35,'原料主数据'!$A:$AN, 25, FALSE),"")</f>
        <v/>
      </c>
      <c r="Z35" s="7">
        <f>IFERROR($E35*VLOOKUP($D35,'原料主数据'!$A:$AN, 26, FALSE),"")</f>
        <v/>
      </c>
      <c r="AA35" s="7">
        <f>IFERROR($E35*VLOOKUP($D35,'原料主数据'!$A:$AN, 27, FALSE),"")</f>
        <v/>
      </c>
      <c r="AB35" s="7">
        <f>IFERROR($E35*VLOOKUP($D35,'原料主数据'!$A:$AN, 28, FALSE),"")</f>
        <v/>
      </c>
      <c r="AC35" s="7">
        <f>IFERROR($E35*VLOOKUP($D35,'原料主数据'!$A:$AN, 29, FALSE),"")</f>
        <v/>
      </c>
      <c r="AD35" s="7">
        <f>IFERROR($E35*VLOOKUP($D35,'原料主数据'!$A:$AN, 30, FALSE),"")</f>
        <v/>
      </c>
      <c r="AE35" s="7">
        <f>IFERROR($E35*VLOOKUP($D35,'原料主数据'!$A:$AN, 31, FALSE),"")</f>
        <v/>
      </c>
      <c r="AF35" s="7">
        <f>IFERROR($E35*VLOOKUP($D35,'原料主数据'!$A:$AN, 32, FALSE),"")</f>
        <v/>
      </c>
      <c r="AG35" s="7">
        <f>IFERROR($E35*VLOOKUP($D35,'原料主数据'!$A:$AN, 33, FALSE),"")</f>
        <v/>
      </c>
      <c r="AH35" s="7">
        <f>IFERROR($E35*VLOOKUP($D35,'原料主数据'!$A:$AN, 34, FALSE),"")</f>
        <v/>
      </c>
      <c r="AI35" s="7">
        <f>IFERROR($E35*VLOOKUP($D35,'原料主数据'!$A:$AN, 35, FALSE),"")</f>
        <v/>
      </c>
      <c r="AJ35" s="7">
        <f>IFERROR($E35*VLOOKUP($D35,'原料主数据'!$A:$AN, 36, FALSE),"")</f>
        <v/>
      </c>
      <c r="AK35" s="7">
        <f>IFERROR($E35*VLOOKUP($D35,'原料主数据'!$A:$AN, 37, FALSE),"")</f>
        <v/>
      </c>
      <c r="AL35" s="7">
        <f>IFERROR($E35*VLOOKUP($D35,'原料主数据'!$A:$AN, 38, FALSE),"")</f>
        <v/>
      </c>
      <c r="AM35" s="7">
        <f>IFERROR($E35*VLOOKUP($D35,'原料主数据'!$A:$AN, 39, FALSE),"")</f>
        <v/>
      </c>
    </row>
    <row r="36">
      <c r="A36" s="6" t="inlineStr">
        <is>
          <t>EP-0004</t>
        </is>
      </c>
      <c r="B36" s="6" t="inlineStr">
        <is>
          <t>EP-B</t>
        </is>
      </c>
      <c r="C36" s="6" t="inlineStr">
        <is>
          <t>环氧酚醛</t>
        </is>
      </c>
      <c r="D36" s="6" t="inlineStr">
        <is>
          <t>住友55754G</t>
        </is>
      </c>
      <c r="E36" s="6" t="n">
        <v>1.18</v>
      </c>
      <c r="F36" s="6">
        <f>IFERROR(VLOOKUP($D36,'原料主数据'!$A:$E,4,FALSE),"待登记")</f>
        <v/>
      </c>
      <c r="G36" s="6">
        <f>IFERROR(VLOOKUP($D36,'原料主数据'!$A:$E,5,FALSE),"待登记")</f>
        <v/>
      </c>
      <c r="H36" s="6">
        <f>IFERROR($E36*VLOOKUP($D36,'原料主数据'!$A:$AN, 8, FALSE),"")</f>
        <v/>
      </c>
      <c r="I36" s="6">
        <f>IFERROR($E36*VLOOKUP($D36,'原料主数据'!$A:$AN, 9, FALSE),"")</f>
        <v/>
      </c>
      <c r="J36" s="6">
        <f>IFERROR($E36*VLOOKUP($D36,'原料主数据'!$A:$AN, 10, FALSE),"")</f>
        <v/>
      </c>
      <c r="K36" s="6">
        <f>IFERROR($E36*VLOOKUP($D36,'原料主数据'!$A:$AN, 11, FALSE),"")</f>
        <v/>
      </c>
      <c r="L36" s="6">
        <f>IFERROR($E36*VLOOKUP($D36,'原料主数据'!$A:$AN, 12, FALSE),"")</f>
        <v/>
      </c>
      <c r="M36" s="6">
        <f>IFERROR($E36*VLOOKUP($D36,'原料主数据'!$A:$AN, 13, FALSE),"")</f>
        <v/>
      </c>
      <c r="N36" s="6">
        <f>IFERROR($E36*VLOOKUP($D36,'原料主数据'!$A:$AN, 14, FALSE),"")</f>
        <v/>
      </c>
      <c r="O36" s="6">
        <f>IFERROR($E36*VLOOKUP($D36,'原料主数据'!$A:$AN, 15, FALSE),"")</f>
        <v/>
      </c>
      <c r="P36" s="6">
        <f>IFERROR($E36*VLOOKUP($D36,'原料主数据'!$A:$AN, 16, FALSE),"")</f>
        <v/>
      </c>
      <c r="Q36" s="6">
        <f>IFERROR($E36*VLOOKUP($D36,'原料主数据'!$A:$AN, 17, FALSE),"")</f>
        <v/>
      </c>
      <c r="R36" s="6">
        <f>IFERROR($E36*VLOOKUP($D36,'原料主数据'!$A:$AN, 18, FALSE),"")</f>
        <v/>
      </c>
      <c r="S36" s="6">
        <f>IFERROR($E36*VLOOKUP($D36,'原料主数据'!$A:$AN, 19, FALSE),"")</f>
        <v/>
      </c>
      <c r="T36" s="6">
        <f>IFERROR($E36*VLOOKUP($D36,'原料主数据'!$A:$AN, 20, FALSE),"")</f>
        <v/>
      </c>
      <c r="U36" s="6">
        <f>IFERROR($E36*VLOOKUP($D36,'原料主数据'!$A:$AN, 21, FALSE),"")</f>
        <v/>
      </c>
      <c r="V36" s="6">
        <f>IFERROR($E36*VLOOKUP($D36,'原料主数据'!$A:$AN, 22, FALSE),"")</f>
        <v/>
      </c>
      <c r="W36" s="6">
        <f>IFERROR($E36*VLOOKUP($D36,'原料主数据'!$A:$AN, 23, FALSE),"")</f>
        <v/>
      </c>
      <c r="X36" s="6">
        <f>IFERROR($E36*VLOOKUP($D36,'原料主数据'!$A:$AN, 24, FALSE),"")</f>
        <v/>
      </c>
      <c r="Y36" s="6">
        <f>IFERROR($E36*VLOOKUP($D36,'原料主数据'!$A:$AN, 25, FALSE),"")</f>
        <v/>
      </c>
      <c r="Z36" s="6">
        <f>IFERROR($E36*VLOOKUP($D36,'原料主数据'!$A:$AN, 26, FALSE),"")</f>
        <v/>
      </c>
      <c r="AA36" s="6">
        <f>IFERROR($E36*VLOOKUP($D36,'原料主数据'!$A:$AN, 27, FALSE),"")</f>
        <v/>
      </c>
      <c r="AB36" s="6">
        <f>IFERROR($E36*VLOOKUP($D36,'原料主数据'!$A:$AN, 28, FALSE),"")</f>
        <v/>
      </c>
      <c r="AC36" s="6">
        <f>IFERROR($E36*VLOOKUP($D36,'原料主数据'!$A:$AN, 29, FALSE),"")</f>
        <v/>
      </c>
      <c r="AD36" s="6">
        <f>IFERROR($E36*VLOOKUP($D36,'原料主数据'!$A:$AN, 30, FALSE),"")</f>
        <v/>
      </c>
      <c r="AE36" s="6">
        <f>IFERROR($E36*VLOOKUP($D36,'原料主数据'!$A:$AN, 31, FALSE),"")</f>
        <v/>
      </c>
      <c r="AF36" s="6">
        <f>IFERROR($E36*VLOOKUP($D36,'原料主数据'!$A:$AN, 32, FALSE),"")</f>
        <v/>
      </c>
      <c r="AG36" s="6">
        <f>IFERROR($E36*VLOOKUP($D36,'原料主数据'!$A:$AN, 33, FALSE),"")</f>
        <v/>
      </c>
      <c r="AH36" s="6">
        <f>IFERROR($E36*VLOOKUP($D36,'原料主数据'!$A:$AN, 34, FALSE),"")</f>
        <v/>
      </c>
      <c r="AI36" s="6">
        <f>IFERROR($E36*VLOOKUP($D36,'原料主数据'!$A:$AN, 35, FALSE),"")</f>
        <v/>
      </c>
      <c r="AJ36" s="6">
        <f>IFERROR($E36*VLOOKUP($D36,'原料主数据'!$A:$AN, 36, FALSE),"")</f>
        <v/>
      </c>
      <c r="AK36" s="6">
        <f>IFERROR($E36*VLOOKUP($D36,'原料主数据'!$A:$AN, 37, FALSE),"")</f>
        <v/>
      </c>
      <c r="AL36" s="6">
        <f>IFERROR($E36*VLOOKUP($D36,'原料主数据'!$A:$AN, 38, FALSE),"")</f>
        <v/>
      </c>
      <c r="AM36" s="6">
        <f>IFERROR($E36*VLOOKUP($D36,'原料主数据'!$A:$AN, 39, FALSE),"")</f>
        <v/>
      </c>
    </row>
    <row r="37">
      <c r="A37" s="7" t="inlineStr">
        <is>
          <t>EP-0004</t>
        </is>
      </c>
      <c r="B37" s="7" t="inlineStr">
        <is>
          <t>EP-B</t>
        </is>
      </c>
      <c r="C37" s="7" t="inlineStr">
        <is>
          <t>环氧酚醛</t>
        </is>
      </c>
      <c r="D37" s="7" t="inlineStr">
        <is>
          <t>1510蜡</t>
        </is>
      </c>
      <c r="E37" s="7" t="n">
        <v>3.6</v>
      </c>
      <c r="F37" s="7">
        <f>IFERROR(VLOOKUP($D37,'原料主数据'!$A:$E,4,FALSE),"待登记")</f>
        <v/>
      </c>
      <c r="G37" s="7">
        <f>IFERROR(VLOOKUP($D37,'原料主数据'!$A:$E,5,FALSE),"待登记")</f>
        <v/>
      </c>
      <c r="H37" s="7">
        <f>IFERROR($E37*VLOOKUP($D37,'原料主数据'!$A:$AN, 8, FALSE),"")</f>
        <v/>
      </c>
      <c r="I37" s="7">
        <f>IFERROR($E37*VLOOKUP($D37,'原料主数据'!$A:$AN, 9, FALSE),"")</f>
        <v/>
      </c>
      <c r="J37" s="7">
        <f>IFERROR($E37*VLOOKUP($D37,'原料主数据'!$A:$AN, 10, FALSE),"")</f>
        <v/>
      </c>
      <c r="K37" s="7">
        <f>IFERROR($E37*VLOOKUP($D37,'原料主数据'!$A:$AN, 11, FALSE),"")</f>
        <v/>
      </c>
      <c r="L37" s="7">
        <f>IFERROR($E37*VLOOKUP($D37,'原料主数据'!$A:$AN, 12, FALSE),"")</f>
        <v/>
      </c>
      <c r="M37" s="7">
        <f>IFERROR($E37*VLOOKUP($D37,'原料主数据'!$A:$AN, 13, FALSE),"")</f>
        <v/>
      </c>
      <c r="N37" s="7">
        <f>IFERROR($E37*VLOOKUP($D37,'原料主数据'!$A:$AN, 14, FALSE),"")</f>
        <v/>
      </c>
      <c r="O37" s="7">
        <f>IFERROR($E37*VLOOKUP($D37,'原料主数据'!$A:$AN, 15, FALSE),"")</f>
        <v/>
      </c>
      <c r="P37" s="7">
        <f>IFERROR($E37*VLOOKUP($D37,'原料主数据'!$A:$AN, 16, FALSE),"")</f>
        <v/>
      </c>
      <c r="Q37" s="7">
        <f>IFERROR($E37*VLOOKUP($D37,'原料主数据'!$A:$AN, 17, FALSE),"")</f>
        <v/>
      </c>
      <c r="R37" s="7">
        <f>IFERROR($E37*VLOOKUP($D37,'原料主数据'!$A:$AN, 18, FALSE),"")</f>
        <v/>
      </c>
      <c r="S37" s="7">
        <f>IFERROR($E37*VLOOKUP($D37,'原料主数据'!$A:$AN, 19, FALSE),"")</f>
        <v/>
      </c>
      <c r="T37" s="7">
        <f>IFERROR($E37*VLOOKUP($D37,'原料主数据'!$A:$AN, 20, FALSE),"")</f>
        <v/>
      </c>
      <c r="U37" s="7">
        <f>IFERROR($E37*VLOOKUP($D37,'原料主数据'!$A:$AN, 21, FALSE),"")</f>
        <v/>
      </c>
      <c r="V37" s="7">
        <f>IFERROR($E37*VLOOKUP($D37,'原料主数据'!$A:$AN, 22, FALSE),"")</f>
        <v/>
      </c>
      <c r="W37" s="7">
        <f>IFERROR($E37*VLOOKUP($D37,'原料主数据'!$A:$AN, 23, FALSE),"")</f>
        <v/>
      </c>
      <c r="X37" s="7">
        <f>IFERROR($E37*VLOOKUP($D37,'原料主数据'!$A:$AN, 24, FALSE),"")</f>
        <v/>
      </c>
      <c r="Y37" s="7">
        <f>IFERROR($E37*VLOOKUP($D37,'原料主数据'!$A:$AN, 25, FALSE),"")</f>
        <v/>
      </c>
      <c r="Z37" s="7">
        <f>IFERROR($E37*VLOOKUP($D37,'原料主数据'!$A:$AN, 26, FALSE),"")</f>
        <v/>
      </c>
      <c r="AA37" s="7">
        <f>IFERROR($E37*VLOOKUP($D37,'原料主数据'!$A:$AN, 27, FALSE),"")</f>
        <v/>
      </c>
      <c r="AB37" s="7">
        <f>IFERROR($E37*VLOOKUP($D37,'原料主数据'!$A:$AN, 28, FALSE),"")</f>
        <v/>
      </c>
      <c r="AC37" s="7">
        <f>IFERROR($E37*VLOOKUP($D37,'原料主数据'!$A:$AN, 29, FALSE),"")</f>
        <v/>
      </c>
      <c r="AD37" s="7">
        <f>IFERROR($E37*VLOOKUP($D37,'原料主数据'!$A:$AN, 30, FALSE),"")</f>
        <v/>
      </c>
      <c r="AE37" s="7">
        <f>IFERROR($E37*VLOOKUP($D37,'原料主数据'!$A:$AN, 31, FALSE),"")</f>
        <v/>
      </c>
      <c r="AF37" s="7">
        <f>IFERROR($E37*VLOOKUP($D37,'原料主数据'!$A:$AN, 32, FALSE),"")</f>
        <v/>
      </c>
      <c r="AG37" s="7">
        <f>IFERROR($E37*VLOOKUP($D37,'原料主数据'!$A:$AN, 33, FALSE),"")</f>
        <v/>
      </c>
      <c r="AH37" s="7">
        <f>IFERROR($E37*VLOOKUP($D37,'原料主数据'!$A:$AN, 34, FALSE),"")</f>
        <v/>
      </c>
      <c r="AI37" s="7">
        <f>IFERROR($E37*VLOOKUP($D37,'原料主数据'!$A:$AN, 35, FALSE),"")</f>
        <v/>
      </c>
      <c r="AJ37" s="7">
        <f>IFERROR($E37*VLOOKUP($D37,'原料主数据'!$A:$AN, 36, FALSE),"")</f>
        <v/>
      </c>
      <c r="AK37" s="7">
        <f>IFERROR($E37*VLOOKUP($D37,'原料主数据'!$A:$AN, 37, FALSE),"")</f>
        <v/>
      </c>
      <c r="AL37" s="7">
        <f>IFERROR($E37*VLOOKUP($D37,'原料主数据'!$A:$AN, 38, FALSE),"")</f>
        <v/>
      </c>
      <c r="AM37" s="7">
        <f>IFERROR($E37*VLOOKUP($D37,'原料主数据'!$A:$AN, 39, FALSE),"")</f>
        <v/>
      </c>
    </row>
    <row r="38">
      <c r="A38" s="6" t="inlineStr">
        <is>
          <t>EP-0004</t>
        </is>
      </c>
      <c r="B38" s="6" t="inlineStr">
        <is>
          <t>EP-B</t>
        </is>
      </c>
      <c r="C38" s="6" t="inlineStr">
        <is>
          <t>环氧酚醛</t>
        </is>
      </c>
      <c r="D38" s="6" t="inlineStr">
        <is>
          <t>AZ088</t>
        </is>
      </c>
      <c r="E38" s="6" t="n">
        <v>0.06</v>
      </c>
      <c r="F38" s="6">
        <f>IFERROR(VLOOKUP($D38,'原料主数据'!$A:$E,4,FALSE),"待登记")</f>
        <v/>
      </c>
      <c r="G38" s="6">
        <f>IFERROR(VLOOKUP($D38,'原料主数据'!$A:$E,5,FALSE),"待登记")</f>
        <v/>
      </c>
      <c r="H38" s="6">
        <f>IFERROR($E38*VLOOKUP($D38,'原料主数据'!$A:$AN, 8, FALSE),"")</f>
        <v/>
      </c>
      <c r="I38" s="6">
        <f>IFERROR($E38*VLOOKUP($D38,'原料主数据'!$A:$AN, 9, FALSE),"")</f>
        <v/>
      </c>
      <c r="J38" s="6">
        <f>IFERROR($E38*VLOOKUP($D38,'原料主数据'!$A:$AN, 10, FALSE),"")</f>
        <v/>
      </c>
      <c r="K38" s="6">
        <f>IFERROR($E38*VLOOKUP($D38,'原料主数据'!$A:$AN, 11, FALSE),"")</f>
        <v/>
      </c>
      <c r="L38" s="6">
        <f>IFERROR($E38*VLOOKUP($D38,'原料主数据'!$A:$AN, 12, FALSE),"")</f>
        <v/>
      </c>
      <c r="M38" s="6">
        <f>IFERROR($E38*VLOOKUP($D38,'原料主数据'!$A:$AN, 13, FALSE),"")</f>
        <v/>
      </c>
      <c r="N38" s="6">
        <f>IFERROR($E38*VLOOKUP($D38,'原料主数据'!$A:$AN, 14, FALSE),"")</f>
        <v/>
      </c>
      <c r="O38" s="6">
        <f>IFERROR($E38*VLOOKUP($D38,'原料主数据'!$A:$AN, 15, FALSE),"")</f>
        <v/>
      </c>
      <c r="P38" s="6">
        <f>IFERROR($E38*VLOOKUP($D38,'原料主数据'!$A:$AN, 16, FALSE),"")</f>
        <v/>
      </c>
      <c r="Q38" s="6">
        <f>IFERROR($E38*VLOOKUP($D38,'原料主数据'!$A:$AN, 17, FALSE),"")</f>
        <v/>
      </c>
      <c r="R38" s="6">
        <f>IFERROR($E38*VLOOKUP($D38,'原料主数据'!$A:$AN, 18, FALSE),"")</f>
        <v/>
      </c>
      <c r="S38" s="6">
        <f>IFERROR($E38*VLOOKUP($D38,'原料主数据'!$A:$AN, 19, FALSE),"")</f>
        <v/>
      </c>
      <c r="T38" s="6">
        <f>IFERROR($E38*VLOOKUP($D38,'原料主数据'!$A:$AN, 20, FALSE),"")</f>
        <v/>
      </c>
      <c r="U38" s="6">
        <f>IFERROR($E38*VLOOKUP($D38,'原料主数据'!$A:$AN, 21, FALSE),"")</f>
        <v/>
      </c>
      <c r="V38" s="6">
        <f>IFERROR($E38*VLOOKUP($D38,'原料主数据'!$A:$AN, 22, FALSE),"")</f>
        <v/>
      </c>
      <c r="W38" s="6">
        <f>IFERROR($E38*VLOOKUP($D38,'原料主数据'!$A:$AN, 23, FALSE),"")</f>
        <v/>
      </c>
      <c r="X38" s="6">
        <f>IFERROR($E38*VLOOKUP($D38,'原料主数据'!$A:$AN, 24, FALSE),"")</f>
        <v/>
      </c>
      <c r="Y38" s="6">
        <f>IFERROR($E38*VLOOKUP($D38,'原料主数据'!$A:$AN, 25, FALSE),"")</f>
        <v/>
      </c>
      <c r="Z38" s="6">
        <f>IFERROR($E38*VLOOKUP($D38,'原料主数据'!$A:$AN, 26, FALSE),"")</f>
        <v/>
      </c>
      <c r="AA38" s="6">
        <f>IFERROR($E38*VLOOKUP($D38,'原料主数据'!$A:$AN, 27, FALSE),"")</f>
        <v/>
      </c>
      <c r="AB38" s="6">
        <f>IFERROR($E38*VLOOKUP($D38,'原料主数据'!$A:$AN, 28, FALSE),"")</f>
        <v/>
      </c>
      <c r="AC38" s="6">
        <f>IFERROR($E38*VLOOKUP($D38,'原料主数据'!$A:$AN, 29, FALSE),"")</f>
        <v/>
      </c>
      <c r="AD38" s="6">
        <f>IFERROR($E38*VLOOKUP($D38,'原料主数据'!$A:$AN, 30, FALSE),"")</f>
        <v/>
      </c>
      <c r="AE38" s="6">
        <f>IFERROR($E38*VLOOKUP($D38,'原料主数据'!$A:$AN, 31, FALSE),"")</f>
        <v/>
      </c>
      <c r="AF38" s="6">
        <f>IFERROR($E38*VLOOKUP($D38,'原料主数据'!$A:$AN, 32, FALSE),"")</f>
        <v/>
      </c>
      <c r="AG38" s="6">
        <f>IFERROR($E38*VLOOKUP($D38,'原料主数据'!$A:$AN, 33, FALSE),"")</f>
        <v/>
      </c>
      <c r="AH38" s="6">
        <f>IFERROR($E38*VLOOKUP($D38,'原料主数据'!$A:$AN, 34, FALSE),"")</f>
        <v/>
      </c>
      <c r="AI38" s="6">
        <f>IFERROR($E38*VLOOKUP($D38,'原料主数据'!$A:$AN, 35, FALSE),"")</f>
        <v/>
      </c>
      <c r="AJ38" s="6">
        <f>IFERROR($E38*VLOOKUP($D38,'原料主数据'!$A:$AN, 36, FALSE),"")</f>
        <v/>
      </c>
      <c r="AK38" s="6">
        <f>IFERROR($E38*VLOOKUP($D38,'原料主数据'!$A:$AN, 37, FALSE),"")</f>
        <v/>
      </c>
      <c r="AL38" s="6">
        <f>IFERROR($E38*VLOOKUP($D38,'原料主数据'!$A:$AN, 38, FALSE),"")</f>
        <v/>
      </c>
      <c r="AM38" s="6">
        <f>IFERROR($E38*VLOOKUP($D38,'原料主数据'!$A:$AN, 39, FALSE),"")</f>
        <v/>
      </c>
    </row>
    <row r="39">
      <c r="A39" s="7" t="inlineStr">
        <is>
          <t>EP-0004</t>
        </is>
      </c>
      <c r="B39" s="7" t="inlineStr">
        <is>
          <t>EP-B</t>
        </is>
      </c>
      <c r="C39" s="7" t="inlineStr">
        <is>
          <t>环氧酚醛</t>
        </is>
      </c>
      <c r="D39" s="7" t="inlineStr">
        <is>
          <t>正丁醇</t>
        </is>
      </c>
      <c r="E39" s="7" t="n">
        <v>7.69</v>
      </c>
      <c r="F39" s="7">
        <f>IFERROR(VLOOKUP($D39,'原料主数据'!$A:$E,4,FALSE),"待登记")</f>
        <v/>
      </c>
      <c r="G39" s="7">
        <f>IFERROR(VLOOKUP($D39,'原料主数据'!$A:$E,5,FALSE),"待登记")</f>
        <v/>
      </c>
      <c r="H39" s="7">
        <f>IFERROR($E39*VLOOKUP($D39,'原料主数据'!$A:$AN, 8, FALSE),"")</f>
        <v/>
      </c>
      <c r="I39" s="7">
        <f>IFERROR($E39*VLOOKUP($D39,'原料主数据'!$A:$AN, 9, FALSE),"")</f>
        <v/>
      </c>
      <c r="J39" s="7">
        <f>IFERROR($E39*VLOOKUP($D39,'原料主数据'!$A:$AN, 10, FALSE),"")</f>
        <v/>
      </c>
      <c r="K39" s="7">
        <f>IFERROR($E39*VLOOKUP($D39,'原料主数据'!$A:$AN, 11, FALSE),"")</f>
        <v/>
      </c>
      <c r="L39" s="7">
        <f>IFERROR($E39*VLOOKUP($D39,'原料主数据'!$A:$AN, 12, FALSE),"")</f>
        <v/>
      </c>
      <c r="M39" s="7">
        <f>IFERROR($E39*VLOOKUP($D39,'原料主数据'!$A:$AN, 13, FALSE),"")</f>
        <v/>
      </c>
      <c r="N39" s="7">
        <f>IFERROR($E39*VLOOKUP($D39,'原料主数据'!$A:$AN, 14, FALSE),"")</f>
        <v/>
      </c>
      <c r="O39" s="7">
        <f>IFERROR($E39*VLOOKUP($D39,'原料主数据'!$A:$AN, 15, FALSE),"")</f>
        <v/>
      </c>
      <c r="P39" s="7">
        <f>IFERROR($E39*VLOOKUP($D39,'原料主数据'!$A:$AN, 16, FALSE),"")</f>
        <v/>
      </c>
      <c r="Q39" s="7">
        <f>IFERROR($E39*VLOOKUP($D39,'原料主数据'!$A:$AN, 17, FALSE),"")</f>
        <v/>
      </c>
      <c r="R39" s="7">
        <f>IFERROR($E39*VLOOKUP($D39,'原料主数据'!$A:$AN, 18, FALSE),"")</f>
        <v/>
      </c>
      <c r="S39" s="7">
        <f>IFERROR($E39*VLOOKUP($D39,'原料主数据'!$A:$AN, 19, FALSE),"")</f>
        <v/>
      </c>
      <c r="T39" s="7">
        <f>IFERROR($E39*VLOOKUP($D39,'原料主数据'!$A:$AN, 20, FALSE),"")</f>
        <v/>
      </c>
      <c r="U39" s="7">
        <f>IFERROR($E39*VLOOKUP($D39,'原料主数据'!$A:$AN, 21, FALSE),"")</f>
        <v/>
      </c>
      <c r="V39" s="7">
        <f>IFERROR($E39*VLOOKUP($D39,'原料主数据'!$A:$AN, 22, FALSE),"")</f>
        <v/>
      </c>
      <c r="W39" s="7">
        <f>IFERROR($E39*VLOOKUP($D39,'原料主数据'!$A:$AN, 23, FALSE),"")</f>
        <v/>
      </c>
      <c r="X39" s="7">
        <f>IFERROR($E39*VLOOKUP($D39,'原料主数据'!$A:$AN, 24, FALSE),"")</f>
        <v/>
      </c>
      <c r="Y39" s="7">
        <f>IFERROR($E39*VLOOKUP($D39,'原料主数据'!$A:$AN, 25, FALSE),"")</f>
        <v/>
      </c>
      <c r="Z39" s="7">
        <f>IFERROR($E39*VLOOKUP($D39,'原料主数据'!$A:$AN, 26, FALSE),"")</f>
        <v/>
      </c>
      <c r="AA39" s="7">
        <f>IFERROR($E39*VLOOKUP($D39,'原料主数据'!$A:$AN, 27, FALSE),"")</f>
        <v/>
      </c>
      <c r="AB39" s="7">
        <f>IFERROR($E39*VLOOKUP($D39,'原料主数据'!$A:$AN, 28, FALSE),"")</f>
        <v/>
      </c>
      <c r="AC39" s="7">
        <f>IFERROR($E39*VLOOKUP($D39,'原料主数据'!$A:$AN, 29, FALSE),"")</f>
        <v/>
      </c>
      <c r="AD39" s="7">
        <f>IFERROR($E39*VLOOKUP($D39,'原料主数据'!$A:$AN, 30, FALSE),"")</f>
        <v/>
      </c>
      <c r="AE39" s="7">
        <f>IFERROR($E39*VLOOKUP($D39,'原料主数据'!$A:$AN, 31, FALSE),"")</f>
        <v/>
      </c>
      <c r="AF39" s="7">
        <f>IFERROR($E39*VLOOKUP($D39,'原料主数据'!$A:$AN, 32, FALSE),"")</f>
        <v/>
      </c>
      <c r="AG39" s="7">
        <f>IFERROR($E39*VLOOKUP($D39,'原料主数据'!$A:$AN, 33, FALSE),"")</f>
        <v/>
      </c>
      <c r="AH39" s="7">
        <f>IFERROR($E39*VLOOKUP($D39,'原料主数据'!$A:$AN, 34, FALSE),"")</f>
        <v/>
      </c>
      <c r="AI39" s="7">
        <f>IFERROR($E39*VLOOKUP($D39,'原料主数据'!$A:$AN, 35, FALSE),"")</f>
        <v/>
      </c>
      <c r="AJ39" s="7">
        <f>IFERROR($E39*VLOOKUP($D39,'原料主数据'!$A:$AN, 36, FALSE),"")</f>
        <v/>
      </c>
      <c r="AK39" s="7">
        <f>IFERROR($E39*VLOOKUP($D39,'原料主数据'!$A:$AN, 37, FALSE),"")</f>
        <v/>
      </c>
      <c r="AL39" s="7">
        <f>IFERROR($E39*VLOOKUP($D39,'原料主数据'!$A:$AN, 38, FALSE),"")</f>
        <v/>
      </c>
      <c r="AM39" s="7">
        <f>IFERROR($E39*VLOOKUP($D39,'原料主数据'!$A:$AN, 39, FALSE),"")</f>
        <v/>
      </c>
    </row>
    <row r="40">
      <c r="A40" s="6" t="inlineStr">
        <is>
          <t>EP-0004</t>
        </is>
      </c>
      <c r="B40" s="6" t="inlineStr">
        <is>
          <t>EP-B</t>
        </is>
      </c>
      <c r="C40" s="6" t="inlineStr">
        <is>
          <t>环氧酚醛</t>
        </is>
      </c>
      <c r="D40" s="6" t="inlineStr">
        <is>
          <t>补加混合液</t>
        </is>
      </c>
      <c r="E40" s="6" t="n">
        <v>6.52</v>
      </c>
      <c r="F40" s="6">
        <f>IFERROR(VLOOKUP($D40,'原料主数据'!$A:$E,4,FALSE),"待登记")</f>
        <v/>
      </c>
      <c r="G40" s="6">
        <f>IFERROR(VLOOKUP($D40,'原料主数据'!$A:$E,5,FALSE),"待登记")</f>
        <v/>
      </c>
      <c r="H40" s="6">
        <f>IFERROR($E40*VLOOKUP($D40,'原料主数据'!$A:$AN, 8, FALSE),"")</f>
        <v/>
      </c>
      <c r="I40" s="6">
        <f>IFERROR($E40*VLOOKUP($D40,'原料主数据'!$A:$AN, 9, FALSE),"")</f>
        <v/>
      </c>
      <c r="J40" s="6">
        <f>IFERROR($E40*VLOOKUP($D40,'原料主数据'!$A:$AN, 10, FALSE),"")</f>
        <v/>
      </c>
      <c r="K40" s="6">
        <f>IFERROR($E40*VLOOKUP($D40,'原料主数据'!$A:$AN, 11, FALSE),"")</f>
        <v/>
      </c>
      <c r="L40" s="6">
        <f>IFERROR($E40*VLOOKUP($D40,'原料主数据'!$A:$AN, 12, FALSE),"")</f>
        <v/>
      </c>
      <c r="M40" s="6">
        <f>IFERROR($E40*VLOOKUP($D40,'原料主数据'!$A:$AN, 13, FALSE),"")</f>
        <v/>
      </c>
      <c r="N40" s="6">
        <f>IFERROR($E40*VLOOKUP($D40,'原料主数据'!$A:$AN, 14, FALSE),"")</f>
        <v/>
      </c>
      <c r="O40" s="6">
        <f>IFERROR($E40*VLOOKUP($D40,'原料主数据'!$A:$AN, 15, FALSE),"")</f>
        <v/>
      </c>
      <c r="P40" s="6">
        <f>IFERROR($E40*VLOOKUP($D40,'原料主数据'!$A:$AN, 16, FALSE),"")</f>
        <v/>
      </c>
      <c r="Q40" s="6">
        <f>IFERROR($E40*VLOOKUP($D40,'原料主数据'!$A:$AN, 17, FALSE),"")</f>
        <v/>
      </c>
      <c r="R40" s="6">
        <f>IFERROR($E40*VLOOKUP($D40,'原料主数据'!$A:$AN, 18, FALSE),"")</f>
        <v/>
      </c>
      <c r="S40" s="6">
        <f>IFERROR($E40*VLOOKUP($D40,'原料主数据'!$A:$AN, 19, FALSE),"")</f>
        <v/>
      </c>
      <c r="T40" s="6">
        <f>IFERROR($E40*VLOOKUP($D40,'原料主数据'!$A:$AN, 20, FALSE),"")</f>
        <v/>
      </c>
      <c r="U40" s="6">
        <f>IFERROR($E40*VLOOKUP($D40,'原料主数据'!$A:$AN, 21, FALSE),"")</f>
        <v/>
      </c>
      <c r="V40" s="6">
        <f>IFERROR($E40*VLOOKUP($D40,'原料主数据'!$A:$AN, 22, FALSE),"")</f>
        <v/>
      </c>
      <c r="W40" s="6">
        <f>IFERROR($E40*VLOOKUP($D40,'原料主数据'!$A:$AN, 23, FALSE),"")</f>
        <v/>
      </c>
      <c r="X40" s="6">
        <f>IFERROR($E40*VLOOKUP($D40,'原料主数据'!$A:$AN, 24, FALSE),"")</f>
        <v/>
      </c>
      <c r="Y40" s="6">
        <f>IFERROR($E40*VLOOKUP($D40,'原料主数据'!$A:$AN, 25, FALSE),"")</f>
        <v/>
      </c>
      <c r="Z40" s="6">
        <f>IFERROR($E40*VLOOKUP($D40,'原料主数据'!$A:$AN, 26, FALSE),"")</f>
        <v/>
      </c>
      <c r="AA40" s="6">
        <f>IFERROR($E40*VLOOKUP($D40,'原料主数据'!$A:$AN, 27, FALSE),"")</f>
        <v/>
      </c>
      <c r="AB40" s="6">
        <f>IFERROR($E40*VLOOKUP($D40,'原料主数据'!$A:$AN, 28, FALSE),"")</f>
        <v/>
      </c>
      <c r="AC40" s="6">
        <f>IFERROR($E40*VLOOKUP($D40,'原料主数据'!$A:$AN, 29, FALSE),"")</f>
        <v/>
      </c>
      <c r="AD40" s="6">
        <f>IFERROR($E40*VLOOKUP($D40,'原料主数据'!$A:$AN, 30, FALSE),"")</f>
        <v/>
      </c>
      <c r="AE40" s="6">
        <f>IFERROR($E40*VLOOKUP($D40,'原料主数据'!$A:$AN, 31, FALSE),"")</f>
        <v/>
      </c>
      <c r="AF40" s="6">
        <f>IFERROR($E40*VLOOKUP($D40,'原料主数据'!$A:$AN, 32, FALSE),"")</f>
        <v/>
      </c>
      <c r="AG40" s="6">
        <f>IFERROR($E40*VLOOKUP($D40,'原料主数据'!$A:$AN, 33, FALSE),"")</f>
        <v/>
      </c>
      <c r="AH40" s="6">
        <f>IFERROR($E40*VLOOKUP($D40,'原料主数据'!$A:$AN, 34, FALSE),"")</f>
        <v/>
      </c>
      <c r="AI40" s="6">
        <f>IFERROR($E40*VLOOKUP($D40,'原料主数据'!$A:$AN, 35, FALSE),"")</f>
        <v/>
      </c>
      <c r="AJ40" s="6">
        <f>IFERROR($E40*VLOOKUP($D40,'原料主数据'!$A:$AN, 36, FALSE),"")</f>
        <v/>
      </c>
      <c r="AK40" s="6">
        <f>IFERROR($E40*VLOOKUP($D40,'原料主数据'!$A:$AN, 37, FALSE),"")</f>
        <v/>
      </c>
      <c r="AL40" s="6">
        <f>IFERROR($E40*VLOOKUP($D40,'原料主数据'!$A:$AN, 38, FALSE),"")</f>
        <v/>
      </c>
      <c r="AM40" s="6">
        <f>IFERROR($E40*VLOOKUP($D40,'原料主数据'!$A:$AN, 39, FALSE),"")</f>
        <v/>
      </c>
    </row>
    <row r="41">
      <c r="A41" s="7" t="inlineStr">
        <is>
          <t>EP-0004</t>
        </is>
      </c>
      <c r="B41" s="7" t="inlineStr">
        <is>
          <t>EP-B</t>
        </is>
      </c>
      <c r="C41" s="7" t="inlineStr">
        <is>
          <t>环氧酚醛</t>
        </is>
      </c>
      <c r="D41" s="7" t="inlineStr">
        <is>
          <t>10%磷酸</t>
        </is>
      </c>
      <c r="E41" s="7" t="n">
        <v>2.57</v>
      </c>
      <c r="F41" s="7">
        <f>IFERROR(VLOOKUP($D41,'原料主数据'!$A:$E,4,FALSE),"待登记")</f>
        <v/>
      </c>
      <c r="G41" s="7">
        <f>IFERROR(VLOOKUP($D41,'原料主数据'!$A:$E,5,FALSE),"待登记")</f>
        <v/>
      </c>
      <c r="H41" s="7">
        <f>IFERROR($E41*VLOOKUP($D41,'原料主数据'!$A:$AN, 8, FALSE),"")</f>
        <v/>
      </c>
      <c r="I41" s="7">
        <f>IFERROR($E41*VLOOKUP($D41,'原料主数据'!$A:$AN, 9, FALSE),"")</f>
        <v/>
      </c>
      <c r="J41" s="7">
        <f>IFERROR($E41*VLOOKUP($D41,'原料主数据'!$A:$AN, 10, FALSE),"")</f>
        <v/>
      </c>
      <c r="K41" s="7">
        <f>IFERROR($E41*VLOOKUP($D41,'原料主数据'!$A:$AN, 11, FALSE),"")</f>
        <v/>
      </c>
      <c r="L41" s="7">
        <f>IFERROR($E41*VLOOKUP($D41,'原料主数据'!$A:$AN, 12, FALSE),"")</f>
        <v/>
      </c>
      <c r="M41" s="7">
        <f>IFERROR($E41*VLOOKUP($D41,'原料主数据'!$A:$AN, 13, FALSE),"")</f>
        <v/>
      </c>
      <c r="N41" s="7">
        <f>IFERROR($E41*VLOOKUP($D41,'原料主数据'!$A:$AN, 14, FALSE),"")</f>
        <v/>
      </c>
      <c r="O41" s="7">
        <f>IFERROR($E41*VLOOKUP($D41,'原料主数据'!$A:$AN, 15, FALSE),"")</f>
        <v/>
      </c>
      <c r="P41" s="7">
        <f>IFERROR($E41*VLOOKUP($D41,'原料主数据'!$A:$AN, 16, FALSE),"")</f>
        <v/>
      </c>
      <c r="Q41" s="7">
        <f>IFERROR($E41*VLOOKUP($D41,'原料主数据'!$A:$AN, 17, FALSE),"")</f>
        <v/>
      </c>
      <c r="R41" s="7">
        <f>IFERROR($E41*VLOOKUP($D41,'原料主数据'!$A:$AN, 18, FALSE),"")</f>
        <v/>
      </c>
      <c r="S41" s="7">
        <f>IFERROR($E41*VLOOKUP($D41,'原料主数据'!$A:$AN, 19, FALSE),"")</f>
        <v/>
      </c>
      <c r="T41" s="7">
        <f>IFERROR($E41*VLOOKUP($D41,'原料主数据'!$A:$AN, 20, FALSE),"")</f>
        <v/>
      </c>
      <c r="U41" s="7">
        <f>IFERROR($E41*VLOOKUP($D41,'原料主数据'!$A:$AN, 21, FALSE),"")</f>
        <v/>
      </c>
      <c r="V41" s="7">
        <f>IFERROR($E41*VLOOKUP($D41,'原料主数据'!$A:$AN, 22, FALSE),"")</f>
        <v/>
      </c>
      <c r="W41" s="7">
        <f>IFERROR($E41*VLOOKUP($D41,'原料主数据'!$A:$AN, 23, FALSE),"")</f>
        <v/>
      </c>
      <c r="X41" s="7">
        <f>IFERROR($E41*VLOOKUP($D41,'原料主数据'!$A:$AN, 24, FALSE),"")</f>
        <v/>
      </c>
      <c r="Y41" s="7">
        <f>IFERROR($E41*VLOOKUP($D41,'原料主数据'!$A:$AN, 25, FALSE),"")</f>
        <v/>
      </c>
      <c r="Z41" s="7">
        <f>IFERROR($E41*VLOOKUP($D41,'原料主数据'!$A:$AN, 26, FALSE),"")</f>
        <v/>
      </c>
      <c r="AA41" s="7">
        <f>IFERROR($E41*VLOOKUP($D41,'原料主数据'!$A:$AN, 27, FALSE),"")</f>
        <v/>
      </c>
      <c r="AB41" s="7">
        <f>IFERROR($E41*VLOOKUP($D41,'原料主数据'!$A:$AN, 28, FALSE),"")</f>
        <v/>
      </c>
      <c r="AC41" s="7">
        <f>IFERROR($E41*VLOOKUP($D41,'原料主数据'!$A:$AN, 29, FALSE),"")</f>
        <v/>
      </c>
      <c r="AD41" s="7">
        <f>IFERROR($E41*VLOOKUP($D41,'原料主数据'!$A:$AN, 30, FALSE),"")</f>
        <v/>
      </c>
      <c r="AE41" s="7">
        <f>IFERROR($E41*VLOOKUP($D41,'原料主数据'!$A:$AN, 31, FALSE),"")</f>
        <v/>
      </c>
      <c r="AF41" s="7">
        <f>IFERROR($E41*VLOOKUP($D41,'原料主数据'!$A:$AN, 32, FALSE),"")</f>
        <v/>
      </c>
      <c r="AG41" s="7">
        <f>IFERROR($E41*VLOOKUP($D41,'原料主数据'!$A:$AN, 33, FALSE),"")</f>
        <v/>
      </c>
      <c r="AH41" s="7">
        <f>IFERROR($E41*VLOOKUP($D41,'原料主数据'!$A:$AN, 34, FALSE),"")</f>
        <v/>
      </c>
      <c r="AI41" s="7">
        <f>IFERROR($E41*VLOOKUP($D41,'原料主数据'!$A:$AN, 35, FALSE),"")</f>
        <v/>
      </c>
      <c r="AJ41" s="7">
        <f>IFERROR($E41*VLOOKUP($D41,'原料主数据'!$A:$AN, 36, FALSE),"")</f>
        <v/>
      </c>
      <c r="AK41" s="7">
        <f>IFERROR($E41*VLOOKUP($D41,'原料主数据'!$A:$AN, 37, FALSE),"")</f>
        <v/>
      </c>
      <c r="AL41" s="7">
        <f>IFERROR($E41*VLOOKUP($D41,'原料主数据'!$A:$AN, 38, FALSE),"")</f>
        <v/>
      </c>
      <c r="AM41" s="7">
        <f>IFERROR($E41*VLOOKUP($D41,'原料主数据'!$A:$AN, 39, FALSE),"")</f>
        <v/>
      </c>
    </row>
    <row r="42">
      <c r="A42" s="6" t="inlineStr">
        <is>
          <t>EP-0005</t>
        </is>
      </c>
      <c r="B42" s="6" t="inlineStr">
        <is>
          <t>EP-C</t>
        </is>
      </c>
      <c r="C42" s="6" t="inlineStr">
        <is>
          <t>环氧酚醛</t>
        </is>
      </c>
      <c r="D42" s="6" t="inlineStr">
        <is>
          <t>IR190</t>
        </is>
      </c>
      <c r="E42" s="6" t="n">
        <v>66</v>
      </c>
      <c r="F42" s="6">
        <f>IFERROR(VLOOKUP($D42,'原料主数据'!$A:$E,4,FALSE),"待登记")</f>
        <v/>
      </c>
      <c r="G42" s="6">
        <f>IFERROR(VLOOKUP($D42,'原料主数据'!$A:$E,5,FALSE),"待登记")</f>
        <v/>
      </c>
      <c r="H42" s="6">
        <f>IFERROR($E42*VLOOKUP($D42,'原料主数据'!$A:$AN, 8, FALSE),"")</f>
        <v/>
      </c>
      <c r="I42" s="6">
        <f>IFERROR($E42*VLOOKUP($D42,'原料主数据'!$A:$AN, 9, FALSE),"")</f>
        <v/>
      </c>
      <c r="J42" s="6">
        <f>IFERROR($E42*VLOOKUP($D42,'原料主数据'!$A:$AN, 10, FALSE),"")</f>
        <v/>
      </c>
      <c r="K42" s="6">
        <f>IFERROR($E42*VLOOKUP($D42,'原料主数据'!$A:$AN, 11, FALSE),"")</f>
        <v/>
      </c>
      <c r="L42" s="6">
        <f>IFERROR($E42*VLOOKUP($D42,'原料主数据'!$A:$AN, 12, FALSE),"")</f>
        <v/>
      </c>
      <c r="M42" s="6">
        <f>IFERROR($E42*VLOOKUP($D42,'原料主数据'!$A:$AN, 13, FALSE),"")</f>
        <v/>
      </c>
      <c r="N42" s="6">
        <f>IFERROR($E42*VLOOKUP($D42,'原料主数据'!$A:$AN, 14, FALSE),"")</f>
        <v/>
      </c>
      <c r="O42" s="6">
        <f>IFERROR($E42*VLOOKUP($D42,'原料主数据'!$A:$AN, 15, FALSE),"")</f>
        <v/>
      </c>
      <c r="P42" s="6">
        <f>IFERROR($E42*VLOOKUP($D42,'原料主数据'!$A:$AN, 16, FALSE),"")</f>
        <v/>
      </c>
      <c r="Q42" s="6">
        <f>IFERROR($E42*VLOOKUP($D42,'原料主数据'!$A:$AN, 17, FALSE),"")</f>
        <v/>
      </c>
      <c r="R42" s="6">
        <f>IFERROR($E42*VLOOKUP($D42,'原料主数据'!$A:$AN, 18, FALSE),"")</f>
        <v/>
      </c>
      <c r="S42" s="6">
        <f>IFERROR($E42*VLOOKUP($D42,'原料主数据'!$A:$AN, 19, FALSE),"")</f>
        <v/>
      </c>
      <c r="T42" s="6">
        <f>IFERROR($E42*VLOOKUP($D42,'原料主数据'!$A:$AN, 20, FALSE),"")</f>
        <v/>
      </c>
      <c r="U42" s="6">
        <f>IFERROR($E42*VLOOKUP($D42,'原料主数据'!$A:$AN, 21, FALSE),"")</f>
        <v/>
      </c>
      <c r="V42" s="6">
        <f>IFERROR($E42*VLOOKUP($D42,'原料主数据'!$A:$AN, 22, FALSE),"")</f>
        <v/>
      </c>
      <c r="W42" s="6">
        <f>IFERROR($E42*VLOOKUP($D42,'原料主数据'!$A:$AN, 23, FALSE),"")</f>
        <v/>
      </c>
      <c r="X42" s="6">
        <f>IFERROR($E42*VLOOKUP($D42,'原料主数据'!$A:$AN, 24, FALSE),"")</f>
        <v/>
      </c>
      <c r="Y42" s="6">
        <f>IFERROR($E42*VLOOKUP($D42,'原料主数据'!$A:$AN, 25, FALSE),"")</f>
        <v/>
      </c>
      <c r="Z42" s="6">
        <f>IFERROR($E42*VLOOKUP($D42,'原料主数据'!$A:$AN, 26, FALSE),"")</f>
        <v/>
      </c>
      <c r="AA42" s="6">
        <f>IFERROR($E42*VLOOKUP($D42,'原料主数据'!$A:$AN, 27, FALSE),"")</f>
        <v/>
      </c>
      <c r="AB42" s="6">
        <f>IFERROR($E42*VLOOKUP($D42,'原料主数据'!$A:$AN, 28, FALSE),"")</f>
        <v/>
      </c>
      <c r="AC42" s="6">
        <f>IFERROR($E42*VLOOKUP($D42,'原料主数据'!$A:$AN, 29, FALSE),"")</f>
        <v/>
      </c>
      <c r="AD42" s="6">
        <f>IFERROR($E42*VLOOKUP($D42,'原料主数据'!$A:$AN, 30, FALSE),"")</f>
        <v/>
      </c>
      <c r="AE42" s="6">
        <f>IFERROR($E42*VLOOKUP($D42,'原料主数据'!$A:$AN, 31, FALSE),"")</f>
        <v/>
      </c>
      <c r="AF42" s="6">
        <f>IFERROR($E42*VLOOKUP($D42,'原料主数据'!$A:$AN, 32, FALSE),"")</f>
        <v/>
      </c>
      <c r="AG42" s="6">
        <f>IFERROR($E42*VLOOKUP($D42,'原料主数据'!$A:$AN, 33, FALSE),"")</f>
        <v/>
      </c>
      <c r="AH42" s="6">
        <f>IFERROR($E42*VLOOKUP($D42,'原料主数据'!$A:$AN, 34, FALSE),"")</f>
        <v/>
      </c>
      <c r="AI42" s="6">
        <f>IFERROR($E42*VLOOKUP($D42,'原料主数据'!$A:$AN, 35, FALSE),"")</f>
        <v/>
      </c>
      <c r="AJ42" s="6">
        <f>IFERROR($E42*VLOOKUP($D42,'原料主数据'!$A:$AN, 36, FALSE),"")</f>
        <v/>
      </c>
      <c r="AK42" s="6">
        <f>IFERROR($E42*VLOOKUP($D42,'原料主数据'!$A:$AN, 37, FALSE),"")</f>
        <v/>
      </c>
      <c r="AL42" s="6">
        <f>IFERROR($E42*VLOOKUP($D42,'原料主数据'!$A:$AN, 38, FALSE),"")</f>
        <v/>
      </c>
      <c r="AM42" s="6">
        <f>IFERROR($E42*VLOOKUP($D42,'原料主数据'!$A:$AN, 39, FALSE),"")</f>
        <v/>
      </c>
    </row>
    <row r="43">
      <c r="A43" s="7" t="inlineStr">
        <is>
          <t>EP-0005</t>
        </is>
      </c>
      <c r="B43" s="7" t="inlineStr">
        <is>
          <t>EP-C</t>
        </is>
      </c>
      <c r="C43" s="7" t="inlineStr">
        <is>
          <t>环氧酚醛</t>
        </is>
      </c>
      <c r="D43" s="7" t="inlineStr">
        <is>
          <t>RF401</t>
        </is>
      </c>
      <c r="E43" s="7" t="n">
        <v>1.42</v>
      </c>
      <c r="F43" s="7">
        <f>IFERROR(VLOOKUP($D43,'原料主数据'!$A:$E,4,FALSE),"待登记")</f>
        <v/>
      </c>
      <c r="G43" s="7">
        <f>IFERROR(VLOOKUP($D43,'原料主数据'!$A:$E,5,FALSE),"待登记")</f>
        <v/>
      </c>
      <c r="H43" s="7">
        <f>IFERROR($E43*VLOOKUP($D43,'原料主数据'!$A:$AN, 8, FALSE),"")</f>
        <v/>
      </c>
      <c r="I43" s="7">
        <f>IFERROR($E43*VLOOKUP($D43,'原料主数据'!$A:$AN, 9, FALSE),"")</f>
        <v/>
      </c>
      <c r="J43" s="7">
        <f>IFERROR($E43*VLOOKUP($D43,'原料主数据'!$A:$AN, 10, FALSE),"")</f>
        <v/>
      </c>
      <c r="K43" s="7">
        <f>IFERROR($E43*VLOOKUP($D43,'原料主数据'!$A:$AN, 11, FALSE),"")</f>
        <v/>
      </c>
      <c r="L43" s="7">
        <f>IFERROR($E43*VLOOKUP($D43,'原料主数据'!$A:$AN, 12, FALSE),"")</f>
        <v/>
      </c>
      <c r="M43" s="7">
        <f>IFERROR($E43*VLOOKUP($D43,'原料主数据'!$A:$AN, 13, FALSE),"")</f>
        <v/>
      </c>
      <c r="N43" s="7">
        <f>IFERROR($E43*VLOOKUP($D43,'原料主数据'!$A:$AN, 14, FALSE),"")</f>
        <v/>
      </c>
      <c r="O43" s="7">
        <f>IFERROR($E43*VLOOKUP($D43,'原料主数据'!$A:$AN, 15, FALSE),"")</f>
        <v/>
      </c>
      <c r="P43" s="7">
        <f>IFERROR($E43*VLOOKUP($D43,'原料主数据'!$A:$AN, 16, FALSE),"")</f>
        <v/>
      </c>
      <c r="Q43" s="7">
        <f>IFERROR($E43*VLOOKUP($D43,'原料主数据'!$A:$AN, 17, FALSE),"")</f>
        <v/>
      </c>
      <c r="R43" s="7">
        <f>IFERROR($E43*VLOOKUP($D43,'原料主数据'!$A:$AN, 18, FALSE),"")</f>
        <v/>
      </c>
      <c r="S43" s="7">
        <f>IFERROR($E43*VLOOKUP($D43,'原料主数据'!$A:$AN, 19, FALSE),"")</f>
        <v/>
      </c>
      <c r="T43" s="7">
        <f>IFERROR($E43*VLOOKUP($D43,'原料主数据'!$A:$AN, 20, FALSE),"")</f>
        <v/>
      </c>
      <c r="U43" s="7">
        <f>IFERROR($E43*VLOOKUP($D43,'原料主数据'!$A:$AN, 21, FALSE),"")</f>
        <v/>
      </c>
      <c r="V43" s="7">
        <f>IFERROR($E43*VLOOKUP($D43,'原料主数据'!$A:$AN, 22, FALSE),"")</f>
        <v/>
      </c>
      <c r="W43" s="7">
        <f>IFERROR($E43*VLOOKUP($D43,'原料主数据'!$A:$AN, 23, FALSE),"")</f>
        <v/>
      </c>
      <c r="X43" s="7">
        <f>IFERROR($E43*VLOOKUP($D43,'原料主数据'!$A:$AN, 24, FALSE),"")</f>
        <v/>
      </c>
      <c r="Y43" s="7">
        <f>IFERROR($E43*VLOOKUP($D43,'原料主数据'!$A:$AN, 25, FALSE),"")</f>
        <v/>
      </c>
      <c r="Z43" s="7">
        <f>IFERROR($E43*VLOOKUP($D43,'原料主数据'!$A:$AN, 26, FALSE),"")</f>
        <v/>
      </c>
      <c r="AA43" s="7">
        <f>IFERROR($E43*VLOOKUP($D43,'原料主数据'!$A:$AN, 27, FALSE),"")</f>
        <v/>
      </c>
      <c r="AB43" s="7">
        <f>IFERROR($E43*VLOOKUP($D43,'原料主数据'!$A:$AN, 28, FALSE),"")</f>
        <v/>
      </c>
      <c r="AC43" s="7">
        <f>IFERROR($E43*VLOOKUP($D43,'原料主数据'!$A:$AN, 29, FALSE),"")</f>
        <v/>
      </c>
      <c r="AD43" s="7">
        <f>IFERROR($E43*VLOOKUP($D43,'原料主数据'!$A:$AN, 30, FALSE),"")</f>
        <v/>
      </c>
      <c r="AE43" s="7">
        <f>IFERROR($E43*VLOOKUP($D43,'原料主数据'!$A:$AN, 31, FALSE),"")</f>
        <v/>
      </c>
      <c r="AF43" s="7">
        <f>IFERROR($E43*VLOOKUP($D43,'原料主数据'!$A:$AN, 32, FALSE),"")</f>
        <v/>
      </c>
      <c r="AG43" s="7">
        <f>IFERROR($E43*VLOOKUP($D43,'原料主数据'!$A:$AN, 33, FALSE),"")</f>
        <v/>
      </c>
      <c r="AH43" s="7">
        <f>IFERROR($E43*VLOOKUP($D43,'原料主数据'!$A:$AN, 34, FALSE),"")</f>
        <v/>
      </c>
      <c r="AI43" s="7">
        <f>IFERROR($E43*VLOOKUP($D43,'原料主数据'!$A:$AN, 35, FALSE),"")</f>
        <v/>
      </c>
      <c r="AJ43" s="7">
        <f>IFERROR($E43*VLOOKUP($D43,'原料主数据'!$A:$AN, 36, FALSE),"")</f>
        <v/>
      </c>
      <c r="AK43" s="7">
        <f>IFERROR($E43*VLOOKUP($D43,'原料主数据'!$A:$AN, 37, FALSE),"")</f>
        <v/>
      </c>
      <c r="AL43" s="7">
        <f>IFERROR($E43*VLOOKUP($D43,'原料主数据'!$A:$AN, 38, FALSE),"")</f>
        <v/>
      </c>
      <c r="AM43" s="7">
        <f>IFERROR($E43*VLOOKUP($D43,'原料主数据'!$A:$AN, 39, FALSE),"")</f>
        <v/>
      </c>
    </row>
    <row r="44">
      <c r="A44" s="6" t="inlineStr">
        <is>
          <t>EP-0005</t>
        </is>
      </c>
      <c r="B44" s="6" t="inlineStr">
        <is>
          <t>EP-C</t>
        </is>
      </c>
      <c r="C44" s="6" t="inlineStr">
        <is>
          <t>环氧酚醛</t>
        </is>
      </c>
      <c r="D44" s="6" t="inlineStr">
        <is>
          <t>RF160</t>
        </is>
      </c>
      <c r="E44" s="6" t="n">
        <v>6.46</v>
      </c>
      <c r="F44" s="6">
        <f>IFERROR(VLOOKUP($D44,'原料主数据'!$A:$E,4,FALSE),"待登记")</f>
        <v/>
      </c>
      <c r="G44" s="6">
        <f>IFERROR(VLOOKUP($D44,'原料主数据'!$A:$E,5,FALSE),"待登记")</f>
        <v/>
      </c>
      <c r="H44" s="6">
        <f>IFERROR($E44*VLOOKUP($D44,'原料主数据'!$A:$AN, 8, FALSE),"")</f>
        <v/>
      </c>
      <c r="I44" s="6">
        <f>IFERROR($E44*VLOOKUP($D44,'原料主数据'!$A:$AN, 9, FALSE),"")</f>
        <v/>
      </c>
      <c r="J44" s="6">
        <f>IFERROR($E44*VLOOKUP($D44,'原料主数据'!$A:$AN, 10, FALSE),"")</f>
        <v/>
      </c>
      <c r="K44" s="6">
        <f>IFERROR($E44*VLOOKUP($D44,'原料主数据'!$A:$AN, 11, FALSE),"")</f>
        <v/>
      </c>
      <c r="L44" s="6">
        <f>IFERROR($E44*VLOOKUP($D44,'原料主数据'!$A:$AN, 12, FALSE),"")</f>
        <v/>
      </c>
      <c r="M44" s="6">
        <f>IFERROR($E44*VLOOKUP($D44,'原料主数据'!$A:$AN, 13, FALSE),"")</f>
        <v/>
      </c>
      <c r="N44" s="6">
        <f>IFERROR($E44*VLOOKUP($D44,'原料主数据'!$A:$AN, 14, FALSE),"")</f>
        <v/>
      </c>
      <c r="O44" s="6">
        <f>IFERROR($E44*VLOOKUP($D44,'原料主数据'!$A:$AN, 15, FALSE),"")</f>
        <v/>
      </c>
      <c r="P44" s="6">
        <f>IFERROR($E44*VLOOKUP($D44,'原料主数据'!$A:$AN, 16, FALSE),"")</f>
        <v/>
      </c>
      <c r="Q44" s="6">
        <f>IFERROR($E44*VLOOKUP($D44,'原料主数据'!$A:$AN, 17, FALSE),"")</f>
        <v/>
      </c>
      <c r="R44" s="6">
        <f>IFERROR($E44*VLOOKUP($D44,'原料主数据'!$A:$AN, 18, FALSE),"")</f>
        <v/>
      </c>
      <c r="S44" s="6">
        <f>IFERROR($E44*VLOOKUP($D44,'原料主数据'!$A:$AN, 19, FALSE),"")</f>
        <v/>
      </c>
      <c r="T44" s="6">
        <f>IFERROR($E44*VLOOKUP($D44,'原料主数据'!$A:$AN, 20, FALSE),"")</f>
        <v/>
      </c>
      <c r="U44" s="6">
        <f>IFERROR($E44*VLOOKUP($D44,'原料主数据'!$A:$AN, 21, FALSE),"")</f>
        <v/>
      </c>
      <c r="V44" s="6">
        <f>IFERROR($E44*VLOOKUP($D44,'原料主数据'!$A:$AN, 22, FALSE),"")</f>
        <v/>
      </c>
      <c r="W44" s="6">
        <f>IFERROR($E44*VLOOKUP($D44,'原料主数据'!$A:$AN, 23, FALSE),"")</f>
        <v/>
      </c>
      <c r="X44" s="6">
        <f>IFERROR($E44*VLOOKUP($D44,'原料主数据'!$A:$AN, 24, FALSE),"")</f>
        <v/>
      </c>
      <c r="Y44" s="6">
        <f>IFERROR($E44*VLOOKUP($D44,'原料主数据'!$A:$AN, 25, FALSE),"")</f>
        <v/>
      </c>
      <c r="Z44" s="6">
        <f>IFERROR($E44*VLOOKUP($D44,'原料主数据'!$A:$AN, 26, FALSE),"")</f>
        <v/>
      </c>
      <c r="AA44" s="6">
        <f>IFERROR($E44*VLOOKUP($D44,'原料主数据'!$A:$AN, 27, FALSE),"")</f>
        <v/>
      </c>
      <c r="AB44" s="6">
        <f>IFERROR($E44*VLOOKUP($D44,'原料主数据'!$A:$AN, 28, FALSE),"")</f>
        <v/>
      </c>
      <c r="AC44" s="6">
        <f>IFERROR($E44*VLOOKUP($D44,'原料主数据'!$A:$AN, 29, FALSE),"")</f>
        <v/>
      </c>
      <c r="AD44" s="6">
        <f>IFERROR($E44*VLOOKUP($D44,'原料主数据'!$A:$AN, 30, FALSE),"")</f>
        <v/>
      </c>
      <c r="AE44" s="6">
        <f>IFERROR($E44*VLOOKUP($D44,'原料主数据'!$A:$AN, 31, FALSE),"")</f>
        <v/>
      </c>
      <c r="AF44" s="6">
        <f>IFERROR($E44*VLOOKUP($D44,'原料主数据'!$A:$AN, 32, FALSE),"")</f>
        <v/>
      </c>
      <c r="AG44" s="6">
        <f>IFERROR($E44*VLOOKUP($D44,'原料主数据'!$A:$AN, 33, FALSE),"")</f>
        <v/>
      </c>
      <c r="AH44" s="6">
        <f>IFERROR($E44*VLOOKUP($D44,'原料主数据'!$A:$AN, 34, FALSE),"")</f>
        <v/>
      </c>
      <c r="AI44" s="6">
        <f>IFERROR($E44*VLOOKUP($D44,'原料主数据'!$A:$AN, 35, FALSE),"")</f>
        <v/>
      </c>
      <c r="AJ44" s="6">
        <f>IFERROR($E44*VLOOKUP($D44,'原料主数据'!$A:$AN, 36, FALSE),"")</f>
        <v/>
      </c>
      <c r="AK44" s="6">
        <f>IFERROR($E44*VLOOKUP($D44,'原料主数据'!$A:$AN, 37, FALSE),"")</f>
        <v/>
      </c>
      <c r="AL44" s="6">
        <f>IFERROR($E44*VLOOKUP($D44,'原料主数据'!$A:$AN, 38, FALSE),"")</f>
        <v/>
      </c>
      <c r="AM44" s="6">
        <f>IFERROR($E44*VLOOKUP($D44,'原料主数据'!$A:$AN, 39, FALSE),"")</f>
        <v/>
      </c>
    </row>
    <row r="45">
      <c r="A45" s="7" t="inlineStr">
        <is>
          <t>EP-0005</t>
        </is>
      </c>
      <c r="B45" s="7" t="inlineStr">
        <is>
          <t>EP-C</t>
        </is>
      </c>
      <c r="C45" s="7" t="inlineStr">
        <is>
          <t>环氧酚醛</t>
        </is>
      </c>
      <c r="D45" s="7" t="inlineStr">
        <is>
          <t>IR809</t>
        </is>
      </c>
      <c r="E45" s="7" t="n">
        <v>0.65</v>
      </c>
      <c r="F45" s="7">
        <f>IFERROR(VLOOKUP($D45,'原料主数据'!$A:$E,4,FALSE),"待登记")</f>
        <v/>
      </c>
      <c r="G45" s="7">
        <f>IFERROR(VLOOKUP($D45,'原料主数据'!$A:$E,5,FALSE),"待登记")</f>
        <v/>
      </c>
      <c r="H45" s="7">
        <f>IFERROR($E45*VLOOKUP($D45,'原料主数据'!$A:$AN, 8, FALSE),"")</f>
        <v/>
      </c>
      <c r="I45" s="7">
        <f>IFERROR($E45*VLOOKUP($D45,'原料主数据'!$A:$AN, 9, FALSE),"")</f>
        <v/>
      </c>
      <c r="J45" s="7">
        <f>IFERROR($E45*VLOOKUP($D45,'原料主数据'!$A:$AN, 10, FALSE),"")</f>
        <v/>
      </c>
      <c r="K45" s="7">
        <f>IFERROR($E45*VLOOKUP($D45,'原料主数据'!$A:$AN, 11, FALSE),"")</f>
        <v/>
      </c>
      <c r="L45" s="7">
        <f>IFERROR($E45*VLOOKUP($D45,'原料主数据'!$A:$AN, 12, FALSE),"")</f>
        <v/>
      </c>
      <c r="M45" s="7">
        <f>IFERROR($E45*VLOOKUP($D45,'原料主数据'!$A:$AN, 13, FALSE),"")</f>
        <v/>
      </c>
      <c r="N45" s="7">
        <f>IFERROR($E45*VLOOKUP($D45,'原料主数据'!$A:$AN, 14, FALSE),"")</f>
        <v/>
      </c>
      <c r="O45" s="7">
        <f>IFERROR($E45*VLOOKUP($D45,'原料主数据'!$A:$AN, 15, FALSE),"")</f>
        <v/>
      </c>
      <c r="P45" s="7">
        <f>IFERROR($E45*VLOOKUP($D45,'原料主数据'!$A:$AN, 16, FALSE),"")</f>
        <v/>
      </c>
      <c r="Q45" s="7">
        <f>IFERROR($E45*VLOOKUP($D45,'原料主数据'!$A:$AN, 17, FALSE),"")</f>
        <v/>
      </c>
      <c r="R45" s="7">
        <f>IFERROR($E45*VLOOKUP($D45,'原料主数据'!$A:$AN, 18, FALSE),"")</f>
        <v/>
      </c>
      <c r="S45" s="7">
        <f>IFERROR($E45*VLOOKUP($D45,'原料主数据'!$A:$AN, 19, FALSE),"")</f>
        <v/>
      </c>
      <c r="T45" s="7">
        <f>IFERROR($E45*VLOOKUP($D45,'原料主数据'!$A:$AN, 20, FALSE),"")</f>
        <v/>
      </c>
      <c r="U45" s="7">
        <f>IFERROR($E45*VLOOKUP($D45,'原料主数据'!$A:$AN, 21, FALSE),"")</f>
        <v/>
      </c>
      <c r="V45" s="7">
        <f>IFERROR($E45*VLOOKUP($D45,'原料主数据'!$A:$AN, 22, FALSE),"")</f>
        <v/>
      </c>
      <c r="W45" s="7">
        <f>IFERROR($E45*VLOOKUP($D45,'原料主数据'!$A:$AN, 23, FALSE),"")</f>
        <v/>
      </c>
      <c r="X45" s="7">
        <f>IFERROR($E45*VLOOKUP($D45,'原料主数据'!$A:$AN, 24, FALSE),"")</f>
        <v/>
      </c>
      <c r="Y45" s="7">
        <f>IFERROR($E45*VLOOKUP($D45,'原料主数据'!$A:$AN, 25, FALSE),"")</f>
        <v/>
      </c>
      <c r="Z45" s="7">
        <f>IFERROR($E45*VLOOKUP($D45,'原料主数据'!$A:$AN, 26, FALSE),"")</f>
        <v/>
      </c>
      <c r="AA45" s="7">
        <f>IFERROR($E45*VLOOKUP($D45,'原料主数据'!$A:$AN, 27, FALSE),"")</f>
        <v/>
      </c>
      <c r="AB45" s="7">
        <f>IFERROR($E45*VLOOKUP($D45,'原料主数据'!$A:$AN, 28, FALSE),"")</f>
        <v/>
      </c>
      <c r="AC45" s="7">
        <f>IFERROR($E45*VLOOKUP($D45,'原料主数据'!$A:$AN, 29, FALSE),"")</f>
        <v/>
      </c>
      <c r="AD45" s="7">
        <f>IFERROR($E45*VLOOKUP($D45,'原料主数据'!$A:$AN, 30, FALSE),"")</f>
        <v/>
      </c>
      <c r="AE45" s="7">
        <f>IFERROR($E45*VLOOKUP($D45,'原料主数据'!$A:$AN, 31, FALSE),"")</f>
        <v/>
      </c>
      <c r="AF45" s="7">
        <f>IFERROR($E45*VLOOKUP($D45,'原料主数据'!$A:$AN, 32, FALSE),"")</f>
        <v/>
      </c>
      <c r="AG45" s="7">
        <f>IFERROR($E45*VLOOKUP($D45,'原料主数据'!$A:$AN, 33, FALSE),"")</f>
        <v/>
      </c>
      <c r="AH45" s="7">
        <f>IFERROR($E45*VLOOKUP($D45,'原料主数据'!$A:$AN, 34, FALSE),"")</f>
        <v/>
      </c>
      <c r="AI45" s="7">
        <f>IFERROR($E45*VLOOKUP($D45,'原料主数据'!$A:$AN, 35, FALSE),"")</f>
        <v/>
      </c>
      <c r="AJ45" s="7">
        <f>IFERROR($E45*VLOOKUP($D45,'原料主数据'!$A:$AN, 36, FALSE),"")</f>
        <v/>
      </c>
      <c r="AK45" s="7">
        <f>IFERROR($E45*VLOOKUP($D45,'原料主数据'!$A:$AN, 37, FALSE),"")</f>
        <v/>
      </c>
      <c r="AL45" s="7">
        <f>IFERROR($E45*VLOOKUP($D45,'原料主数据'!$A:$AN, 38, FALSE),"")</f>
        <v/>
      </c>
      <c r="AM45" s="7">
        <f>IFERROR($E45*VLOOKUP($D45,'原料主数据'!$A:$AN, 39, FALSE),"")</f>
        <v/>
      </c>
    </row>
    <row r="46">
      <c r="A46" s="6" t="inlineStr">
        <is>
          <t>EP-0005</t>
        </is>
      </c>
      <c r="B46" s="6" t="inlineStr">
        <is>
          <t>EP-C</t>
        </is>
      </c>
      <c r="C46" s="6" t="inlineStr">
        <is>
          <t>环氧酚醛</t>
        </is>
      </c>
      <c r="D46" s="6" t="inlineStr">
        <is>
          <t>RF516</t>
        </is>
      </c>
      <c r="E46" s="6" t="n">
        <v>7</v>
      </c>
      <c r="F46" s="6">
        <f>IFERROR(VLOOKUP($D46,'原料主数据'!$A:$E,4,FALSE),"待登记")</f>
        <v/>
      </c>
      <c r="G46" s="6">
        <f>IFERROR(VLOOKUP($D46,'原料主数据'!$A:$E,5,FALSE),"待登记")</f>
        <v/>
      </c>
      <c r="H46" s="6">
        <f>IFERROR($E46*VLOOKUP($D46,'原料主数据'!$A:$AN, 8, FALSE),"")</f>
        <v/>
      </c>
      <c r="I46" s="6">
        <f>IFERROR($E46*VLOOKUP($D46,'原料主数据'!$A:$AN, 9, FALSE),"")</f>
        <v/>
      </c>
      <c r="J46" s="6">
        <f>IFERROR($E46*VLOOKUP($D46,'原料主数据'!$A:$AN, 10, FALSE),"")</f>
        <v/>
      </c>
      <c r="K46" s="6">
        <f>IFERROR($E46*VLOOKUP($D46,'原料主数据'!$A:$AN, 11, FALSE),"")</f>
        <v/>
      </c>
      <c r="L46" s="6">
        <f>IFERROR($E46*VLOOKUP($D46,'原料主数据'!$A:$AN, 12, FALSE),"")</f>
        <v/>
      </c>
      <c r="M46" s="6">
        <f>IFERROR($E46*VLOOKUP($D46,'原料主数据'!$A:$AN, 13, FALSE),"")</f>
        <v/>
      </c>
      <c r="N46" s="6">
        <f>IFERROR($E46*VLOOKUP($D46,'原料主数据'!$A:$AN, 14, FALSE),"")</f>
        <v/>
      </c>
      <c r="O46" s="6">
        <f>IFERROR($E46*VLOOKUP($D46,'原料主数据'!$A:$AN, 15, FALSE),"")</f>
        <v/>
      </c>
      <c r="P46" s="6">
        <f>IFERROR($E46*VLOOKUP($D46,'原料主数据'!$A:$AN, 16, FALSE),"")</f>
        <v/>
      </c>
      <c r="Q46" s="6">
        <f>IFERROR($E46*VLOOKUP($D46,'原料主数据'!$A:$AN, 17, FALSE),"")</f>
        <v/>
      </c>
      <c r="R46" s="6">
        <f>IFERROR($E46*VLOOKUP($D46,'原料主数据'!$A:$AN, 18, FALSE),"")</f>
        <v/>
      </c>
      <c r="S46" s="6">
        <f>IFERROR($E46*VLOOKUP($D46,'原料主数据'!$A:$AN, 19, FALSE),"")</f>
        <v/>
      </c>
      <c r="T46" s="6">
        <f>IFERROR($E46*VLOOKUP($D46,'原料主数据'!$A:$AN, 20, FALSE),"")</f>
        <v/>
      </c>
      <c r="U46" s="6">
        <f>IFERROR($E46*VLOOKUP($D46,'原料主数据'!$A:$AN, 21, FALSE),"")</f>
        <v/>
      </c>
      <c r="V46" s="6">
        <f>IFERROR($E46*VLOOKUP($D46,'原料主数据'!$A:$AN, 22, FALSE),"")</f>
        <v/>
      </c>
      <c r="W46" s="6">
        <f>IFERROR($E46*VLOOKUP($D46,'原料主数据'!$A:$AN, 23, FALSE),"")</f>
        <v/>
      </c>
      <c r="X46" s="6">
        <f>IFERROR($E46*VLOOKUP($D46,'原料主数据'!$A:$AN, 24, FALSE),"")</f>
        <v/>
      </c>
      <c r="Y46" s="6">
        <f>IFERROR($E46*VLOOKUP($D46,'原料主数据'!$A:$AN, 25, FALSE),"")</f>
        <v/>
      </c>
      <c r="Z46" s="6">
        <f>IFERROR($E46*VLOOKUP($D46,'原料主数据'!$A:$AN, 26, FALSE),"")</f>
        <v/>
      </c>
      <c r="AA46" s="6">
        <f>IFERROR($E46*VLOOKUP($D46,'原料主数据'!$A:$AN, 27, FALSE),"")</f>
        <v/>
      </c>
      <c r="AB46" s="6">
        <f>IFERROR($E46*VLOOKUP($D46,'原料主数据'!$A:$AN, 28, FALSE),"")</f>
        <v/>
      </c>
      <c r="AC46" s="6">
        <f>IFERROR($E46*VLOOKUP($D46,'原料主数据'!$A:$AN, 29, FALSE),"")</f>
        <v/>
      </c>
      <c r="AD46" s="6">
        <f>IFERROR($E46*VLOOKUP($D46,'原料主数据'!$A:$AN, 30, FALSE),"")</f>
        <v/>
      </c>
      <c r="AE46" s="6">
        <f>IFERROR($E46*VLOOKUP($D46,'原料主数据'!$A:$AN, 31, FALSE),"")</f>
        <v/>
      </c>
      <c r="AF46" s="6">
        <f>IFERROR($E46*VLOOKUP($D46,'原料主数据'!$A:$AN, 32, FALSE),"")</f>
        <v/>
      </c>
      <c r="AG46" s="6">
        <f>IFERROR($E46*VLOOKUP($D46,'原料主数据'!$A:$AN, 33, FALSE),"")</f>
        <v/>
      </c>
      <c r="AH46" s="6">
        <f>IFERROR($E46*VLOOKUP($D46,'原料主数据'!$A:$AN, 34, FALSE),"")</f>
        <v/>
      </c>
      <c r="AI46" s="6">
        <f>IFERROR($E46*VLOOKUP($D46,'原料主数据'!$A:$AN, 35, FALSE),"")</f>
        <v/>
      </c>
      <c r="AJ46" s="6">
        <f>IFERROR($E46*VLOOKUP($D46,'原料主数据'!$A:$AN, 36, FALSE),"")</f>
        <v/>
      </c>
      <c r="AK46" s="6">
        <f>IFERROR($E46*VLOOKUP($D46,'原料主数据'!$A:$AN, 37, FALSE),"")</f>
        <v/>
      </c>
      <c r="AL46" s="6">
        <f>IFERROR($E46*VLOOKUP($D46,'原料主数据'!$A:$AN, 38, FALSE),"")</f>
        <v/>
      </c>
      <c r="AM46" s="6">
        <f>IFERROR($E46*VLOOKUP($D46,'原料主数据'!$A:$AN, 39, FALSE),"")</f>
        <v/>
      </c>
    </row>
    <row r="47">
      <c r="A47" s="7" t="inlineStr">
        <is>
          <t>EP-0005</t>
        </is>
      </c>
      <c r="B47" s="7" t="inlineStr">
        <is>
          <t>EP-C</t>
        </is>
      </c>
      <c r="C47" s="7" t="inlineStr">
        <is>
          <t>环氧酚醛</t>
        </is>
      </c>
      <c r="D47" s="7" t="inlineStr">
        <is>
          <t>RF950</t>
        </is>
      </c>
      <c r="E47" s="7" t="n">
        <v>8.98</v>
      </c>
      <c r="F47" s="7">
        <f>IFERROR(VLOOKUP($D47,'原料主数据'!$A:$E,4,FALSE),"待登记")</f>
        <v/>
      </c>
      <c r="G47" s="7">
        <f>IFERROR(VLOOKUP($D47,'原料主数据'!$A:$E,5,FALSE),"待登记")</f>
        <v/>
      </c>
      <c r="H47" s="7">
        <f>IFERROR($E47*VLOOKUP($D47,'原料主数据'!$A:$AN, 8, FALSE),"")</f>
        <v/>
      </c>
      <c r="I47" s="7">
        <f>IFERROR($E47*VLOOKUP($D47,'原料主数据'!$A:$AN, 9, FALSE),"")</f>
        <v/>
      </c>
      <c r="J47" s="7">
        <f>IFERROR($E47*VLOOKUP($D47,'原料主数据'!$A:$AN, 10, FALSE),"")</f>
        <v/>
      </c>
      <c r="K47" s="7">
        <f>IFERROR($E47*VLOOKUP($D47,'原料主数据'!$A:$AN, 11, FALSE),"")</f>
        <v/>
      </c>
      <c r="L47" s="7">
        <f>IFERROR($E47*VLOOKUP($D47,'原料主数据'!$A:$AN, 12, FALSE),"")</f>
        <v/>
      </c>
      <c r="M47" s="7">
        <f>IFERROR($E47*VLOOKUP($D47,'原料主数据'!$A:$AN, 13, FALSE),"")</f>
        <v/>
      </c>
      <c r="N47" s="7">
        <f>IFERROR($E47*VLOOKUP($D47,'原料主数据'!$A:$AN, 14, FALSE),"")</f>
        <v/>
      </c>
      <c r="O47" s="7">
        <f>IFERROR($E47*VLOOKUP($D47,'原料主数据'!$A:$AN, 15, FALSE),"")</f>
        <v/>
      </c>
      <c r="P47" s="7">
        <f>IFERROR($E47*VLOOKUP($D47,'原料主数据'!$A:$AN, 16, FALSE),"")</f>
        <v/>
      </c>
      <c r="Q47" s="7">
        <f>IFERROR($E47*VLOOKUP($D47,'原料主数据'!$A:$AN, 17, FALSE),"")</f>
        <v/>
      </c>
      <c r="R47" s="7">
        <f>IFERROR($E47*VLOOKUP($D47,'原料主数据'!$A:$AN, 18, FALSE),"")</f>
        <v/>
      </c>
      <c r="S47" s="7">
        <f>IFERROR($E47*VLOOKUP($D47,'原料主数据'!$A:$AN, 19, FALSE),"")</f>
        <v/>
      </c>
      <c r="T47" s="7">
        <f>IFERROR($E47*VLOOKUP($D47,'原料主数据'!$A:$AN, 20, FALSE),"")</f>
        <v/>
      </c>
      <c r="U47" s="7">
        <f>IFERROR($E47*VLOOKUP($D47,'原料主数据'!$A:$AN, 21, FALSE),"")</f>
        <v/>
      </c>
      <c r="V47" s="7">
        <f>IFERROR($E47*VLOOKUP($D47,'原料主数据'!$A:$AN, 22, FALSE),"")</f>
        <v/>
      </c>
      <c r="W47" s="7">
        <f>IFERROR($E47*VLOOKUP($D47,'原料主数据'!$A:$AN, 23, FALSE),"")</f>
        <v/>
      </c>
      <c r="X47" s="7">
        <f>IFERROR($E47*VLOOKUP($D47,'原料主数据'!$A:$AN, 24, FALSE),"")</f>
        <v/>
      </c>
      <c r="Y47" s="7">
        <f>IFERROR($E47*VLOOKUP($D47,'原料主数据'!$A:$AN, 25, FALSE),"")</f>
        <v/>
      </c>
      <c r="Z47" s="7">
        <f>IFERROR($E47*VLOOKUP($D47,'原料主数据'!$A:$AN, 26, FALSE),"")</f>
        <v/>
      </c>
      <c r="AA47" s="7">
        <f>IFERROR($E47*VLOOKUP($D47,'原料主数据'!$A:$AN, 27, FALSE),"")</f>
        <v/>
      </c>
      <c r="AB47" s="7">
        <f>IFERROR($E47*VLOOKUP($D47,'原料主数据'!$A:$AN, 28, FALSE),"")</f>
        <v/>
      </c>
      <c r="AC47" s="7">
        <f>IFERROR($E47*VLOOKUP($D47,'原料主数据'!$A:$AN, 29, FALSE),"")</f>
        <v/>
      </c>
      <c r="AD47" s="7">
        <f>IFERROR($E47*VLOOKUP($D47,'原料主数据'!$A:$AN, 30, FALSE),"")</f>
        <v/>
      </c>
      <c r="AE47" s="7">
        <f>IFERROR($E47*VLOOKUP($D47,'原料主数据'!$A:$AN, 31, FALSE),"")</f>
        <v/>
      </c>
      <c r="AF47" s="7">
        <f>IFERROR($E47*VLOOKUP($D47,'原料主数据'!$A:$AN, 32, FALSE),"")</f>
        <v/>
      </c>
      <c r="AG47" s="7">
        <f>IFERROR($E47*VLOOKUP($D47,'原料主数据'!$A:$AN, 33, FALSE),"")</f>
        <v/>
      </c>
      <c r="AH47" s="7">
        <f>IFERROR($E47*VLOOKUP($D47,'原料主数据'!$A:$AN, 34, FALSE),"")</f>
        <v/>
      </c>
      <c r="AI47" s="7">
        <f>IFERROR($E47*VLOOKUP($D47,'原料主数据'!$A:$AN, 35, FALSE),"")</f>
        <v/>
      </c>
      <c r="AJ47" s="7">
        <f>IFERROR($E47*VLOOKUP($D47,'原料主数据'!$A:$AN, 36, FALSE),"")</f>
        <v/>
      </c>
      <c r="AK47" s="7">
        <f>IFERROR($E47*VLOOKUP($D47,'原料主数据'!$A:$AN, 37, FALSE),"")</f>
        <v/>
      </c>
      <c r="AL47" s="7">
        <f>IFERROR($E47*VLOOKUP($D47,'原料主数据'!$A:$AN, 38, FALSE),"")</f>
        <v/>
      </c>
      <c r="AM47" s="7">
        <f>IFERROR($E47*VLOOKUP($D47,'原料主数据'!$A:$AN, 39, FALSE),"")</f>
        <v/>
      </c>
    </row>
    <row r="48">
      <c r="A48" s="6" t="inlineStr">
        <is>
          <t>EP-0005</t>
        </is>
      </c>
      <c r="B48" s="6" t="inlineStr">
        <is>
          <t>EP-C</t>
        </is>
      </c>
      <c r="C48" s="6" t="inlineStr">
        <is>
          <t>环氧酚醛</t>
        </is>
      </c>
      <c r="D48" s="6" t="inlineStr">
        <is>
          <t>RH601</t>
        </is>
      </c>
      <c r="E48" s="6" t="n">
        <v>1.26</v>
      </c>
      <c r="F48" s="6">
        <f>IFERROR(VLOOKUP($D48,'原料主数据'!$A:$E,4,FALSE),"待登记")</f>
        <v/>
      </c>
      <c r="G48" s="6">
        <f>IFERROR(VLOOKUP($D48,'原料主数据'!$A:$E,5,FALSE),"待登记")</f>
        <v/>
      </c>
      <c r="H48" s="6">
        <f>IFERROR($E48*VLOOKUP($D48,'原料主数据'!$A:$AN, 8, FALSE),"")</f>
        <v/>
      </c>
      <c r="I48" s="6">
        <f>IFERROR($E48*VLOOKUP($D48,'原料主数据'!$A:$AN, 9, FALSE),"")</f>
        <v/>
      </c>
      <c r="J48" s="6">
        <f>IFERROR($E48*VLOOKUP($D48,'原料主数据'!$A:$AN, 10, FALSE),"")</f>
        <v/>
      </c>
      <c r="K48" s="6">
        <f>IFERROR($E48*VLOOKUP($D48,'原料主数据'!$A:$AN, 11, FALSE),"")</f>
        <v/>
      </c>
      <c r="L48" s="6">
        <f>IFERROR($E48*VLOOKUP($D48,'原料主数据'!$A:$AN, 12, FALSE),"")</f>
        <v/>
      </c>
      <c r="M48" s="6">
        <f>IFERROR($E48*VLOOKUP($D48,'原料主数据'!$A:$AN, 13, FALSE),"")</f>
        <v/>
      </c>
      <c r="N48" s="6">
        <f>IFERROR($E48*VLOOKUP($D48,'原料主数据'!$A:$AN, 14, FALSE),"")</f>
        <v/>
      </c>
      <c r="O48" s="6">
        <f>IFERROR($E48*VLOOKUP($D48,'原料主数据'!$A:$AN, 15, FALSE),"")</f>
        <v/>
      </c>
      <c r="P48" s="6">
        <f>IFERROR($E48*VLOOKUP($D48,'原料主数据'!$A:$AN, 16, FALSE),"")</f>
        <v/>
      </c>
      <c r="Q48" s="6">
        <f>IFERROR($E48*VLOOKUP($D48,'原料主数据'!$A:$AN, 17, FALSE),"")</f>
        <v/>
      </c>
      <c r="R48" s="6">
        <f>IFERROR($E48*VLOOKUP($D48,'原料主数据'!$A:$AN, 18, FALSE),"")</f>
        <v/>
      </c>
      <c r="S48" s="6">
        <f>IFERROR($E48*VLOOKUP($D48,'原料主数据'!$A:$AN, 19, FALSE),"")</f>
        <v/>
      </c>
      <c r="T48" s="6">
        <f>IFERROR($E48*VLOOKUP($D48,'原料主数据'!$A:$AN, 20, FALSE),"")</f>
        <v/>
      </c>
      <c r="U48" s="6">
        <f>IFERROR($E48*VLOOKUP($D48,'原料主数据'!$A:$AN, 21, FALSE),"")</f>
        <v/>
      </c>
      <c r="V48" s="6">
        <f>IFERROR($E48*VLOOKUP($D48,'原料主数据'!$A:$AN, 22, FALSE),"")</f>
        <v/>
      </c>
      <c r="W48" s="6">
        <f>IFERROR($E48*VLOOKUP($D48,'原料主数据'!$A:$AN, 23, FALSE),"")</f>
        <v/>
      </c>
      <c r="X48" s="6">
        <f>IFERROR($E48*VLOOKUP($D48,'原料主数据'!$A:$AN, 24, FALSE),"")</f>
        <v/>
      </c>
      <c r="Y48" s="6">
        <f>IFERROR($E48*VLOOKUP($D48,'原料主数据'!$A:$AN, 25, FALSE),"")</f>
        <v/>
      </c>
      <c r="Z48" s="6">
        <f>IFERROR($E48*VLOOKUP($D48,'原料主数据'!$A:$AN, 26, FALSE),"")</f>
        <v/>
      </c>
      <c r="AA48" s="6">
        <f>IFERROR($E48*VLOOKUP($D48,'原料主数据'!$A:$AN, 27, FALSE),"")</f>
        <v/>
      </c>
      <c r="AB48" s="6">
        <f>IFERROR($E48*VLOOKUP($D48,'原料主数据'!$A:$AN, 28, FALSE),"")</f>
        <v/>
      </c>
      <c r="AC48" s="6">
        <f>IFERROR($E48*VLOOKUP($D48,'原料主数据'!$A:$AN, 29, FALSE),"")</f>
        <v/>
      </c>
      <c r="AD48" s="6">
        <f>IFERROR($E48*VLOOKUP($D48,'原料主数据'!$A:$AN, 30, FALSE),"")</f>
        <v/>
      </c>
      <c r="AE48" s="6">
        <f>IFERROR($E48*VLOOKUP($D48,'原料主数据'!$A:$AN, 31, FALSE),"")</f>
        <v/>
      </c>
      <c r="AF48" s="6">
        <f>IFERROR($E48*VLOOKUP($D48,'原料主数据'!$A:$AN, 32, FALSE),"")</f>
        <v/>
      </c>
      <c r="AG48" s="6">
        <f>IFERROR($E48*VLOOKUP($D48,'原料主数据'!$A:$AN, 33, FALSE),"")</f>
        <v/>
      </c>
      <c r="AH48" s="6">
        <f>IFERROR($E48*VLOOKUP($D48,'原料主数据'!$A:$AN, 34, FALSE),"")</f>
        <v/>
      </c>
      <c r="AI48" s="6">
        <f>IFERROR($E48*VLOOKUP($D48,'原料主数据'!$A:$AN, 35, FALSE),"")</f>
        <v/>
      </c>
      <c r="AJ48" s="6">
        <f>IFERROR($E48*VLOOKUP($D48,'原料主数据'!$A:$AN, 36, FALSE),"")</f>
        <v/>
      </c>
      <c r="AK48" s="6">
        <f>IFERROR($E48*VLOOKUP($D48,'原料主数据'!$A:$AN, 37, FALSE),"")</f>
        <v/>
      </c>
      <c r="AL48" s="6">
        <f>IFERROR($E48*VLOOKUP($D48,'原料主数据'!$A:$AN, 38, FALSE),"")</f>
        <v/>
      </c>
      <c r="AM48" s="6">
        <f>IFERROR($E48*VLOOKUP($D48,'原料主数据'!$A:$AN, 39, FALSE),"")</f>
        <v/>
      </c>
    </row>
    <row r="49">
      <c r="A49" s="7" t="inlineStr">
        <is>
          <t>EP-0005</t>
        </is>
      </c>
      <c r="B49" s="7" t="inlineStr">
        <is>
          <t>EP-C</t>
        </is>
      </c>
      <c r="C49" s="7" t="inlineStr">
        <is>
          <t>环氧酚醛</t>
        </is>
      </c>
      <c r="D49" s="7" t="inlineStr">
        <is>
          <t>住友55754G</t>
        </is>
      </c>
      <c r="E49" s="7" t="n">
        <v>1.98</v>
      </c>
      <c r="F49" s="7">
        <f>IFERROR(VLOOKUP($D49,'原料主数据'!$A:$E,4,FALSE),"待登记")</f>
        <v/>
      </c>
      <c r="G49" s="7">
        <f>IFERROR(VLOOKUP($D49,'原料主数据'!$A:$E,5,FALSE),"待登记")</f>
        <v/>
      </c>
      <c r="H49" s="7">
        <f>IFERROR($E49*VLOOKUP($D49,'原料主数据'!$A:$AN, 8, FALSE),"")</f>
        <v/>
      </c>
      <c r="I49" s="7">
        <f>IFERROR($E49*VLOOKUP($D49,'原料主数据'!$A:$AN, 9, FALSE),"")</f>
        <v/>
      </c>
      <c r="J49" s="7">
        <f>IFERROR($E49*VLOOKUP($D49,'原料主数据'!$A:$AN, 10, FALSE),"")</f>
        <v/>
      </c>
      <c r="K49" s="7">
        <f>IFERROR($E49*VLOOKUP($D49,'原料主数据'!$A:$AN, 11, FALSE),"")</f>
        <v/>
      </c>
      <c r="L49" s="7">
        <f>IFERROR($E49*VLOOKUP($D49,'原料主数据'!$A:$AN, 12, FALSE),"")</f>
        <v/>
      </c>
      <c r="M49" s="7">
        <f>IFERROR($E49*VLOOKUP($D49,'原料主数据'!$A:$AN, 13, FALSE),"")</f>
        <v/>
      </c>
      <c r="N49" s="7">
        <f>IFERROR($E49*VLOOKUP($D49,'原料主数据'!$A:$AN, 14, FALSE),"")</f>
        <v/>
      </c>
      <c r="O49" s="7">
        <f>IFERROR($E49*VLOOKUP($D49,'原料主数据'!$A:$AN, 15, FALSE),"")</f>
        <v/>
      </c>
      <c r="P49" s="7">
        <f>IFERROR($E49*VLOOKUP($D49,'原料主数据'!$A:$AN, 16, FALSE),"")</f>
        <v/>
      </c>
      <c r="Q49" s="7">
        <f>IFERROR($E49*VLOOKUP($D49,'原料主数据'!$A:$AN, 17, FALSE),"")</f>
        <v/>
      </c>
      <c r="R49" s="7">
        <f>IFERROR($E49*VLOOKUP($D49,'原料主数据'!$A:$AN, 18, FALSE),"")</f>
        <v/>
      </c>
      <c r="S49" s="7">
        <f>IFERROR($E49*VLOOKUP($D49,'原料主数据'!$A:$AN, 19, FALSE),"")</f>
        <v/>
      </c>
      <c r="T49" s="7">
        <f>IFERROR($E49*VLOOKUP($D49,'原料主数据'!$A:$AN, 20, FALSE),"")</f>
        <v/>
      </c>
      <c r="U49" s="7">
        <f>IFERROR($E49*VLOOKUP($D49,'原料主数据'!$A:$AN, 21, FALSE),"")</f>
        <v/>
      </c>
      <c r="V49" s="7">
        <f>IFERROR($E49*VLOOKUP($D49,'原料主数据'!$A:$AN, 22, FALSE),"")</f>
        <v/>
      </c>
      <c r="W49" s="7">
        <f>IFERROR($E49*VLOOKUP($D49,'原料主数据'!$A:$AN, 23, FALSE),"")</f>
        <v/>
      </c>
      <c r="X49" s="7">
        <f>IFERROR($E49*VLOOKUP($D49,'原料主数据'!$A:$AN, 24, FALSE),"")</f>
        <v/>
      </c>
      <c r="Y49" s="7">
        <f>IFERROR($E49*VLOOKUP($D49,'原料主数据'!$A:$AN, 25, FALSE),"")</f>
        <v/>
      </c>
      <c r="Z49" s="7">
        <f>IFERROR($E49*VLOOKUP($D49,'原料主数据'!$A:$AN, 26, FALSE),"")</f>
        <v/>
      </c>
      <c r="AA49" s="7">
        <f>IFERROR($E49*VLOOKUP($D49,'原料主数据'!$A:$AN, 27, FALSE),"")</f>
        <v/>
      </c>
      <c r="AB49" s="7">
        <f>IFERROR($E49*VLOOKUP($D49,'原料主数据'!$A:$AN, 28, FALSE),"")</f>
        <v/>
      </c>
      <c r="AC49" s="7">
        <f>IFERROR($E49*VLOOKUP($D49,'原料主数据'!$A:$AN, 29, FALSE),"")</f>
        <v/>
      </c>
      <c r="AD49" s="7">
        <f>IFERROR($E49*VLOOKUP($D49,'原料主数据'!$A:$AN, 30, FALSE),"")</f>
        <v/>
      </c>
      <c r="AE49" s="7">
        <f>IFERROR($E49*VLOOKUP($D49,'原料主数据'!$A:$AN, 31, FALSE),"")</f>
        <v/>
      </c>
      <c r="AF49" s="7">
        <f>IFERROR($E49*VLOOKUP($D49,'原料主数据'!$A:$AN, 32, FALSE),"")</f>
        <v/>
      </c>
      <c r="AG49" s="7">
        <f>IFERROR($E49*VLOOKUP($D49,'原料主数据'!$A:$AN, 33, FALSE),"")</f>
        <v/>
      </c>
      <c r="AH49" s="7">
        <f>IFERROR($E49*VLOOKUP($D49,'原料主数据'!$A:$AN, 34, FALSE),"")</f>
        <v/>
      </c>
      <c r="AI49" s="7">
        <f>IFERROR($E49*VLOOKUP($D49,'原料主数据'!$A:$AN, 35, FALSE),"")</f>
        <v/>
      </c>
      <c r="AJ49" s="7">
        <f>IFERROR($E49*VLOOKUP($D49,'原料主数据'!$A:$AN, 36, FALSE),"")</f>
        <v/>
      </c>
      <c r="AK49" s="7">
        <f>IFERROR($E49*VLOOKUP($D49,'原料主数据'!$A:$AN, 37, FALSE),"")</f>
        <v/>
      </c>
      <c r="AL49" s="7">
        <f>IFERROR($E49*VLOOKUP($D49,'原料主数据'!$A:$AN, 38, FALSE),"")</f>
        <v/>
      </c>
      <c r="AM49" s="7">
        <f>IFERROR($E49*VLOOKUP($D49,'原料主数据'!$A:$AN, 39, FALSE),"")</f>
        <v/>
      </c>
    </row>
    <row r="50">
      <c r="A50" s="6" t="inlineStr">
        <is>
          <t>EP-0005</t>
        </is>
      </c>
      <c r="B50" s="6" t="inlineStr">
        <is>
          <t>EP-C</t>
        </is>
      </c>
      <c r="C50" s="6" t="inlineStr">
        <is>
          <t>环氧酚醛</t>
        </is>
      </c>
      <c r="D50" s="6" t="inlineStr">
        <is>
          <t>1510蜡</t>
        </is>
      </c>
      <c r="E50" s="6" t="n">
        <v>3.09</v>
      </c>
      <c r="F50" s="6">
        <f>IFERROR(VLOOKUP($D50,'原料主数据'!$A:$E,4,FALSE),"待登记")</f>
        <v/>
      </c>
      <c r="G50" s="6">
        <f>IFERROR(VLOOKUP($D50,'原料主数据'!$A:$E,5,FALSE),"待登记")</f>
        <v/>
      </c>
      <c r="H50" s="6">
        <f>IFERROR($E50*VLOOKUP($D50,'原料主数据'!$A:$AN, 8, FALSE),"")</f>
        <v/>
      </c>
      <c r="I50" s="6">
        <f>IFERROR($E50*VLOOKUP($D50,'原料主数据'!$A:$AN, 9, FALSE),"")</f>
        <v/>
      </c>
      <c r="J50" s="6">
        <f>IFERROR($E50*VLOOKUP($D50,'原料主数据'!$A:$AN, 10, FALSE),"")</f>
        <v/>
      </c>
      <c r="K50" s="6">
        <f>IFERROR($E50*VLOOKUP($D50,'原料主数据'!$A:$AN, 11, FALSE),"")</f>
        <v/>
      </c>
      <c r="L50" s="6">
        <f>IFERROR($E50*VLOOKUP($D50,'原料主数据'!$A:$AN, 12, FALSE),"")</f>
        <v/>
      </c>
      <c r="M50" s="6">
        <f>IFERROR($E50*VLOOKUP($D50,'原料主数据'!$A:$AN, 13, FALSE),"")</f>
        <v/>
      </c>
      <c r="N50" s="6">
        <f>IFERROR($E50*VLOOKUP($D50,'原料主数据'!$A:$AN, 14, FALSE),"")</f>
        <v/>
      </c>
      <c r="O50" s="6">
        <f>IFERROR($E50*VLOOKUP($D50,'原料主数据'!$A:$AN, 15, FALSE),"")</f>
        <v/>
      </c>
      <c r="P50" s="6">
        <f>IFERROR($E50*VLOOKUP($D50,'原料主数据'!$A:$AN, 16, FALSE),"")</f>
        <v/>
      </c>
      <c r="Q50" s="6">
        <f>IFERROR($E50*VLOOKUP($D50,'原料主数据'!$A:$AN, 17, FALSE),"")</f>
        <v/>
      </c>
      <c r="R50" s="6">
        <f>IFERROR($E50*VLOOKUP($D50,'原料主数据'!$A:$AN, 18, FALSE),"")</f>
        <v/>
      </c>
      <c r="S50" s="6">
        <f>IFERROR($E50*VLOOKUP($D50,'原料主数据'!$A:$AN, 19, FALSE),"")</f>
        <v/>
      </c>
      <c r="T50" s="6">
        <f>IFERROR($E50*VLOOKUP($D50,'原料主数据'!$A:$AN, 20, FALSE),"")</f>
        <v/>
      </c>
      <c r="U50" s="6">
        <f>IFERROR($E50*VLOOKUP($D50,'原料主数据'!$A:$AN, 21, FALSE),"")</f>
        <v/>
      </c>
      <c r="V50" s="6">
        <f>IFERROR($E50*VLOOKUP($D50,'原料主数据'!$A:$AN, 22, FALSE),"")</f>
        <v/>
      </c>
      <c r="W50" s="6">
        <f>IFERROR($E50*VLOOKUP($D50,'原料主数据'!$A:$AN, 23, FALSE),"")</f>
        <v/>
      </c>
      <c r="X50" s="6">
        <f>IFERROR($E50*VLOOKUP($D50,'原料主数据'!$A:$AN, 24, FALSE),"")</f>
        <v/>
      </c>
      <c r="Y50" s="6">
        <f>IFERROR($E50*VLOOKUP($D50,'原料主数据'!$A:$AN, 25, FALSE),"")</f>
        <v/>
      </c>
      <c r="Z50" s="6">
        <f>IFERROR($E50*VLOOKUP($D50,'原料主数据'!$A:$AN, 26, FALSE),"")</f>
        <v/>
      </c>
      <c r="AA50" s="6">
        <f>IFERROR($E50*VLOOKUP($D50,'原料主数据'!$A:$AN, 27, FALSE),"")</f>
        <v/>
      </c>
      <c r="AB50" s="6">
        <f>IFERROR($E50*VLOOKUP($D50,'原料主数据'!$A:$AN, 28, FALSE),"")</f>
        <v/>
      </c>
      <c r="AC50" s="6">
        <f>IFERROR($E50*VLOOKUP($D50,'原料主数据'!$A:$AN, 29, FALSE),"")</f>
        <v/>
      </c>
      <c r="AD50" s="6">
        <f>IFERROR($E50*VLOOKUP($D50,'原料主数据'!$A:$AN, 30, FALSE),"")</f>
        <v/>
      </c>
      <c r="AE50" s="6">
        <f>IFERROR($E50*VLOOKUP($D50,'原料主数据'!$A:$AN, 31, FALSE),"")</f>
        <v/>
      </c>
      <c r="AF50" s="6">
        <f>IFERROR($E50*VLOOKUP($D50,'原料主数据'!$A:$AN, 32, FALSE),"")</f>
        <v/>
      </c>
      <c r="AG50" s="6">
        <f>IFERROR($E50*VLOOKUP($D50,'原料主数据'!$A:$AN, 33, FALSE),"")</f>
        <v/>
      </c>
      <c r="AH50" s="6">
        <f>IFERROR($E50*VLOOKUP($D50,'原料主数据'!$A:$AN, 34, FALSE),"")</f>
        <v/>
      </c>
      <c r="AI50" s="6">
        <f>IFERROR($E50*VLOOKUP($D50,'原料主数据'!$A:$AN, 35, FALSE),"")</f>
        <v/>
      </c>
      <c r="AJ50" s="6">
        <f>IFERROR($E50*VLOOKUP($D50,'原料主数据'!$A:$AN, 36, FALSE),"")</f>
        <v/>
      </c>
      <c r="AK50" s="6">
        <f>IFERROR($E50*VLOOKUP($D50,'原料主数据'!$A:$AN, 37, FALSE),"")</f>
        <v/>
      </c>
      <c r="AL50" s="6">
        <f>IFERROR($E50*VLOOKUP($D50,'原料主数据'!$A:$AN, 38, FALSE),"")</f>
        <v/>
      </c>
      <c r="AM50" s="6">
        <f>IFERROR($E50*VLOOKUP($D50,'原料主数据'!$A:$AN, 39, FALSE),"")</f>
        <v/>
      </c>
    </row>
    <row r="51">
      <c r="A51" s="7" t="inlineStr">
        <is>
          <t>EP-0005</t>
        </is>
      </c>
      <c r="B51" s="7" t="inlineStr">
        <is>
          <t>EP-C</t>
        </is>
      </c>
      <c r="C51" s="7" t="inlineStr">
        <is>
          <t>环氧酚醛</t>
        </is>
      </c>
      <c r="D51" s="7" t="inlineStr">
        <is>
          <t>AZ088</t>
        </is>
      </c>
      <c r="E51" s="7" t="n">
        <v>0.06</v>
      </c>
      <c r="F51" s="7">
        <f>IFERROR(VLOOKUP($D51,'原料主数据'!$A:$E,4,FALSE),"待登记")</f>
        <v/>
      </c>
      <c r="G51" s="7">
        <f>IFERROR(VLOOKUP($D51,'原料主数据'!$A:$E,5,FALSE),"待登记")</f>
        <v/>
      </c>
      <c r="H51" s="7">
        <f>IFERROR($E51*VLOOKUP($D51,'原料主数据'!$A:$AN, 8, FALSE),"")</f>
        <v/>
      </c>
      <c r="I51" s="7">
        <f>IFERROR($E51*VLOOKUP($D51,'原料主数据'!$A:$AN, 9, FALSE),"")</f>
        <v/>
      </c>
      <c r="J51" s="7">
        <f>IFERROR($E51*VLOOKUP($D51,'原料主数据'!$A:$AN, 10, FALSE),"")</f>
        <v/>
      </c>
      <c r="K51" s="7">
        <f>IFERROR($E51*VLOOKUP($D51,'原料主数据'!$A:$AN, 11, FALSE),"")</f>
        <v/>
      </c>
      <c r="L51" s="7">
        <f>IFERROR($E51*VLOOKUP($D51,'原料主数据'!$A:$AN, 12, FALSE),"")</f>
        <v/>
      </c>
      <c r="M51" s="7">
        <f>IFERROR($E51*VLOOKUP($D51,'原料主数据'!$A:$AN, 13, FALSE),"")</f>
        <v/>
      </c>
      <c r="N51" s="7">
        <f>IFERROR($E51*VLOOKUP($D51,'原料主数据'!$A:$AN, 14, FALSE),"")</f>
        <v/>
      </c>
      <c r="O51" s="7">
        <f>IFERROR($E51*VLOOKUP($D51,'原料主数据'!$A:$AN, 15, FALSE),"")</f>
        <v/>
      </c>
      <c r="P51" s="7">
        <f>IFERROR($E51*VLOOKUP($D51,'原料主数据'!$A:$AN, 16, FALSE),"")</f>
        <v/>
      </c>
      <c r="Q51" s="7">
        <f>IFERROR($E51*VLOOKUP($D51,'原料主数据'!$A:$AN, 17, FALSE),"")</f>
        <v/>
      </c>
      <c r="R51" s="7">
        <f>IFERROR($E51*VLOOKUP($D51,'原料主数据'!$A:$AN, 18, FALSE),"")</f>
        <v/>
      </c>
      <c r="S51" s="7">
        <f>IFERROR($E51*VLOOKUP($D51,'原料主数据'!$A:$AN, 19, FALSE),"")</f>
        <v/>
      </c>
      <c r="T51" s="7">
        <f>IFERROR($E51*VLOOKUP($D51,'原料主数据'!$A:$AN, 20, FALSE),"")</f>
        <v/>
      </c>
      <c r="U51" s="7">
        <f>IFERROR($E51*VLOOKUP($D51,'原料主数据'!$A:$AN, 21, FALSE),"")</f>
        <v/>
      </c>
      <c r="V51" s="7">
        <f>IFERROR($E51*VLOOKUP($D51,'原料主数据'!$A:$AN, 22, FALSE),"")</f>
        <v/>
      </c>
      <c r="W51" s="7">
        <f>IFERROR($E51*VLOOKUP($D51,'原料主数据'!$A:$AN, 23, FALSE),"")</f>
        <v/>
      </c>
      <c r="X51" s="7">
        <f>IFERROR($E51*VLOOKUP($D51,'原料主数据'!$A:$AN, 24, FALSE),"")</f>
        <v/>
      </c>
      <c r="Y51" s="7">
        <f>IFERROR($E51*VLOOKUP($D51,'原料主数据'!$A:$AN, 25, FALSE),"")</f>
        <v/>
      </c>
      <c r="Z51" s="7">
        <f>IFERROR($E51*VLOOKUP($D51,'原料主数据'!$A:$AN, 26, FALSE),"")</f>
        <v/>
      </c>
      <c r="AA51" s="7">
        <f>IFERROR($E51*VLOOKUP($D51,'原料主数据'!$A:$AN, 27, FALSE),"")</f>
        <v/>
      </c>
      <c r="AB51" s="7">
        <f>IFERROR($E51*VLOOKUP($D51,'原料主数据'!$A:$AN, 28, FALSE),"")</f>
        <v/>
      </c>
      <c r="AC51" s="7">
        <f>IFERROR($E51*VLOOKUP($D51,'原料主数据'!$A:$AN, 29, FALSE),"")</f>
        <v/>
      </c>
      <c r="AD51" s="7">
        <f>IFERROR($E51*VLOOKUP($D51,'原料主数据'!$A:$AN, 30, FALSE),"")</f>
        <v/>
      </c>
      <c r="AE51" s="7">
        <f>IFERROR($E51*VLOOKUP($D51,'原料主数据'!$A:$AN, 31, FALSE),"")</f>
        <v/>
      </c>
      <c r="AF51" s="7">
        <f>IFERROR($E51*VLOOKUP($D51,'原料主数据'!$A:$AN, 32, FALSE),"")</f>
        <v/>
      </c>
      <c r="AG51" s="7">
        <f>IFERROR($E51*VLOOKUP($D51,'原料主数据'!$A:$AN, 33, FALSE),"")</f>
        <v/>
      </c>
      <c r="AH51" s="7">
        <f>IFERROR($E51*VLOOKUP($D51,'原料主数据'!$A:$AN, 34, FALSE),"")</f>
        <v/>
      </c>
      <c r="AI51" s="7">
        <f>IFERROR($E51*VLOOKUP($D51,'原料主数据'!$A:$AN, 35, FALSE),"")</f>
        <v/>
      </c>
      <c r="AJ51" s="7">
        <f>IFERROR($E51*VLOOKUP($D51,'原料主数据'!$A:$AN, 36, FALSE),"")</f>
        <v/>
      </c>
      <c r="AK51" s="7">
        <f>IFERROR($E51*VLOOKUP($D51,'原料主数据'!$A:$AN, 37, FALSE),"")</f>
        <v/>
      </c>
      <c r="AL51" s="7">
        <f>IFERROR($E51*VLOOKUP($D51,'原料主数据'!$A:$AN, 38, FALSE),"")</f>
        <v/>
      </c>
      <c r="AM51" s="7">
        <f>IFERROR($E51*VLOOKUP($D51,'原料主数据'!$A:$AN, 39, FALSE),"")</f>
        <v/>
      </c>
    </row>
    <row r="52">
      <c r="A52" s="6" t="inlineStr">
        <is>
          <t>EP-0005</t>
        </is>
      </c>
      <c r="B52" s="6" t="inlineStr">
        <is>
          <t>EP-C</t>
        </is>
      </c>
      <c r="C52" s="6" t="inlineStr">
        <is>
          <t>环氧酚醛</t>
        </is>
      </c>
      <c r="D52" s="6" t="inlineStr">
        <is>
          <t>正丁醇</t>
        </is>
      </c>
      <c r="E52" s="6" t="n">
        <v>11.84</v>
      </c>
      <c r="F52" s="6">
        <f>IFERROR(VLOOKUP($D52,'原料主数据'!$A:$E,4,FALSE),"待登记")</f>
        <v/>
      </c>
      <c r="G52" s="6">
        <f>IFERROR(VLOOKUP($D52,'原料主数据'!$A:$E,5,FALSE),"待登记")</f>
        <v/>
      </c>
      <c r="H52" s="6">
        <f>IFERROR($E52*VLOOKUP($D52,'原料主数据'!$A:$AN, 8, FALSE),"")</f>
        <v/>
      </c>
      <c r="I52" s="6">
        <f>IFERROR($E52*VLOOKUP($D52,'原料主数据'!$A:$AN, 9, FALSE),"")</f>
        <v/>
      </c>
      <c r="J52" s="6">
        <f>IFERROR($E52*VLOOKUP($D52,'原料主数据'!$A:$AN, 10, FALSE),"")</f>
        <v/>
      </c>
      <c r="K52" s="6">
        <f>IFERROR($E52*VLOOKUP($D52,'原料主数据'!$A:$AN, 11, FALSE),"")</f>
        <v/>
      </c>
      <c r="L52" s="6">
        <f>IFERROR($E52*VLOOKUP($D52,'原料主数据'!$A:$AN, 12, FALSE),"")</f>
        <v/>
      </c>
      <c r="M52" s="6">
        <f>IFERROR($E52*VLOOKUP($D52,'原料主数据'!$A:$AN, 13, FALSE),"")</f>
        <v/>
      </c>
      <c r="N52" s="6">
        <f>IFERROR($E52*VLOOKUP($D52,'原料主数据'!$A:$AN, 14, FALSE),"")</f>
        <v/>
      </c>
      <c r="O52" s="6">
        <f>IFERROR($E52*VLOOKUP($D52,'原料主数据'!$A:$AN, 15, FALSE),"")</f>
        <v/>
      </c>
      <c r="P52" s="6">
        <f>IFERROR($E52*VLOOKUP($D52,'原料主数据'!$A:$AN, 16, FALSE),"")</f>
        <v/>
      </c>
      <c r="Q52" s="6">
        <f>IFERROR($E52*VLOOKUP($D52,'原料主数据'!$A:$AN, 17, FALSE),"")</f>
        <v/>
      </c>
      <c r="R52" s="6">
        <f>IFERROR($E52*VLOOKUP($D52,'原料主数据'!$A:$AN, 18, FALSE),"")</f>
        <v/>
      </c>
      <c r="S52" s="6">
        <f>IFERROR($E52*VLOOKUP($D52,'原料主数据'!$A:$AN, 19, FALSE),"")</f>
        <v/>
      </c>
      <c r="T52" s="6">
        <f>IFERROR($E52*VLOOKUP($D52,'原料主数据'!$A:$AN, 20, FALSE),"")</f>
        <v/>
      </c>
      <c r="U52" s="6">
        <f>IFERROR($E52*VLOOKUP($D52,'原料主数据'!$A:$AN, 21, FALSE),"")</f>
        <v/>
      </c>
      <c r="V52" s="6">
        <f>IFERROR($E52*VLOOKUP($D52,'原料主数据'!$A:$AN, 22, FALSE),"")</f>
        <v/>
      </c>
      <c r="W52" s="6">
        <f>IFERROR($E52*VLOOKUP($D52,'原料主数据'!$A:$AN, 23, FALSE),"")</f>
        <v/>
      </c>
      <c r="X52" s="6">
        <f>IFERROR($E52*VLOOKUP($D52,'原料主数据'!$A:$AN, 24, FALSE),"")</f>
        <v/>
      </c>
      <c r="Y52" s="6">
        <f>IFERROR($E52*VLOOKUP($D52,'原料主数据'!$A:$AN, 25, FALSE),"")</f>
        <v/>
      </c>
      <c r="Z52" s="6">
        <f>IFERROR($E52*VLOOKUP($D52,'原料主数据'!$A:$AN, 26, FALSE),"")</f>
        <v/>
      </c>
      <c r="AA52" s="6">
        <f>IFERROR($E52*VLOOKUP($D52,'原料主数据'!$A:$AN, 27, FALSE),"")</f>
        <v/>
      </c>
      <c r="AB52" s="6">
        <f>IFERROR($E52*VLOOKUP($D52,'原料主数据'!$A:$AN, 28, FALSE),"")</f>
        <v/>
      </c>
      <c r="AC52" s="6">
        <f>IFERROR($E52*VLOOKUP($D52,'原料主数据'!$A:$AN, 29, FALSE),"")</f>
        <v/>
      </c>
      <c r="AD52" s="6">
        <f>IFERROR($E52*VLOOKUP($D52,'原料主数据'!$A:$AN, 30, FALSE),"")</f>
        <v/>
      </c>
      <c r="AE52" s="6">
        <f>IFERROR($E52*VLOOKUP($D52,'原料主数据'!$A:$AN, 31, FALSE),"")</f>
        <v/>
      </c>
      <c r="AF52" s="6">
        <f>IFERROR($E52*VLOOKUP($D52,'原料主数据'!$A:$AN, 32, FALSE),"")</f>
        <v/>
      </c>
      <c r="AG52" s="6">
        <f>IFERROR($E52*VLOOKUP($D52,'原料主数据'!$A:$AN, 33, FALSE),"")</f>
        <v/>
      </c>
      <c r="AH52" s="6">
        <f>IFERROR($E52*VLOOKUP($D52,'原料主数据'!$A:$AN, 34, FALSE),"")</f>
        <v/>
      </c>
      <c r="AI52" s="6">
        <f>IFERROR($E52*VLOOKUP($D52,'原料主数据'!$A:$AN, 35, FALSE),"")</f>
        <v/>
      </c>
      <c r="AJ52" s="6">
        <f>IFERROR($E52*VLOOKUP($D52,'原料主数据'!$A:$AN, 36, FALSE),"")</f>
        <v/>
      </c>
      <c r="AK52" s="6">
        <f>IFERROR($E52*VLOOKUP($D52,'原料主数据'!$A:$AN, 37, FALSE),"")</f>
        <v/>
      </c>
      <c r="AL52" s="6">
        <f>IFERROR($E52*VLOOKUP($D52,'原料主数据'!$A:$AN, 38, FALSE),"")</f>
        <v/>
      </c>
      <c r="AM52" s="6">
        <f>IFERROR($E52*VLOOKUP($D52,'原料主数据'!$A:$AN, 39, FALSE),"")</f>
        <v/>
      </c>
    </row>
    <row r="53">
      <c r="A53" s="7" t="inlineStr">
        <is>
          <t>EP-0005</t>
        </is>
      </c>
      <c r="B53" s="7" t="inlineStr">
        <is>
          <t>EP-C</t>
        </is>
      </c>
      <c r="C53" s="7" t="inlineStr">
        <is>
          <t>环氧酚醛</t>
        </is>
      </c>
      <c r="D53" s="7" t="inlineStr">
        <is>
          <t>补加混合液</t>
        </is>
      </c>
      <c r="E53" s="7" t="n">
        <v>5.16</v>
      </c>
      <c r="F53" s="7">
        <f>IFERROR(VLOOKUP($D53,'原料主数据'!$A:$E,4,FALSE),"待登记")</f>
        <v/>
      </c>
      <c r="G53" s="7">
        <f>IFERROR(VLOOKUP($D53,'原料主数据'!$A:$E,5,FALSE),"待登记")</f>
        <v/>
      </c>
      <c r="H53" s="7">
        <f>IFERROR($E53*VLOOKUP($D53,'原料主数据'!$A:$AN, 8, FALSE),"")</f>
        <v/>
      </c>
      <c r="I53" s="7">
        <f>IFERROR($E53*VLOOKUP($D53,'原料主数据'!$A:$AN, 9, FALSE),"")</f>
        <v/>
      </c>
      <c r="J53" s="7">
        <f>IFERROR($E53*VLOOKUP($D53,'原料主数据'!$A:$AN, 10, FALSE),"")</f>
        <v/>
      </c>
      <c r="K53" s="7">
        <f>IFERROR($E53*VLOOKUP($D53,'原料主数据'!$A:$AN, 11, FALSE),"")</f>
        <v/>
      </c>
      <c r="L53" s="7">
        <f>IFERROR($E53*VLOOKUP($D53,'原料主数据'!$A:$AN, 12, FALSE),"")</f>
        <v/>
      </c>
      <c r="M53" s="7">
        <f>IFERROR($E53*VLOOKUP($D53,'原料主数据'!$A:$AN, 13, FALSE),"")</f>
        <v/>
      </c>
      <c r="N53" s="7">
        <f>IFERROR($E53*VLOOKUP($D53,'原料主数据'!$A:$AN, 14, FALSE),"")</f>
        <v/>
      </c>
      <c r="O53" s="7">
        <f>IFERROR($E53*VLOOKUP($D53,'原料主数据'!$A:$AN, 15, FALSE),"")</f>
        <v/>
      </c>
      <c r="P53" s="7">
        <f>IFERROR($E53*VLOOKUP($D53,'原料主数据'!$A:$AN, 16, FALSE),"")</f>
        <v/>
      </c>
      <c r="Q53" s="7">
        <f>IFERROR($E53*VLOOKUP($D53,'原料主数据'!$A:$AN, 17, FALSE),"")</f>
        <v/>
      </c>
      <c r="R53" s="7">
        <f>IFERROR($E53*VLOOKUP($D53,'原料主数据'!$A:$AN, 18, FALSE),"")</f>
        <v/>
      </c>
      <c r="S53" s="7">
        <f>IFERROR($E53*VLOOKUP($D53,'原料主数据'!$A:$AN, 19, FALSE),"")</f>
        <v/>
      </c>
      <c r="T53" s="7">
        <f>IFERROR($E53*VLOOKUP($D53,'原料主数据'!$A:$AN, 20, FALSE),"")</f>
        <v/>
      </c>
      <c r="U53" s="7">
        <f>IFERROR($E53*VLOOKUP($D53,'原料主数据'!$A:$AN, 21, FALSE),"")</f>
        <v/>
      </c>
      <c r="V53" s="7">
        <f>IFERROR($E53*VLOOKUP($D53,'原料主数据'!$A:$AN, 22, FALSE),"")</f>
        <v/>
      </c>
      <c r="W53" s="7">
        <f>IFERROR($E53*VLOOKUP($D53,'原料主数据'!$A:$AN, 23, FALSE),"")</f>
        <v/>
      </c>
      <c r="X53" s="7">
        <f>IFERROR($E53*VLOOKUP($D53,'原料主数据'!$A:$AN, 24, FALSE),"")</f>
        <v/>
      </c>
      <c r="Y53" s="7">
        <f>IFERROR($E53*VLOOKUP($D53,'原料主数据'!$A:$AN, 25, FALSE),"")</f>
        <v/>
      </c>
      <c r="Z53" s="7">
        <f>IFERROR($E53*VLOOKUP($D53,'原料主数据'!$A:$AN, 26, FALSE),"")</f>
        <v/>
      </c>
      <c r="AA53" s="7">
        <f>IFERROR($E53*VLOOKUP($D53,'原料主数据'!$A:$AN, 27, FALSE),"")</f>
        <v/>
      </c>
      <c r="AB53" s="7">
        <f>IFERROR($E53*VLOOKUP($D53,'原料主数据'!$A:$AN, 28, FALSE),"")</f>
        <v/>
      </c>
      <c r="AC53" s="7">
        <f>IFERROR($E53*VLOOKUP($D53,'原料主数据'!$A:$AN, 29, FALSE),"")</f>
        <v/>
      </c>
      <c r="AD53" s="7">
        <f>IFERROR($E53*VLOOKUP($D53,'原料主数据'!$A:$AN, 30, FALSE),"")</f>
        <v/>
      </c>
      <c r="AE53" s="7">
        <f>IFERROR($E53*VLOOKUP($D53,'原料主数据'!$A:$AN, 31, FALSE),"")</f>
        <v/>
      </c>
      <c r="AF53" s="7">
        <f>IFERROR($E53*VLOOKUP($D53,'原料主数据'!$A:$AN, 32, FALSE),"")</f>
        <v/>
      </c>
      <c r="AG53" s="7">
        <f>IFERROR($E53*VLOOKUP($D53,'原料主数据'!$A:$AN, 33, FALSE),"")</f>
        <v/>
      </c>
      <c r="AH53" s="7">
        <f>IFERROR($E53*VLOOKUP($D53,'原料主数据'!$A:$AN, 34, FALSE),"")</f>
        <v/>
      </c>
      <c r="AI53" s="7">
        <f>IFERROR($E53*VLOOKUP($D53,'原料主数据'!$A:$AN, 35, FALSE),"")</f>
        <v/>
      </c>
      <c r="AJ53" s="7">
        <f>IFERROR($E53*VLOOKUP($D53,'原料主数据'!$A:$AN, 36, FALSE),"")</f>
        <v/>
      </c>
      <c r="AK53" s="7">
        <f>IFERROR($E53*VLOOKUP($D53,'原料主数据'!$A:$AN, 37, FALSE),"")</f>
        <v/>
      </c>
      <c r="AL53" s="7">
        <f>IFERROR($E53*VLOOKUP($D53,'原料主数据'!$A:$AN, 38, FALSE),"")</f>
        <v/>
      </c>
      <c r="AM53" s="7">
        <f>IFERROR($E53*VLOOKUP($D53,'原料主数据'!$A:$AN, 39, FALSE),"")</f>
        <v/>
      </c>
    </row>
    <row r="54">
      <c r="A54" s="6" t="inlineStr">
        <is>
          <t>EP-0005</t>
        </is>
      </c>
      <c r="B54" s="6" t="inlineStr">
        <is>
          <t>EP-C</t>
        </is>
      </c>
      <c r="C54" s="6" t="inlineStr">
        <is>
          <t>环氧酚醛</t>
        </is>
      </c>
      <c r="D54" s="6" t="inlineStr">
        <is>
          <t>10%磷酸</t>
        </is>
      </c>
      <c r="E54" s="6" t="n">
        <v>2.11</v>
      </c>
      <c r="F54" s="6">
        <f>IFERROR(VLOOKUP($D54,'原料主数据'!$A:$E,4,FALSE),"待登记")</f>
        <v/>
      </c>
      <c r="G54" s="6">
        <f>IFERROR(VLOOKUP($D54,'原料主数据'!$A:$E,5,FALSE),"待登记")</f>
        <v/>
      </c>
      <c r="H54" s="6">
        <f>IFERROR($E54*VLOOKUP($D54,'原料主数据'!$A:$AN, 8, FALSE),"")</f>
        <v/>
      </c>
      <c r="I54" s="6">
        <f>IFERROR($E54*VLOOKUP($D54,'原料主数据'!$A:$AN, 9, FALSE),"")</f>
        <v/>
      </c>
      <c r="J54" s="6">
        <f>IFERROR($E54*VLOOKUP($D54,'原料主数据'!$A:$AN, 10, FALSE),"")</f>
        <v/>
      </c>
      <c r="K54" s="6">
        <f>IFERROR($E54*VLOOKUP($D54,'原料主数据'!$A:$AN, 11, FALSE),"")</f>
        <v/>
      </c>
      <c r="L54" s="6">
        <f>IFERROR($E54*VLOOKUP($D54,'原料主数据'!$A:$AN, 12, FALSE),"")</f>
        <v/>
      </c>
      <c r="M54" s="6">
        <f>IFERROR($E54*VLOOKUP($D54,'原料主数据'!$A:$AN, 13, FALSE),"")</f>
        <v/>
      </c>
      <c r="N54" s="6">
        <f>IFERROR($E54*VLOOKUP($D54,'原料主数据'!$A:$AN, 14, FALSE),"")</f>
        <v/>
      </c>
      <c r="O54" s="6">
        <f>IFERROR($E54*VLOOKUP($D54,'原料主数据'!$A:$AN, 15, FALSE),"")</f>
        <v/>
      </c>
      <c r="P54" s="6">
        <f>IFERROR($E54*VLOOKUP($D54,'原料主数据'!$A:$AN, 16, FALSE),"")</f>
        <v/>
      </c>
      <c r="Q54" s="6">
        <f>IFERROR($E54*VLOOKUP($D54,'原料主数据'!$A:$AN, 17, FALSE),"")</f>
        <v/>
      </c>
      <c r="R54" s="6">
        <f>IFERROR($E54*VLOOKUP($D54,'原料主数据'!$A:$AN, 18, FALSE),"")</f>
        <v/>
      </c>
      <c r="S54" s="6">
        <f>IFERROR($E54*VLOOKUP($D54,'原料主数据'!$A:$AN, 19, FALSE),"")</f>
        <v/>
      </c>
      <c r="T54" s="6">
        <f>IFERROR($E54*VLOOKUP($D54,'原料主数据'!$A:$AN, 20, FALSE),"")</f>
        <v/>
      </c>
      <c r="U54" s="6">
        <f>IFERROR($E54*VLOOKUP($D54,'原料主数据'!$A:$AN, 21, FALSE),"")</f>
        <v/>
      </c>
      <c r="V54" s="6">
        <f>IFERROR($E54*VLOOKUP($D54,'原料主数据'!$A:$AN, 22, FALSE),"")</f>
        <v/>
      </c>
      <c r="W54" s="6">
        <f>IFERROR($E54*VLOOKUP($D54,'原料主数据'!$A:$AN, 23, FALSE),"")</f>
        <v/>
      </c>
      <c r="X54" s="6">
        <f>IFERROR($E54*VLOOKUP($D54,'原料主数据'!$A:$AN, 24, FALSE),"")</f>
        <v/>
      </c>
      <c r="Y54" s="6">
        <f>IFERROR($E54*VLOOKUP($D54,'原料主数据'!$A:$AN, 25, FALSE),"")</f>
        <v/>
      </c>
      <c r="Z54" s="6">
        <f>IFERROR($E54*VLOOKUP($D54,'原料主数据'!$A:$AN, 26, FALSE),"")</f>
        <v/>
      </c>
      <c r="AA54" s="6">
        <f>IFERROR($E54*VLOOKUP($D54,'原料主数据'!$A:$AN, 27, FALSE),"")</f>
        <v/>
      </c>
      <c r="AB54" s="6">
        <f>IFERROR($E54*VLOOKUP($D54,'原料主数据'!$A:$AN, 28, FALSE),"")</f>
        <v/>
      </c>
      <c r="AC54" s="6">
        <f>IFERROR($E54*VLOOKUP($D54,'原料主数据'!$A:$AN, 29, FALSE),"")</f>
        <v/>
      </c>
      <c r="AD54" s="6">
        <f>IFERROR($E54*VLOOKUP($D54,'原料主数据'!$A:$AN, 30, FALSE),"")</f>
        <v/>
      </c>
      <c r="AE54" s="6">
        <f>IFERROR($E54*VLOOKUP($D54,'原料主数据'!$A:$AN, 31, FALSE),"")</f>
        <v/>
      </c>
      <c r="AF54" s="6">
        <f>IFERROR($E54*VLOOKUP($D54,'原料主数据'!$A:$AN, 32, FALSE),"")</f>
        <v/>
      </c>
      <c r="AG54" s="6">
        <f>IFERROR($E54*VLOOKUP($D54,'原料主数据'!$A:$AN, 33, FALSE),"")</f>
        <v/>
      </c>
      <c r="AH54" s="6">
        <f>IFERROR($E54*VLOOKUP($D54,'原料主数据'!$A:$AN, 34, FALSE),"")</f>
        <v/>
      </c>
      <c r="AI54" s="6">
        <f>IFERROR($E54*VLOOKUP($D54,'原料主数据'!$A:$AN, 35, FALSE),"")</f>
        <v/>
      </c>
      <c r="AJ54" s="6">
        <f>IFERROR($E54*VLOOKUP($D54,'原料主数据'!$A:$AN, 36, FALSE),"")</f>
        <v/>
      </c>
      <c r="AK54" s="6">
        <f>IFERROR($E54*VLOOKUP($D54,'原料主数据'!$A:$AN, 37, FALSE),"")</f>
        <v/>
      </c>
      <c r="AL54" s="6">
        <f>IFERROR($E54*VLOOKUP($D54,'原料主数据'!$A:$AN, 38, FALSE),"")</f>
        <v/>
      </c>
      <c r="AM54" s="6">
        <f>IFERROR($E54*VLOOKUP($D54,'原料主数据'!$A:$AN, 39, FALSE),"")</f>
        <v/>
      </c>
    </row>
    <row r="55">
      <c r="A55" s="7" t="inlineStr">
        <is>
          <t>ORG-0001</t>
        </is>
      </c>
      <c r="B55" s="7" t="inlineStr">
        <is>
          <t>ORG-A</t>
        </is>
      </c>
      <c r="C55" s="7" t="inlineStr">
        <is>
          <t>有机</t>
        </is>
      </c>
      <c r="D55" s="7" t="inlineStr">
        <is>
          <t>TF100</t>
        </is>
      </c>
      <c r="E55" s="7" t="n">
        <v>19.18</v>
      </c>
      <c r="F55" s="7">
        <f>IFERROR(VLOOKUP($D55,'原料主数据'!$A:$E,4,FALSE),"待登记")</f>
        <v/>
      </c>
      <c r="G55" s="7">
        <f>IFERROR(VLOOKUP($D55,'原料主数据'!$A:$E,5,FALSE),"待登记")</f>
        <v/>
      </c>
      <c r="H55" s="7">
        <f>IFERROR($E55*VLOOKUP($D55,'原料主数据'!$A:$AN, 8, FALSE),"")</f>
        <v/>
      </c>
      <c r="I55" s="7">
        <f>IFERROR($E55*VLOOKUP($D55,'原料主数据'!$A:$AN, 9, FALSE),"")</f>
        <v/>
      </c>
      <c r="J55" s="7">
        <f>IFERROR($E55*VLOOKUP($D55,'原料主数据'!$A:$AN, 10, FALSE),"")</f>
        <v/>
      </c>
      <c r="K55" s="7">
        <f>IFERROR($E55*VLOOKUP($D55,'原料主数据'!$A:$AN, 11, FALSE),"")</f>
        <v/>
      </c>
      <c r="L55" s="7">
        <f>IFERROR($E55*VLOOKUP($D55,'原料主数据'!$A:$AN, 12, FALSE),"")</f>
        <v/>
      </c>
      <c r="M55" s="7">
        <f>IFERROR($E55*VLOOKUP($D55,'原料主数据'!$A:$AN, 13, FALSE),"")</f>
        <v/>
      </c>
      <c r="N55" s="7">
        <f>IFERROR($E55*VLOOKUP($D55,'原料主数据'!$A:$AN, 14, FALSE),"")</f>
        <v/>
      </c>
      <c r="O55" s="7">
        <f>IFERROR($E55*VLOOKUP($D55,'原料主数据'!$A:$AN, 15, FALSE),"")</f>
        <v/>
      </c>
      <c r="P55" s="7">
        <f>IFERROR($E55*VLOOKUP($D55,'原料主数据'!$A:$AN, 16, FALSE),"")</f>
        <v/>
      </c>
      <c r="Q55" s="7">
        <f>IFERROR($E55*VLOOKUP($D55,'原料主数据'!$A:$AN, 17, FALSE),"")</f>
        <v/>
      </c>
      <c r="R55" s="7">
        <f>IFERROR($E55*VLOOKUP($D55,'原料主数据'!$A:$AN, 18, FALSE),"")</f>
        <v/>
      </c>
      <c r="S55" s="7">
        <f>IFERROR($E55*VLOOKUP($D55,'原料主数据'!$A:$AN, 19, FALSE),"")</f>
        <v/>
      </c>
      <c r="T55" s="7">
        <f>IFERROR($E55*VLOOKUP($D55,'原料主数据'!$A:$AN, 20, FALSE),"")</f>
        <v/>
      </c>
      <c r="U55" s="7">
        <f>IFERROR($E55*VLOOKUP($D55,'原料主数据'!$A:$AN, 21, FALSE),"")</f>
        <v/>
      </c>
      <c r="V55" s="7">
        <f>IFERROR($E55*VLOOKUP($D55,'原料主数据'!$A:$AN, 22, FALSE),"")</f>
        <v/>
      </c>
      <c r="W55" s="7">
        <f>IFERROR($E55*VLOOKUP($D55,'原料主数据'!$A:$AN, 23, FALSE),"")</f>
        <v/>
      </c>
      <c r="X55" s="7">
        <f>IFERROR($E55*VLOOKUP($D55,'原料主数据'!$A:$AN, 24, FALSE),"")</f>
        <v/>
      </c>
      <c r="Y55" s="7">
        <f>IFERROR($E55*VLOOKUP($D55,'原料主数据'!$A:$AN, 25, FALSE),"")</f>
        <v/>
      </c>
      <c r="Z55" s="7">
        <f>IFERROR($E55*VLOOKUP($D55,'原料主数据'!$A:$AN, 26, FALSE),"")</f>
        <v/>
      </c>
      <c r="AA55" s="7">
        <f>IFERROR($E55*VLOOKUP($D55,'原料主数据'!$A:$AN, 27, FALSE),"")</f>
        <v/>
      </c>
      <c r="AB55" s="7">
        <f>IFERROR($E55*VLOOKUP($D55,'原料主数据'!$A:$AN, 28, FALSE),"")</f>
        <v/>
      </c>
      <c r="AC55" s="7">
        <f>IFERROR($E55*VLOOKUP($D55,'原料主数据'!$A:$AN, 29, FALSE),"")</f>
        <v/>
      </c>
      <c r="AD55" s="7">
        <f>IFERROR($E55*VLOOKUP($D55,'原料主数据'!$A:$AN, 30, FALSE),"")</f>
        <v/>
      </c>
      <c r="AE55" s="7">
        <f>IFERROR($E55*VLOOKUP($D55,'原料主数据'!$A:$AN, 31, FALSE),"")</f>
        <v/>
      </c>
      <c r="AF55" s="7">
        <f>IFERROR($E55*VLOOKUP($D55,'原料主数据'!$A:$AN, 32, FALSE),"")</f>
        <v/>
      </c>
      <c r="AG55" s="7">
        <f>IFERROR($E55*VLOOKUP($D55,'原料主数据'!$A:$AN, 33, FALSE),"")</f>
        <v/>
      </c>
      <c r="AH55" s="7">
        <f>IFERROR($E55*VLOOKUP($D55,'原料主数据'!$A:$AN, 34, FALSE),"")</f>
        <v/>
      </c>
      <c r="AI55" s="7">
        <f>IFERROR($E55*VLOOKUP($D55,'原料主数据'!$A:$AN, 35, FALSE),"")</f>
        <v/>
      </c>
      <c r="AJ55" s="7">
        <f>IFERROR($E55*VLOOKUP($D55,'原料主数据'!$A:$AN, 36, FALSE),"")</f>
        <v/>
      </c>
      <c r="AK55" s="7">
        <f>IFERROR($E55*VLOOKUP($D55,'原料主数据'!$A:$AN, 37, FALSE),"")</f>
        <v/>
      </c>
      <c r="AL55" s="7">
        <f>IFERROR($E55*VLOOKUP($D55,'原料主数据'!$A:$AN, 38, FALSE),"")</f>
        <v/>
      </c>
      <c r="AM55" s="7">
        <f>IFERROR($E55*VLOOKUP($D55,'原料主数据'!$A:$AN, 39, FALSE),"")</f>
        <v/>
      </c>
    </row>
    <row r="56">
      <c r="A56" s="6" t="inlineStr">
        <is>
          <t>ORG-0001</t>
        </is>
      </c>
      <c r="B56" s="6" t="inlineStr">
        <is>
          <t>ORG-A</t>
        </is>
      </c>
      <c r="C56" s="6" t="inlineStr">
        <is>
          <t>有机</t>
        </is>
      </c>
      <c r="D56" s="6" t="inlineStr">
        <is>
          <t>TM004</t>
        </is>
      </c>
      <c r="E56" s="6" t="n">
        <v>5.28</v>
      </c>
      <c r="F56" s="6">
        <f>IFERROR(VLOOKUP($D56,'原料主数据'!$A:$E,4,FALSE),"待登记")</f>
        <v/>
      </c>
      <c r="G56" s="6">
        <f>IFERROR(VLOOKUP($D56,'原料主数据'!$A:$E,5,FALSE),"待登记")</f>
        <v/>
      </c>
      <c r="H56" s="6">
        <f>IFERROR($E56*VLOOKUP($D56,'原料主数据'!$A:$AN, 8, FALSE),"")</f>
        <v/>
      </c>
      <c r="I56" s="6">
        <f>IFERROR($E56*VLOOKUP($D56,'原料主数据'!$A:$AN, 9, FALSE),"")</f>
        <v/>
      </c>
      <c r="J56" s="6">
        <f>IFERROR($E56*VLOOKUP($D56,'原料主数据'!$A:$AN, 10, FALSE),"")</f>
        <v/>
      </c>
      <c r="K56" s="6">
        <f>IFERROR($E56*VLOOKUP($D56,'原料主数据'!$A:$AN, 11, FALSE),"")</f>
        <v/>
      </c>
      <c r="L56" s="6">
        <f>IFERROR($E56*VLOOKUP($D56,'原料主数据'!$A:$AN, 12, FALSE),"")</f>
        <v/>
      </c>
      <c r="M56" s="6">
        <f>IFERROR($E56*VLOOKUP($D56,'原料主数据'!$A:$AN, 13, FALSE),"")</f>
        <v/>
      </c>
      <c r="N56" s="6">
        <f>IFERROR($E56*VLOOKUP($D56,'原料主数据'!$A:$AN, 14, FALSE),"")</f>
        <v/>
      </c>
      <c r="O56" s="6">
        <f>IFERROR($E56*VLOOKUP($D56,'原料主数据'!$A:$AN, 15, FALSE),"")</f>
        <v/>
      </c>
      <c r="P56" s="6">
        <f>IFERROR($E56*VLOOKUP($D56,'原料主数据'!$A:$AN, 16, FALSE),"")</f>
        <v/>
      </c>
      <c r="Q56" s="6">
        <f>IFERROR($E56*VLOOKUP($D56,'原料主数据'!$A:$AN, 17, FALSE),"")</f>
        <v/>
      </c>
      <c r="R56" s="6">
        <f>IFERROR($E56*VLOOKUP($D56,'原料主数据'!$A:$AN, 18, FALSE),"")</f>
        <v/>
      </c>
      <c r="S56" s="6">
        <f>IFERROR($E56*VLOOKUP($D56,'原料主数据'!$A:$AN, 19, FALSE),"")</f>
        <v/>
      </c>
      <c r="T56" s="6">
        <f>IFERROR($E56*VLOOKUP($D56,'原料主数据'!$A:$AN, 20, FALSE),"")</f>
        <v/>
      </c>
      <c r="U56" s="6">
        <f>IFERROR($E56*VLOOKUP($D56,'原料主数据'!$A:$AN, 21, FALSE),"")</f>
        <v/>
      </c>
      <c r="V56" s="6">
        <f>IFERROR($E56*VLOOKUP($D56,'原料主数据'!$A:$AN, 22, FALSE),"")</f>
        <v/>
      </c>
      <c r="W56" s="6">
        <f>IFERROR($E56*VLOOKUP($D56,'原料主数据'!$A:$AN, 23, FALSE),"")</f>
        <v/>
      </c>
      <c r="X56" s="6">
        <f>IFERROR($E56*VLOOKUP($D56,'原料主数据'!$A:$AN, 24, FALSE),"")</f>
        <v/>
      </c>
      <c r="Y56" s="6">
        <f>IFERROR($E56*VLOOKUP($D56,'原料主数据'!$A:$AN, 25, FALSE),"")</f>
        <v/>
      </c>
      <c r="Z56" s="6">
        <f>IFERROR($E56*VLOOKUP($D56,'原料主数据'!$A:$AN, 26, FALSE),"")</f>
        <v/>
      </c>
      <c r="AA56" s="6">
        <f>IFERROR($E56*VLOOKUP($D56,'原料主数据'!$A:$AN, 27, FALSE),"")</f>
        <v/>
      </c>
      <c r="AB56" s="6">
        <f>IFERROR($E56*VLOOKUP($D56,'原料主数据'!$A:$AN, 28, FALSE),"")</f>
        <v/>
      </c>
      <c r="AC56" s="6">
        <f>IFERROR($E56*VLOOKUP($D56,'原料主数据'!$A:$AN, 29, FALSE),"")</f>
        <v/>
      </c>
      <c r="AD56" s="6">
        <f>IFERROR($E56*VLOOKUP($D56,'原料主数据'!$A:$AN, 30, FALSE),"")</f>
        <v/>
      </c>
      <c r="AE56" s="6">
        <f>IFERROR($E56*VLOOKUP($D56,'原料主数据'!$A:$AN, 31, FALSE),"")</f>
        <v/>
      </c>
      <c r="AF56" s="6">
        <f>IFERROR($E56*VLOOKUP($D56,'原料主数据'!$A:$AN, 32, FALSE),"")</f>
        <v/>
      </c>
      <c r="AG56" s="6">
        <f>IFERROR($E56*VLOOKUP($D56,'原料主数据'!$A:$AN, 33, FALSE),"")</f>
        <v/>
      </c>
      <c r="AH56" s="6">
        <f>IFERROR($E56*VLOOKUP($D56,'原料主数据'!$A:$AN, 34, FALSE),"")</f>
        <v/>
      </c>
      <c r="AI56" s="6">
        <f>IFERROR($E56*VLOOKUP($D56,'原料主数据'!$A:$AN, 35, FALSE),"")</f>
        <v/>
      </c>
      <c r="AJ56" s="6">
        <f>IFERROR($E56*VLOOKUP($D56,'原料主数据'!$A:$AN, 36, FALSE),"")</f>
        <v/>
      </c>
      <c r="AK56" s="6">
        <f>IFERROR($E56*VLOOKUP($D56,'原料主数据'!$A:$AN, 37, FALSE),"")</f>
        <v/>
      </c>
      <c r="AL56" s="6">
        <f>IFERROR($E56*VLOOKUP($D56,'原料主数据'!$A:$AN, 38, FALSE),"")</f>
        <v/>
      </c>
      <c r="AM56" s="6">
        <f>IFERROR($E56*VLOOKUP($D56,'原料主数据'!$A:$AN, 39, FALSE),"")</f>
        <v/>
      </c>
    </row>
    <row r="57">
      <c r="A57" s="7" t="inlineStr">
        <is>
          <t>ORG-0001</t>
        </is>
      </c>
      <c r="B57" s="7" t="inlineStr">
        <is>
          <t>ORG-A</t>
        </is>
      </c>
      <c r="C57" s="7" t="inlineStr">
        <is>
          <t>有机</t>
        </is>
      </c>
      <c r="D57" s="7" t="inlineStr">
        <is>
          <t>AS400</t>
        </is>
      </c>
      <c r="E57" s="7" t="n">
        <v>3.68</v>
      </c>
      <c r="F57" s="7">
        <f>IFERROR(VLOOKUP($D57,'原料主数据'!$A:$E,4,FALSE),"待登记")</f>
        <v/>
      </c>
      <c r="G57" s="7">
        <f>IFERROR(VLOOKUP($D57,'原料主数据'!$A:$E,5,FALSE),"待登记")</f>
        <v/>
      </c>
      <c r="H57" s="7">
        <f>IFERROR($E57*VLOOKUP($D57,'原料主数据'!$A:$AN, 8, FALSE),"")</f>
        <v/>
      </c>
      <c r="I57" s="7">
        <f>IFERROR($E57*VLOOKUP($D57,'原料主数据'!$A:$AN, 9, FALSE),"")</f>
        <v/>
      </c>
      <c r="J57" s="7">
        <f>IFERROR($E57*VLOOKUP($D57,'原料主数据'!$A:$AN, 10, FALSE),"")</f>
        <v/>
      </c>
      <c r="K57" s="7">
        <f>IFERROR($E57*VLOOKUP($D57,'原料主数据'!$A:$AN, 11, FALSE),"")</f>
        <v/>
      </c>
      <c r="L57" s="7">
        <f>IFERROR($E57*VLOOKUP($D57,'原料主数据'!$A:$AN, 12, FALSE),"")</f>
        <v/>
      </c>
      <c r="M57" s="7">
        <f>IFERROR($E57*VLOOKUP($D57,'原料主数据'!$A:$AN, 13, FALSE),"")</f>
        <v/>
      </c>
      <c r="N57" s="7">
        <f>IFERROR($E57*VLOOKUP($D57,'原料主数据'!$A:$AN, 14, FALSE),"")</f>
        <v/>
      </c>
      <c r="O57" s="7">
        <f>IFERROR($E57*VLOOKUP($D57,'原料主数据'!$A:$AN, 15, FALSE),"")</f>
        <v/>
      </c>
      <c r="P57" s="7">
        <f>IFERROR($E57*VLOOKUP($D57,'原料主数据'!$A:$AN, 16, FALSE),"")</f>
        <v/>
      </c>
      <c r="Q57" s="7">
        <f>IFERROR($E57*VLOOKUP($D57,'原料主数据'!$A:$AN, 17, FALSE),"")</f>
        <v/>
      </c>
      <c r="R57" s="7">
        <f>IFERROR($E57*VLOOKUP($D57,'原料主数据'!$A:$AN, 18, FALSE),"")</f>
        <v/>
      </c>
      <c r="S57" s="7">
        <f>IFERROR($E57*VLOOKUP($D57,'原料主数据'!$A:$AN, 19, FALSE),"")</f>
        <v/>
      </c>
      <c r="T57" s="7">
        <f>IFERROR($E57*VLOOKUP($D57,'原料主数据'!$A:$AN, 20, FALSE),"")</f>
        <v/>
      </c>
      <c r="U57" s="7">
        <f>IFERROR($E57*VLOOKUP($D57,'原料主数据'!$A:$AN, 21, FALSE),"")</f>
        <v/>
      </c>
      <c r="V57" s="7">
        <f>IFERROR($E57*VLOOKUP($D57,'原料主数据'!$A:$AN, 22, FALSE),"")</f>
        <v/>
      </c>
      <c r="W57" s="7">
        <f>IFERROR($E57*VLOOKUP($D57,'原料主数据'!$A:$AN, 23, FALSE),"")</f>
        <v/>
      </c>
      <c r="X57" s="7">
        <f>IFERROR($E57*VLOOKUP($D57,'原料主数据'!$A:$AN, 24, FALSE),"")</f>
        <v/>
      </c>
      <c r="Y57" s="7">
        <f>IFERROR($E57*VLOOKUP($D57,'原料主数据'!$A:$AN, 25, FALSE),"")</f>
        <v/>
      </c>
      <c r="Z57" s="7">
        <f>IFERROR($E57*VLOOKUP($D57,'原料主数据'!$A:$AN, 26, FALSE),"")</f>
        <v/>
      </c>
      <c r="AA57" s="7">
        <f>IFERROR($E57*VLOOKUP($D57,'原料主数据'!$A:$AN, 27, FALSE),"")</f>
        <v/>
      </c>
      <c r="AB57" s="7">
        <f>IFERROR($E57*VLOOKUP($D57,'原料主数据'!$A:$AN, 28, FALSE),"")</f>
        <v/>
      </c>
      <c r="AC57" s="7">
        <f>IFERROR($E57*VLOOKUP($D57,'原料主数据'!$A:$AN, 29, FALSE),"")</f>
        <v/>
      </c>
      <c r="AD57" s="7">
        <f>IFERROR($E57*VLOOKUP($D57,'原料主数据'!$A:$AN, 30, FALSE),"")</f>
        <v/>
      </c>
      <c r="AE57" s="7">
        <f>IFERROR($E57*VLOOKUP($D57,'原料主数据'!$A:$AN, 31, FALSE),"")</f>
        <v/>
      </c>
      <c r="AF57" s="7">
        <f>IFERROR($E57*VLOOKUP($D57,'原料主数据'!$A:$AN, 32, FALSE),"")</f>
        <v/>
      </c>
      <c r="AG57" s="7">
        <f>IFERROR($E57*VLOOKUP($D57,'原料主数据'!$A:$AN, 33, FALSE),"")</f>
        <v/>
      </c>
      <c r="AH57" s="7">
        <f>IFERROR($E57*VLOOKUP($D57,'原料主数据'!$A:$AN, 34, FALSE),"")</f>
        <v/>
      </c>
      <c r="AI57" s="7">
        <f>IFERROR($E57*VLOOKUP($D57,'原料主数据'!$A:$AN, 35, FALSE),"")</f>
        <v/>
      </c>
      <c r="AJ57" s="7">
        <f>IFERROR($E57*VLOOKUP($D57,'原料主数据'!$A:$AN, 36, FALSE),"")</f>
        <v/>
      </c>
      <c r="AK57" s="7">
        <f>IFERROR($E57*VLOOKUP($D57,'原料主数据'!$A:$AN, 37, FALSE),"")</f>
        <v/>
      </c>
      <c r="AL57" s="7">
        <f>IFERROR($E57*VLOOKUP($D57,'原料主数据'!$A:$AN, 38, FALSE),"")</f>
        <v/>
      </c>
      <c r="AM57" s="7">
        <f>IFERROR($E57*VLOOKUP($D57,'原料主数据'!$A:$AN, 39, FALSE),"")</f>
        <v/>
      </c>
    </row>
    <row r="58">
      <c r="A58" s="6" t="inlineStr">
        <is>
          <t>ORG-0001</t>
        </is>
      </c>
      <c r="B58" s="6" t="inlineStr">
        <is>
          <t>ORG-A</t>
        </is>
      </c>
      <c r="C58" s="6" t="inlineStr">
        <is>
          <t>有机</t>
        </is>
      </c>
      <c r="D58" s="6" t="inlineStr">
        <is>
          <t>RX170-140</t>
        </is>
      </c>
      <c r="E58" s="6" t="n">
        <v>56.64</v>
      </c>
      <c r="F58" s="6">
        <f>IFERROR(VLOOKUP($D58,'原料主数据'!$A:$E,4,FALSE),"待登记")</f>
        <v/>
      </c>
      <c r="G58" s="6">
        <f>IFERROR(VLOOKUP($D58,'原料主数据'!$A:$E,5,FALSE),"待登记")</f>
        <v/>
      </c>
      <c r="H58" s="6">
        <f>IFERROR($E58*VLOOKUP($D58,'原料主数据'!$A:$AN, 8, FALSE),"")</f>
        <v/>
      </c>
      <c r="I58" s="6">
        <f>IFERROR($E58*VLOOKUP($D58,'原料主数据'!$A:$AN, 9, FALSE),"")</f>
        <v/>
      </c>
      <c r="J58" s="6">
        <f>IFERROR($E58*VLOOKUP($D58,'原料主数据'!$A:$AN, 10, FALSE),"")</f>
        <v/>
      </c>
      <c r="K58" s="6">
        <f>IFERROR($E58*VLOOKUP($D58,'原料主数据'!$A:$AN, 11, FALSE),"")</f>
        <v/>
      </c>
      <c r="L58" s="6">
        <f>IFERROR($E58*VLOOKUP($D58,'原料主数据'!$A:$AN, 12, FALSE),"")</f>
        <v/>
      </c>
      <c r="M58" s="6">
        <f>IFERROR($E58*VLOOKUP($D58,'原料主数据'!$A:$AN, 13, FALSE),"")</f>
        <v/>
      </c>
      <c r="N58" s="6">
        <f>IFERROR($E58*VLOOKUP($D58,'原料主数据'!$A:$AN, 14, FALSE),"")</f>
        <v/>
      </c>
      <c r="O58" s="6">
        <f>IFERROR($E58*VLOOKUP($D58,'原料主数据'!$A:$AN, 15, FALSE),"")</f>
        <v/>
      </c>
      <c r="P58" s="6">
        <f>IFERROR($E58*VLOOKUP($D58,'原料主数据'!$A:$AN, 16, FALSE),"")</f>
        <v/>
      </c>
      <c r="Q58" s="6">
        <f>IFERROR($E58*VLOOKUP($D58,'原料主数据'!$A:$AN, 17, FALSE),"")</f>
        <v/>
      </c>
      <c r="R58" s="6">
        <f>IFERROR($E58*VLOOKUP($D58,'原料主数据'!$A:$AN, 18, FALSE),"")</f>
        <v/>
      </c>
      <c r="S58" s="6">
        <f>IFERROR($E58*VLOOKUP($D58,'原料主数据'!$A:$AN, 19, FALSE),"")</f>
        <v/>
      </c>
      <c r="T58" s="6">
        <f>IFERROR($E58*VLOOKUP($D58,'原料主数据'!$A:$AN, 20, FALSE),"")</f>
        <v/>
      </c>
      <c r="U58" s="6">
        <f>IFERROR($E58*VLOOKUP($D58,'原料主数据'!$A:$AN, 21, FALSE),"")</f>
        <v/>
      </c>
      <c r="V58" s="6">
        <f>IFERROR($E58*VLOOKUP($D58,'原料主数据'!$A:$AN, 22, FALSE),"")</f>
        <v/>
      </c>
      <c r="W58" s="6">
        <f>IFERROR($E58*VLOOKUP($D58,'原料主数据'!$A:$AN, 23, FALSE),"")</f>
        <v/>
      </c>
      <c r="X58" s="6">
        <f>IFERROR($E58*VLOOKUP($D58,'原料主数据'!$A:$AN, 24, FALSE),"")</f>
        <v/>
      </c>
      <c r="Y58" s="6">
        <f>IFERROR($E58*VLOOKUP($D58,'原料主数据'!$A:$AN, 25, FALSE),"")</f>
        <v/>
      </c>
      <c r="Z58" s="6">
        <f>IFERROR($E58*VLOOKUP($D58,'原料主数据'!$A:$AN, 26, FALSE),"")</f>
        <v/>
      </c>
      <c r="AA58" s="6">
        <f>IFERROR($E58*VLOOKUP($D58,'原料主数据'!$A:$AN, 27, FALSE),"")</f>
        <v/>
      </c>
      <c r="AB58" s="6">
        <f>IFERROR($E58*VLOOKUP($D58,'原料主数据'!$A:$AN, 28, FALSE),"")</f>
        <v/>
      </c>
      <c r="AC58" s="6">
        <f>IFERROR($E58*VLOOKUP($D58,'原料主数据'!$A:$AN, 29, FALSE),"")</f>
        <v/>
      </c>
      <c r="AD58" s="6">
        <f>IFERROR($E58*VLOOKUP($D58,'原料主数据'!$A:$AN, 30, FALSE),"")</f>
        <v/>
      </c>
      <c r="AE58" s="6">
        <f>IFERROR($E58*VLOOKUP($D58,'原料主数据'!$A:$AN, 31, FALSE),"")</f>
        <v/>
      </c>
      <c r="AF58" s="6">
        <f>IFERROR($E58*VLOOKUP($D58,'原料主数据'!$A:$AN, 32, FALSE),"")</f>
        <v/>
      </c>
      <c r="AG58" s="6">
        <f>IFERROR($E58*VLOOKUP($D58,'原料主数据'!$A:$AN, 33, FALSE),"")</f>
        <v/>
      </c>
      <c r="AH58" s="6">
        <f>IFERROR($E58*VLOOKUP($D58,'原料主数据'!$A:$AN, 34, FALSE),"")</f>
        <v/>
      </c>
      <c r="AI58" s="6">
        <f>IFERROR($E58*VLOOKUP($D58,'原料主数据'!$A:$AN, 35, FALSE),"")</f>
        <v/>
      </c>
      <c r="AJ58" s="6">
        <f>IFERROR($E58*VLOOKUP($D58,'原料主数据'!$A:$AN, 36, FALSE),"")</f>
        <v/>
      </c>
      <c r="AK58" s="6">
        <f>IFERROR($E58*VLOOKUP($D58,'原料主数据'!$A:$AN, 37, FALSE),"")</f>
        <v/>
      </c>
      <c r="AL58" s="6">
        <f>IFERROR($E58*VLOOKUP($D58,'原料主数据'!$A:$AN, 38, FALSE),"")</f>
        <v/>
      </c>
      <c r="AM58" s="6">
        <f>IFERROR($E58*VLOOKUP($D58,'原料主数据'!$A:$AN, 39, FALSE),"")</f>
        <v/>
      </c>
    </row>
    <row r="59">
      <c r="A59" s="7" t="inlineStr">
        <is>
          <t>ORG-0001</t>
        </is>
      </c>
      <c r="B59" s="7" t="inlineStr">
        <is>
          <t>ORG-A</t>
        </is>
      </c>
      <c r="C59" s="7" t="inlineStr">
        <is>
          <t>有机</t>
        </is>
      </c>
      <c r="D59" s="7" t="inlineStr">
        <is>
          <t>40%50177</t>
        </is>
      </c>
      <c r="E59" s="7" t="n">
        <v>44.47</v>
      </c>
      <c r="F59" s="7">
        <f>IFERROR(VLOOKUP($D59,'原料主数据'!$A:$E,4,FALSE),"待登记")</f>
        <v/>
      </c>
      <c r="G59" s="7">
        <f>IFERROR(VLOOKUP($D59,'原料主数据'!$A:$E,5,FALSE),"待登记")</f>
        <v/>
      </c>
      <c r="H59" s="7">
        <f>IFERROR($E59*VLOOKUP($D59,'原料主数据'!$A:$AN, 8, FALSE),"")</f>
        <v/>
      </c>
      <c r="I59" s="7">
        <f>IFERROR($E59*VLOOKUP($D59,'原料主数据'!$A:$AN, 9, FALSE),"")</f>
        <v/>
      </c>
      <c r="J59" s="7">
        <f>IFERROR($E59*VLOOKUP($D59,'原料主数据'!$A:$AN, 10, FALSE),"")</f>
        <v/>
      </c>
      <c r="K59" s="7">
        <f>IFERROR($E59*VLOOKUP($D59,'原料主数据'!$A:$AN, 11, FALSE),"")</f>
        <v/>
      </c>
      <c r="L59" s="7">
        <f>IFERROR($E59*VLOOKUP($D59,'原料主数据'!$A:$AN, 12, FALSE),"")</f>
        <v/>
      </c>
      <c r="M59" s="7">
        <f>IFERROR($E59*VLOOKUP($D59,'原料主数据'!$A:$AN, 13, FALSE),"")</f>
        <v/>
      </c>
      <c r="N59" s="7">
        <f>IFERROR($E59*VLOOKUP($D59,'原料主数据'!$A:$AN, 14, FALSE),"")</f>
        <v/>
      </c>
      <c r="O59" s="7">
        <f>IFERROR($E59*VLOOKUP($D59,'原料主数据'!$A:$AN, 15, FALSE),"")</f>
        <v/>
      </c>
      <c r="P59" s="7">
        <f>IFERROR($E59*VLOOKUP($D59,'原料主数据'!$A:$AN, 16, FALSE),"")</f>
        <v/>
      </c>
      <c r="Q59" s="7">
        <f>IFERROR($E59*VLOOKUP($D59,'原料主数据'!$A:$AN, 17, FALSE),"")</f>
        <v/>
      </c>
      <c r="R59" s="7">
        <f>IFERROR($E59*VLOOKUP($D59,'原料主数据'!$A:$AN, 18, FALSE),"")</f>
        <v/>
      </c>
      <c r="S59" s="7">
        <f>IFERROR($E59*VLOOKUP($D59,'原料主数据'!$A:$AN, 19, FALSE),"")</f>
        <v/>
      </c>
      <c r="T59" s="7">
        <f>IFERROR($E59*VLOOKUP($D59,'原料主数据'!$A:$AN, 20, FALSE),"")</f>
        <v/>
      </c>
      <c r="U59" s="7">
        <f>IFERROR($E59*VLOOKUP($D59,'原料主数据'!$A:$AN, 21, FALSE),"")</f>
        <v/>
      </c>
      <c r="V59" s="7">
        <f>IFERROR($E59*VLOOKUP($D59,'原料主数据'!$A:$AN, 22, FALSE),"")</f>
        <v/>
      </c>
      <c r="W59" s="7">
        <f>IFERROR($E59*VLOOKUP($D59,'原料主数据'!$A:$AN, 23, FALSE),"")</f>
        <v/>
      </c>
      <c r="X59" s="7">
        <f>IFERROR($E59*VLOOKUP($D59,'原料主数据'!$A:$AN, 24, FALSE),"")</f>
        <v/>
      </c>
      <c r="Y59" s="7">
        <f>IFERROR($E59*VLOOKUP($D59,'原料主数据'!$A:$AN, 25, FALSE),"")</f>
        <v/>
      </c>
      <c r="Z59" s="7">
        <f>IFERROR($E59*VLOOKUP($D59,'原料主数据'!$A:$AN, 26, FALSE),"")</f>
        <v/>
      </c>
      <c r="AA59" s="7">
        <f>IFERROR($E59*VLOOKUP($D59,'原料主数据'!$A:$AN, 27, FALSE),"")</f>
        <v/>
      </c>
      <c r="AB59" s="7">
        <f>IFERROR($E59*VLOOKUP($D59,'原料主数据'!$A:$AN, 28, FALSE),"")</f>
        <v/>
      </c>
      <c r="AC59" s="7">
        <f>IFERROR($E59*VLOOKUP($D59,'原料主数据'!$A:$AN, 29, FALSE),"")</f>
        <v/>
      </c>
      <c r="AD59" s="7">
        <f>IFERROR($E59*VLOOKUP($D59,'原料主数据'!$A:$AN, 30, FALSE),"")</f>
        <v/>
      </c>
      <c r="AE59" s="7">
        <f>IFERROR($E59*VLOOKUP($D59,'原料主数据'!$A:$AN, 31, FALSE),"")</f>
        <v/>
      </c>
      <c r="AF59" s="7">
        <f>IFERROR($E59*VLOOKUP($D59,'原料主数据'!$A:$AN, 32, FALSE),"")</f>
        <v/>
      </c>
      <c r="AG59" s="7">
        <f>IFERROR($E59*VLOOKUP($D59,'原料主数据'!$A:$AN, 33, FALSE),"")</f>
        <v/>
      </c>
      <c r="AH59" s="7">
        <f>IFERROR($E59*VLOOKUP($D59,'原料主数据'!$A:$AN, 34, FALSE),"")</f>
        <v/>
      </c>
      <c r="AI59" s="7">
        <f>IFERROR($E59*VLOOKUP($D59,'原料主数据'!$A:$AN, 35, FALSE),"")</f>
        <v/>
      </c>
      <c r="AJ59" s="7">
        <f>IFERROR($E59*VLOOKUP($D59,'原料主数据'!$A:$AN, 36, FALSE),"")</f>
        <v/>
      </c>
      <c r="AK59" s="7">
        <f>IFERROR($E59*VLOOKUP($D59,'原料主数据'!$A:$AN, 37, FALSE),"")</f>
        <v/>
      </c>
      <c r="AL59" s="7">
        <f>IFERROR($E59*VLOOKUP($D59,'原料主数据'!$A:$AN, 38, FALSE),"")</f>
        <v/>
      </c>
      <c r="AM59" s="7">
        <f>IFERROR($E59*VLOOKUP($D59,'原料主数据'!$A:$AN, 39, FALSE),"")</f>
        <v/>
      </c>
    </row>
    <row r="60">
      <c r="A60" s="6" t="inlineStr">
        <is>
          <t>ORG-0001</t>
        </is>
      </c>
      <c r="B60" s="6" t="inlineStr">
        <is>
          <t>ORG-A</t>
        </is>
      </c>
      <c r="C60" s="6" t="inlineStr">
        <is>
          <t>有机</t>
        </is>
      </c>
      <c r="D60" s="6" t="inlineStr">
        <is>
          <t>IR877</t>
        </is>
      </c>
      <c r="E60" s="6" t="n">
        <v>37.01</v>
      </c>
      <c r="F60" s="6">
        <f>IFERROR(VLOOKUP($D60,'原料主数据'!$A:$E,4,FALSE),"待登记")</f>
        <v/>
      </c>
      <c r="G60" s="6">
        <f>IFERROR(VLOOKUP($D60,'原料主数据'!$A:$E,5,FALSE),"待登记")</f>
        <v/>
      </c>
      <c r="H60" s="6">
        <f>IFERROR($E60*VLOOKUP($D60,'原料主数据'!$A:$AN, 8, FALSE),"")</f>
        <v/>
      </c>
      <c r="I60" s="6">
        <f>IFERROR($E60*VLOOKUP($D60,'原料主数据'!$A:$AN, 9, FALSE),"")</f>
        <v/>
      </c>
      <c r="J60" s="6">
        <f>IFERROR($E60*VLOOKUP($D60,'原料主数据'!$A:$AN, 10, FALSE),"")</f>
        <v/>
      </c>
      <c r="K60" s="6">
        <f>IFERROR($E60*VLOOKUP($D60,'原料主数据'!$A:$AN, 11, FALSE),"")</f>
        <v/>
      </c>
      <c r="L60" s="6">
        <f>IFERROR($E60*VLOOKUP($D60,'原料主数据'!$A:$AN, 12, FALSE),"")</f>
        <v/>
      </c>
      <c r="M60" s="6">
        <f>IFERROR($E60*VLOOKUP($D60,'原料主数据'!$A:$AN, 13, FALSE),"")</f>
        <v/>
      </c>
      <c r="N60" s="6">
        <f>IFERROR($E60*VLOOKUP($D60,'原料主数据'!$A:$AN, 14, FALSE),"")</f>
        <v/>
      </c>
      <c r="O60" s="6">
        <f>IFERROR($E60*VLOOKUP($D60,'原料主数据'!$A:$AN, 15, FALSE),"")</f>
        <v/>
      </c>
      <c r="P60" s="6">
        <f>IFERROR($E60*VLOOKUP($D60,'原料主数据'!$A:$AN, 16, FALSE),"")</f>
        <v/>
      </c>
      <c r="Q60" s="6">
        <f>IFERROR($E60*VLOOKUP($D60,'原料主数据'!$A:$AN, 17, FALSE),"")</f>
        <v/>
      </c>
      <c r="R60" s="6">
        <f>IFERROR($E60*VLOOKUP($D60,'原料主数据'!$A:$AN, 18, FALSE),"")</f>
        <v/>
      </c>
      <c r="S60" s="6">
        <f>IFERROR($E60*VLOOKUP($D60,'原料主数据'!$A:$AN, 19, FALSE),"")</f>
        <v/>
      </c>
      <c r="T60" s="6">
        <f>IFERROR($E60*VLOOKUP($D60,'原料主数据'!$A:$AN, 20, FALSE),"")</f>
        <v/>
      </c>
      <c r="U60" s="6">
        <f>IFERROR($E60*VLOOKUP($D60,'原料主数据'!$A:$AN, 21, FALSE),"")</f>
        <v/>
      </c>
      <c r="V60" s="6">
        <f>IFERROR($E60*VLOOKUP($D60,'原料主数据'!$A:$AN, 22, FALSE),"")</f>
        <v/>
      </c>
      <c r="W60" s="6">
        <f>IFERROR($E60*VLOOKUP($D60,'原料主数据'!$A:$AN, 23, FALSE),"")</f>
        <v/>
      </c>
      <c r="X60" s="6">
        <f>IFERROR($E60*VLOOKUP($D60,'原料主数据'!$A:$AN, 24, FALSE),"")</f>
        <v/>
      </c>
      <c r="Y60" s="6">
        <f>IFERROR($E60*VLOOKUP($D60,'原料主数据'!$A:$AN, 25, FALSE),"")</f>
        <v/>
      </c>
      <c r="Z60" s="6">
        <f>IFERROR($E60*VLOOKUP($D60,'原料主数据'!$A:$AN, 26, FALSE),"")</f>
        <v/>
      </c>
      <c r="AA60" s="6">
        <f>IFERROR($E60*VLOOKUP($D60,'原料主数据'!$A:$AN, 27, FALSE),"")</f>
        <v/>
      </c>
      <c r="AB60" s="6">
        <f>IFERROR($E60*VLOOKUP($D60,'原料主数据'!$A:$AN, 28, FALSE),"")</f>
        <v/>
      </c>
      <c r="AC60" s="6">
        <f>IFERROR($E60*VLOOKUP($D60,'原料主数据'!$A:$AN, 29, FALSE),"")</f>
        <v/>
      </c>
      <c r="AD60" s="6">
        <f>IFERROR($E60*VLOOKUP($D60,'原料主数据'!$A:$AN, 30, FALSE),"")</f>
        <v/>
      </c>
      <c r="AE60" s="6">
        <f>IFERROR($E60*VLOOKUP($D60,'原料主数据'!$A:$AN, 31, FALSE),"")</f>
        <v/>
      </c>
      <c r="AF60" s="6">
        <f>IFERROR($E60*VLOOKUP($D60,'原料主数据'!$A:$AN, 32, FALSE),"")</f>
        <v/>
      </c>
      <c r="AG60" s="6">
        <f>IFERROR($E60*VLOOKUP($D60,'原料主数据'!$A:$AN, 33, FALSE),"")</f>
        <v/>
      </c>
      <c r="AH60" s="6">
        <f>IFERROR($E60*VLOOKUP($D60,'原料主数据'!$A:$AN, 34, FALSE),"")</f>
        <v/>
      </c>
      <c r="AI60" s="6">
        <f>IFERROR($E60*VLOOKUP($D60,'原料主数据'!$A:$AN, 35, FALSE),"")</f>
        <v/>
      </c>
      <c r="AJ60" s="6">
        <f>IFERROR($E60*VLOOKUP($D60,'原料主数据'!$A:$AN, 36, FALSE),"")</f>
        <v/>
      </c>
      <c r="AK60" s="6">
        <f>IFERROR($E60*VLOOKUP($D60,'原料主数据'!$A:$AN, 37, FALSE),"")</f>
        <v/>
      </c>
      <c r="AL60" s="6">
        <f>IFERROR($E60*VLOOKUP($D60,'原料主数据'!$A:$AN, 38, FALSE),"")</f>
        <v/>
      </c>
      <c r="AM60" s="6">
        <f>IFERROR($E60*VLOOKUP($D60,'原料主数据'!$A:$AN, 39, FALSE),"")</f>
        <v/>
      </c>
    </row>
    <row r="61">
      <c r="A61" s="7" t="inlineStr">
        <is>
          <t>ORG-0002</t>
        </is>
      </c>
      <c r="B61" s="7" t="inlineStr">
        <is>
          <t>ORG-A</t>
        </is>
      </c>
      <c r="C61" s="7" t="inlineStr">
        <is>
          <t>有机</t>
        </is>
      </c>
      <c r="D61" s="7" t="inlineStr">
        <is>
          <t>TF100</t>
        </is>
      </c>
      <c r="E61" s="7" t="n">
        <v>19.18</v>
      </c>
      <c r="F61" s="7">
        <f>IFERROR(VLOOKUP($D61,'原料主数据'!$A:$E,4,FALSE),"待登记")</f>
        <v/>
      </c>
      <c r="G61" s="7">
        <f>IFERROR(VLOOKUP($D61,'原料主数据'!$A:$E,5,FALSE),"待登记")</f>
        <v/>
      </c>
      <c r="H61" s="7">
        <f>IFERROR($E61*VLOOKUP($D61,'原料主数据'!$A:$AN, 8, FALSE),"")</f>
        <v/>
      </c>
      <c r="I61" s="7">
        <f>IFERROR($E61*VLOOKUP($D61,'原料主数据'!$A:$AN, 9, FALSE),"")</f>
        <v/>
      </c>
      <c r="J61" s="7">
        <f>IFERROR($E61*VLOOKUP($D61,'原料主数据'!$A:$AN, 10, FALSE),"")</f>
        <v/>
      </c>
      <c r="K61" s="7">
        <f>IFERROR($E61*VLOOKUP($D61,'原料主数据'!$A:$AN, 11, FALSE),"")</f>
        <v/>
      </c>
      <c r="L61" s="7">
        <f>IFERROR($E61*VLOOKUP($D61,'原料主数据'!$A:$AN, 12, FALSE),"")</f>
        <v/>
      </c>
      <c r="M61" s="7">
        <f>IFERROR($E61*VLOOKUP($D61,'原料主数据'!$A:$AN, 13, FALSE),"")</f>
        <v/>
      </c>
      <c r="N61" s="7">
        <f>IFERROR($E61*VLOOKUP($D61,'原料主数据'!$A:$AN, 14, FALSE),"")</f>
        <v/>
      </c>
      <c r="O61" s="7">
        <f>IFERROR($E61*VLOOKUP($D61,'原料主数据'!$A:$AN, 15, FALSE),"")</f>
        <v/>
      </c>
      <c r="P61" s="7">
        <f>IFERROR($E61*VLOOKUP($D61,'原料主数据'!$A:$AN, 16, FALSE),"")</f>
        <v/>
      </c>
      <c r="Q61" s="7">
        <f>IFERROR($E61*VLOOKUP($D61,'原料主数据'!$A:$AN, 17, FALSE),"")</f>
        <v/>
      </c>
      <c r="R61" s="7">
        <f>IFERROR($E61*VLOOKUP($D61,'原料主数据'!$A:$AN, 18, FALSE),"")</f>
        <v/>
      </c>
      <c r="S61" s="7">
        <f>IFERROR($E61*VLOOKUP($D61,'原料主数据'!$A:$AN, 19, FALSE),"")</f>
        <v/>
      </c>
      <c r="T61" s="7">
        <f>IFERROR($E61*VLOOKUP($D61,'原料主数据'!$A:$AN, 20, FALSE),"")</f>
        <v/>
      </c>
      <c r="U61" s="7">
        <f>IFERROR($E61*VLOOKUP($D61,'原料主数据'!$A:$AN, 21, FALSE),"")</f>
        <v/>
      </c>
      <c r="V61" s="7">
        <f>IFERROR($E61*VLOOKUP($D61,'原料主数据'!$A:$AN, 22, FALSE),"")</f>
        <v/>
      </c>
      <c r="W61" s="7">
        <f>IFERROR($E61*VLOOKUP($D61,'原料主数据'!$A:$AN, 23, FALSE),"")</f>
        <v/>
      </c>
      <c r="X61" s="7">
        <f>IFERROR($E61*VLOOKUP($D61,'原料主数据'!$A:$AN, 24, FALSE),"")</f>
        <v/>
      </c>
      <c r="Y61" s="7">
        <f>IFERROR($E61*VLOOKUP($D61,'原料主数据'!$A:$AN, 25, FALSE),"")</f>
        <v/>
      </c>
      <c r="Z61" s="7">
        <f>IFERROR($E61*VLOOKUP($D61,'原料主数据'!$A:$AN, 26, FALSE),"")</f>
        <v/>
      </c>
      <c r="AA61" s="7">
        <f>IFERROR($E61*VLOOKUP($D61,'原料主数据'!$A:$AN, 27, FALSE),"")</f>
        <v/>
      </c>
      <c r="AB61" s="7">
        <f>IFERROR($E61*VLOOKUP($D61,'原料主数据'!$A:$AN, 28, FALSE),"")</f>
        <v/>
      </c>
      <c r="AC61" s="7">
        <f>IFERROR($E61*VLOOKUP($D61,'原料主数据'!$A:$AN, 29, FALSE),"")</f>
        <v/>
      </c>
      <c r="AD61" s="7">
        <f>IFERROR($E61*VLOOKUP($D61,'原料主数据'!$A:$AN, 30, FALSE),"")</f>
        <v/>
      </c>
      <c r="AE61" s="7">
        <f>IFERROR($E61*VLOOKUP($D61,'原料主数据'!$A:$AN, 31, FALSE),"")</f>
        <v/>
      </c>
      <c r="AF61" s="7">
        <f>IFERROR($E61*VLOOKUP($D61,'原料主数据'!$A:$AN, 32, FALSE),"")</f>
        <v/>
      </c>
      <c r="AG61" s="7">
        <f>IFERROR($E61*VLOOKUP($D61,'原料主数据'!$A:$AN, 33, FALSE),"")</f>
        <v/>
      </c>
      <c r="AH61" s="7">
        <f>IFERROR($E61*VLOOKUP($D61,'原料主数据'!$A:$AN, 34, FALSE),"")</f>
        <v/>
      </c>
      <c r="AI61" s="7">
        <f>IFERROR($E61*VLOOKUP($D61,'原料主数据'!$A:$AN, 35, FALSE),"")</f>
        <v/>
      </c>
      <c r="AJ61" s="7">
        <f>IFERROR($E61*VLOOKUP($D61,'原料主数据'!$A:$AN, 36, FALSE),"")</f>
        <v/>
      </c>
      <c r="AK61" s="7">
        <f>IFERROR($E61*VLOOKUP($D61,'原料主数据'!$A:$AN, 37, FALSE),"")</f>
        <v/>
      </c>
      <c r="AL61" s="7">
        <f>IFERROR($E61*VLOOKUP($D61,'原料主数据'!$A:$AN, 38, FALSE),"")</f>
        <v/>
      </c>
      <c r="AM61" s="7">
        <f>IFERROR($E61*VLOOKUP($D61,'原料主数据'!$A:$AN, 39, FALSE),"")</f>
        <v/>
      </c>
    </row>
    <row r="62">
      <c r="A62" s="6" t="inlineStr">
        <is>
          <t>ORG-0002</t>
        </is>
      </c>
      <c r="B62" s="6" t="inlineStr">
        <is>
          <t>ORG-A</t>
        </is>
      </c>
      <c r="C62" s="6" t="inlineStr">
        <is>
          <t>有机</t>
        </is>
      </c>
      <c r="D62" s="6" t="inlineStr">
        <is>
          <t>TM004</t>
        </is>
      </c>
      <c r="E62" s="6" t="n">
        <v>5.28</v>
      </c>
      <c r="F62" s="6">
        <f>IFERROR(VLOOKUP($D62,'原料主数据'!$A:$E,4,FALSE),"待登记")</f>
        <v/>
      </c>
      <c r="G62" s="6">
        <f>IFERROR(VLOOKUP($D62,'原料主数据'!$A:$E,5,FALSE),"待登记")</f>
        <v/>
      </c>
      <c r="H62" s="6">
        <f>IFERROR($E62*VLOOKUP($D62,'原料主数据'!$A:$AN, 8, FALSE),"")</f>
        <v/>
      </c>
      <c r="I62" s="6">
        <f>IFERROR($E62*VLOOKUP($D62,'原料主数据'!$A:$AN, 9, FALSE),"")</f>
        <v/>
      </c>
      <c r="J62" s="6">
        <f>IFERROR($E62*VLOOKUP($D62,'原料主数据'!$A:$AN, 10, FALSE),"")</f>
        <v/>
      </c>
      <c r="K62" s="6">
        <f>IFERROR($E62*VLOOKUP($D62,'原料主数据'!$A:$AN, 11, FALSE),"")</f>
        <v/>
      </c>
      <c r="L62" s="6">
        <f>IFERROR($E62*VLOOKUP($D62,'原料主数据'!$A:$AN, 12, FALSE),"")</f>
        <v/>
      </c>
      <c r="M62" s="6">
        <f>IFERROR($E62*VLOOKUP($D62,'原料主数据'!$A:$AN, 13, FALSE),"")</f>
        <v/>
      </c>
      <c r="N62" s="6">
        <f>IFERROR($E62*VLOOKUP($D62,'原料主数据'!$A:$AN, 14, FALSE),"")</f>
        <v/>
      </c>
      <c r="O62" s="6">
        <f>IFERROR($E62*VLOOKUP($D62,'原料主数据'!$A:$AN, 15, FALSE),"")</f>
        <v/>
      </c>
      <c r="P62" s="6">
        <f>IFERROR($E62*VLOOKUP($D62,'原料主数据'!$A:$AN, 16, FALSE),"")</f>
        <v/>
      </c>
      <c r="Q62" s="6">
        <f>IFERROR($E62*VLOOKUP($D62,'原料主数据'!$A:$AN, 17, FALSE),"")</f>
        <v/>
      </c>
      <c r="R62" s="6">
        <f>IFERROR($E62*VLOOKUP($D62,'原料主数据'!$A:$AN, 18, FALSE),"")</f>
        <v/>
      </c>
      <c r="S62" s="6">
        <f>IFERROR($E62*VLOOKUP($D62,'原料主数据'!$A:$AN, 19, FALSE),"")</f>
        <v/>
      </c>
      <c r="T62" s="6">
        <f>IFERROR($E62*VLOOKUP($D62,'原料主数据'!$A:$AN, 20, FALSE),"")</f>
        <v/>
      </c>
      <c r="U62" s="6">
        <f>IFERROR($E62*VLOOKUP($D62,'原料主数据'!$A:$AN, 21, FALSE),"")</f>
        <v/>
      </c>
      <c r="V62" s="6">
        <f>IFERROR($E62*VLOOKUP($D62,'原料主数据'!$A:$AN, 22, FALSE),"")</f>
        <v/>
      </c>
      <c r="W62" s="6">
        <f>IFERROR($E62*VLOOKUP($D62,'原料主数据'!$A:$AN, 23, FALSE),"")</f>
        <v/>
      </c>
      <c r="X62" s="6">
        <f>IFERROR($E62*VLOOKUP($D62,'原料主数据'!$A:$AN, 24, FALSE),"")</f>
        <v/>
      </c>
      <c r="Y62" s="6">
        <f>IFERROR($E62*VLOOKUP($D62,'原料主数据'!$A:$AN, 25, FALSE),"")</f>
        <v/>
      </c>
      <c r="Z62" s="6">
        <f>IFERROR($E62*VLOOKUP($D62,'原料主数据'!$A:$AN, 26, FALSE),"")</f>
        <v/>
      </c>
      <c r="AA62" s="6">
        <f>IFERROR($E62*VLOOKUP($D62,'原料主数据'!$A:$AN, 27, FALSE),"")</f>
        <v/>
      </c>
      <c r="AB62" s="6">
        <f>IFERROR($E62*VLOOKUP($D62,'原料主数据'!$A:$AN, 28, FALSE),"")</f>
        <v/>
      </c>
      <c r="AC62" s="6">
        <f>IFERROR($E62*VLOOKUP($D62,'原料主数据'!$A:$AN, 29, FALSE),"")</f>
        <v/>
      </c>
      <c r="AD62" s="6">
        <f>IFERROR($E62*VLOOKUP($D62,'原料主数据'!$A:$AN, 30, FALSE),"")</f>
        <v/>
      </c>
      <c r="AE62" s="6">
        <f>IFERROR($E62*VLOOKUP($D62,'原料主数据'!$A:$AN, 31, FALSE),"")</f>
        <v/>
      </c>
      <c r="AF62" s="6">
        <f>IFERROR($E62*VLOOKUP($D62,'原料主数据'!$A:$AN, 32, FALSE),"")</f>
        <v/>
      </c>
      <c r="AG62" s="6">
        <f>IFERROR($E62*VLOOKUP($D62,'原料主数据'!$A:$AN, 33, FALSE),"")</f>
        <v/>
      </c>
      <c r="AH62" s="6">
        <f>IFERROR($E62*VLOOKUP($D62,'原料主数据'!$A:$AN, 34, FALSE),"")</f>
        <v/>
      </c>
      <c r="AI62" s="6">
        <f>IFERROR($E62*VLOOKUP($D62,'原料主数据'!$A:$AN, 35, FALSE),"")</f>
        <v/>
      </c>
      <c r="AJ62" s="6">
        <f>IFERROR($E62*VLOOKUP($D62,'原料主数据'!$A:$AN, 36, FALSE),"")</f>
        <v/>
      </c>
      <c r="AK62" s="6">
        <f>IFERROR($E62*VLOOKUP($D62,'原料主数据'!$A:$AN, 37, FALSE),"")</f>
        <v/>
      </c>
      <c r="AL62" s="6">
        <f>IFERROR($E62*VLOOKUP($D62,'原料主数据'!$A:$AN, 38, FALSE),"")</f>
        <v/>
      </c>
      <c r="AM62" s="6">
        <f>IFERROR($E62*VLOOKUP($D62,'原料主数据'!$A:$AN, 39, FALSE),"")</f>
        <v/>
      </c>
    </row>
    <row r="63">
      <c r="A63" s="7" t="inlineStr">
        <is>
          <t>ORG-0002</t>
        </is>
      </c>
      <c r="B63" s="7" t="inlineStr">
        <is>
          <t>ORG-A</t>
        </is>
      </c>
      <c r="C63" s="7" t="inlineStr">
        <is>
          <t>有机</t>
        </is>
      </c>
      <c r="D63" s="7" t="inlineStr">
        <is>
          <t>AS400</t>
        </is>
      </c>
      <c r="E63" s="7" t="n">
        <v>7.368</v>
      </c>
      <c r="F63" s="7">
        <f>IFERROR(VLOOKUP($D63,'原料主数据'!$A:$E,4,FALSE),"待登记")</f>
        <v/>
      </c>
      <c r="G63" s="7">
        <f>IFERROR(VLOOKUP($D63,'原料主数据'!$A:$E,5,FALSE),"待登记")</f>
        <v/>
      </c>
      <c r="H63" s="7">
        <f>IFERROR($E63*VLOOKUP($D63,'原料主数据'!$A:$AN, 8, FALSE),"")</f>
        <v/>
      </c>
      <c r="I63" s="7">
        <f>IFERROR($E63*VLOOKUP($D63,'原料主数据'!$A:$AN, 9, FALSE),"")</f>
        <v/>
      </c>
      <c r="J63" s="7">
        <f>IFERROR($E63*VLOOKUP($D63,'原料主数据'!$A:$AN, 10, FALSE),"")</f>
        <v/>
      </c>
      <c r="K63" s="7">
        <f>IFERROR($E63*VLOOKUP($D63,'原料主数据'!$A:$AN, 11, FALSE),"")</f>
        <v/>
      </c>
      <c r="L63" s="7">
        <f>IFERROR($E63*VLOOKUP($D63,'原料主数据'!$A:$AN, 12, FALSE),"")</f>
        <v/>
      </c>
      <c r="M63" s="7">
        <f>IFERROR($E63*VLOOKUP($D63,'原料主数据'!$A:$AN, 13, FALSE),"")</f>
        <v/>
      </c>
      <c r="N63" s="7">
        <f>IFERROR($E63*VLOOKUP($D63,'原料主数据'!$A:$AN, 14, FALSE),"")</f>
        <v/>
      </c>
      <c r="O63" s="7">
        <f>IFERROR($E63*VLOOKUP($D63,'原料主数据'!$A:$AN, 15, FALSE),"")</f>
        <v/>
      </c>
      <c r="P63" s="7">
        <f>IFERROR($E63*VLOOKUP($D63,'原料主数据'!$A:$AN, 16, FALSE),"")</f>
        <v/>
      </c>
      <c r="Q63" s="7">
        <f>IFERROR($E63*VLOOKUP($D63,'原料主数据'!$A:$AN, 17, FALSE),"")</f>
        <v/>
      </c>
      <c r="R63" s="7">
        <f>IFERROR($E63*VLOOKUP($D63,'原料主数据'!$A:$AN, 18, FALSE),"")</f>
        <v/>
      </c>
      <c r="S63" s="7">
        <f>IFERROR($E63*VLOOKUP($D63,'原料主数据'!$A:$AN, 19, FALSE),"")</f>
        <v/>
      </c>
      <c r="T63" s="7">
        <f>IFERROR($E63*VLOOKUP($D63,'原料主数据'!$A:$AN, 20, FALSE),"")</f>
        <v/>
      </c>
      <c r="U63" s="7">
        <f>IFERROR($E63*VLOOKUP($D63,'原料主数据'!$A:$AN, 21, FALSE),"")</f>
        <v/>
      </c>
      <c r="V63" s="7">
        <f>IFERROR($E63*VLOOKUP($D63,'原料主数据'!$A:$AN, 22, FALSE),"")</f>
        <v/>
      </c>
      <c r="W63" s="7">
        <f>IFERROR($E63*VLOOKUP($D63,'原料主数据'!$A:$AN, 23, FALSE),"")</f>
        <v/>
      </c>
      <c r="X63" s="7">
        <f>IFERROR($E63*VLOOKUP($D63,'原料主数据'!$A:$AN, 24, FALSE),"")</f>
        <v/>
      </c>
      <c r="Y63" s="7">
        <f>IFERROR($E63*VLOOKUP($D63,'原料主数据'!$A:$AN, 25, FALSE),"")</f>
        <v/>
      </c>
      <c r="Z63" s="7">
        <f>IFERROR($E63*VLOOKUP($D63,'原料主数据'!$A:$AN, 26, FALSE),"")</f>
        <v/>
      </c>
      <c r="AA63" s="7">
        <f>IFERROR($E63*VLOOKUP($D63,'原料主数据'!$A:$AN, 27, FALSE),"")</f>
        <v/>
      </c>
      <c r="AB63" s="7">
        <f>IFERROR($E63*VLOOKUP($D63,'原料主数据'!$A:$AN, 28, FALSE),"")</f>
        <v/>
      </c>
      <c r="AC63" s="7">
        <f>IFERROR($E63*VLOOKUP($D63,'原料主数据'!$A:$AN, 29, FALSE),"")</f>
        <v/>
      </c>
      <c r="AD63" s="7">
        <f>IFERROR($E63*VLOOKUP($D63,'原料主数据'!$A:$AN, 30, FALSE),"")</f>
        <v/>
      </c>
      <c r="AE63" s="7">
        <f>IFERROR($E63*VLOOKUP($D63,'原料主数据'!$A:$AN, 31, FALSE),"")</f>
        <v/>
      </c>
      <c r="AF63" s="7">
        <f>IFERROR($E63*VLOOKUP($D63,'原料主数据'!$A:$AN, 32, FALSE),"")</f>
        <v/>
      </c>
      <c r="AG63" s="7">
        <f>IFERROR($E63*VLOOKUP($D63,'原料主数据'!$A:$AN, 33, FALSE),"")</f>
        <v/>
      </c>
      <c r="AH63" s="7">
        <f>IFERROR($E63*VLOOKUP($D63,'原料主数据'!$A:$AN, 34, FALSE),"")</f>
        <v/>
      </c>
      <c r="AI63" s="7">
        <f>IFERROR($E63*VLOOKUP($D63,'原料主数据'!$A:$AN, 35, FALSE),"")</f>
        <v/>
      </c>
      <c r="AJ63" s="7">
        <f>IFERROR($E63*VLOOKUP($D63,'原料主数据'!$A:$AN, 36, FALSE),"")</f>
        <v/>
      </c>
      <c r="AK63" s="7">
        <f>IFERROR($E63*VLOOKUP($D63,'原料主数据'!$A:$AN, 37, FALSE),"")</f>
        <v/>
      </c>
      <c r="AL63" s="7">
        <f>IFERROR($E63*VLOOKUP($D63,'原料主数据'!$A:$AN, 38, FALSE),"")</f>
        <v/>
      </c>
      <c r="AM63" s="7">
        <f>IFERROR($E63*VLOOKUP($D63,'原料主数据'!$A:$AN, 39, FALSE),"")</f>
        <v/>
      </c>
    </row>
    <row r="64">
      <c r="A64" s="6" t="inlineStr">
        <is>
          <t>ORG-0002</t>
        </is>
      </c>
      <c r="B64" s="6" t="inlineStr">
        <is>
          <t>ORG-A</t>
        </is>
      </c>
      <c r="C64" s="6" t="inlineStr">
        <is>
          <t>有机</t>
        </is>
      </c>
      <c r="D64" s="6" t="inlineStr">
        <is>
          <t>RX170-140</t>
        </is>
      </c>
      <c r="E64" s="6" t="n">
        <v>56.64</v>
      </c>
      <c r="F64" s="6">
        <f>IFERROR(VLOOKUP($D64,'原料主数据'!$A:$E,4,FALSE),"待登记")</f>
        <v/>
      </c>
      <c r="G64" s="6">
        <f>IFERROR(VLOOKUP($D64,'原料主数据'!$A:$E,5,FALSE),"待登记")</f>
        <v/>
      </c>
      <c r="H64" s="6">
        <f>IFERROR($E64*VLOOKUP($D64,'原料主数据'!$A:$AN, 8, FALSE),"")</f>
        <v/>
      </c>
      <c r="I64" s="6">
        <f>IFERROR($E64*VLOOKUP($D64,'原料主数据'!$A:$AN, 9, FALSE),"")</f>
        <v/>
      </c>
      <c r="J64" s="6">
        <f>IFERROR($E64*VLOOKUP($D64,'原料主数据'!$A:$AN, 10, FALSE),"")</f>
        <v/>
      </c>
      <c r="K64" s="6">
        <f>IFERROR($E64*VLOOKUP($D64,'原料主数据'!$A:$AN, 11, FALSE),"")</f>
        <v/>
      </c>
      <c r="L64" s="6">
        <f>IFERROR($E64*VLOOKUP($D64,'原料主数据'!$A:$AN, 12, FALSE),"")</f>
        <v/>
      </c>
      <c r="M64" s="6">
        <f>IFERROR($E64*VLOOKUP($D64,'原料主数据'!$A:$AN, 13, FALSE),"")</f>
        <v/>
      </c>
      <c r="N64" s="6">
        <f>IFERROR($E64*VLOOKUP($D64,'原料主数据'!$A:$AN, 14, FALSE),"")</f>
        <v/>
      </c>
      <c r="O64" s="6">
        <f>IFERROR($E64*VLOOKUP($D64,'原料主数据'!$A:$AN, 15, FALSE),"")</f>
        <v/>
      </c>
      <c r="P64" s="6">
        <f>IFERROR($E64*VLOOKUP($D64,'原料主数据'!$A:$AN, 16, FALSE),"")</f>
        <v/>
      </c>
      <c r="Q64" s="6">
        <f>IFERROR($E64*VLOOKUP($D64,'原料主数据'!$A:$AN, 17, FALSE),"")</f>
        <v/>
      </c>
      <c r="R64" s="6">
        <f>IFERROR($E64*VLOOKUP($D64,'原料主数据'!$A:$AN, 18, FALSE),"")</f>
        <v/>
      </c>
      <c r="S64" s="6">
        <f>IFERROR($E64*VLOOKUP($D64,'原料主数据'!$A:$AN, 19, FALSE),"")</f>
        <v/>
      </c>
      <c r="T64" s="6">
        <f>IFERROR($E64*VLOOKUP($D64,'原料主数据'!$A:$AN, 20, FALSE),"")</f>
        <v/>
      </c>
      <c r="U64" s="6">
        <f>IFERROR($E64*VLOOKUP($D64,'原料主数据'!$A:$AN, 21, FALSE),"")</f>
        <v/>
      </c>
      <c r="V64" s="6">
        <f>IFERROR($E64*VLOOKUP($D64,'原料主数据'!$A:$AN, 22, FALSE),"")</f>
        <v/>
      </c>
      <c r="W64" s="6">
        <f>IFERROR($E64*VLOOKUP($D64,'原料主数据'!$A:$AN, 23, FALSE),"")</f>
        <v/>
      </c>
      <c r="X64" s="6">
        <f>IFERROR($E64*VLOOKUP($D64,'原料主数据'!$A:$AN, 24, FALSE),"")</f>
        <v/>
      </c>
      <c r="Y64" s="6">
        <f>IFERROR($E64*VLOOKUP($D64,'原料主数据'!$A:$AN, 25, FALSE),"")</f>
        <v/>
      </c>
      <c r="Z64" s="6">
        <f>IFERROR($E64*VLOOKUP($D64,'原料主数据'!$A:$AN, 26, FALSE),"")</f>
        <v/>
      </c>
      <c r="AA64" s="6">
        <f>IFERROR($E64*VLOOKUP($D64,'原料主数据'!$A:$AN, 27, FALSE),"")</f>
        <v/>
      </c>
      <c r="AB64" s="6">
        <f>IFERROR($E64*VLOOKUP($D64,'原料主数据'!$A:$AN, 28, FALSE),"")</f>
        <v/>
      </c>
      <c r="AC64" s="6">
        <f>IFERROR($E64*VLOOKUP($D64,'原料主数据'!$A:$AN, 29, FALSE),"")</f>
        <v/>
      </c>
      <c r="AD64" s="6">
        <f>IFERROR($E64*VLOOKUP($D64,'原料主数据'!$A:$AN, 30, FALSE),"")</f>
        <v/>
      </c>
      <c r="AE64" s="6">
        <f>IFERROR($E64*VLOOKUP($D64,'原料主数据'!$A:$AN, 31, FALSE),"")</f>
        <v/>
      </c>
      <c r="AF64" s="6">
        <f>IFERROR($E64*VLOOKUP($D64,'原料主数据'!$A:$AN, 32, FALSE),"")</f>
        <v/>
      </c>
      <c r="AG64" s="6">
        <f>IFERROR($E64*VLOOKUP($D64,'原料主数据'!$A:$AN, 33, FALSE),"")</f>
        <v/>
      </c>
      <c r="AH64" s="6">
        <f>IFERROR($E64*VLOOKUP($D64,'原料主数据'!$A:$AN, 34, FALSE),"")</f>
        <v/>
      </c>
      <c r="AI64" s="6">
        <f>IFERROR($E64*VLOOKUP($D64,'原料主数据'!$A:$AN, 35, FALSE),"")</f>
        <v/>
      </c>
      <c r="AJ64" s="6">
        <f>IFERROR($E64*VLOOKUP($D64,'原料主数据'!$A:$AN, 36, FALSE),"")</f>
        <v/>
      </c>
      <c r="AK64" s="6">
        <f>IFERROR($E64*VLOOKUP($D64,'原料主数据'!$A:$AN, 37, FALSE),"")</f>
        <v/>
      </c>
      <c r="AL64" s="6">
        <f>IFERROR($E64*VLOOKUP($D64,'原料主数据'!$A:$AN, 38, FALSE),"")</f>
        <v/>
      </c>
      <c r="AM64" s="6">
        <f>IFERROR($E64*VLOOKUP($D64,'原料主数据'!$A:$AN, 39, FALSE),"")</f>
        <v/>
      </c>
    </row>
    <row r="65">
      <c r="A65" s="7" t="inlineStr">
        <is>
          <t>ORG-0002</t>
        </is>
      </c>
      <c r="B65" s="7" t="inlineStr">
        <is>
          <t>ORG-A</t>
        </is>
      </c>
      <c r="C65" s="7" t="inlineStr">
        <is>
          <t>有机</t>
        </is>
      </c>
      <c r="D65" s="7" t="inlineStr">
        <is>
          <t>40%50177</t>
        </is>
      </c>
      <c r="E65" s="7" t="n">
        <v>44.47</v>
      </c>
      <c r="F65" s="7">
        <f>IFERROR(VLOOKUP($D65,'原料主数据'!$A:$E,4,FALSE),"待登记")</f>
        <v/>
      </c>
      <c r="G65" s="7">
        <f>IFERROR(VLOOKUP($D65,'原料主数据'!$A:$E,5,FALSE),"待登记")</f>
        <v/>
      </c>
      <c r="H65" s="7">
        <f>IFERROR($E65*VLOOKUP($D65,'原料主数据'!$A:$AN, 8, FALSE),"")</f>
        <v/>
      </c>
      <c r="I65" s="7">
        <f>IFERROR($E65*VLOOKUP($D65,'原料主数据'!$A:$AN, 9, FALSE),"")</f>
        <v/>
      </c>
      <c r="J65" s="7">
        <f>IFERROR($E65*VLOOKUP($D65,'原料主数据'!$A:$AN, 10, FALSE),"")</f>
        <v/>
      </c>
      <c r="K65" s="7">
        <f>IFERROR($E65*VLOOKUP($D65,'原料主数据'!$A:$AN, 11, FALSE),"")</f>
        <v/>
      </c>
      <c r="L65" s="7">
        <f>IFERROR($E65*VLOOKUP($D65,'原料主数据'!$A:$AN, 12, FALSE),"")</f>
        <v/>
      </c>
      <c r="M65" s="7">
        <f>IFERROR($E65*VLOOKUP($D65,'原料主数据'!$A:$AN, 13, FALSE),"")</f>
        <v/>
      </c>
      <c r="N65" s="7">
        <f>IFERROR($E65*VLOOKUP($D65,'原料主数据'!$A:$AN, 14, FALSE),"")</f>
        <v/>
      </c>
      <c r="O65" s="7">
        <f>IFERROR($E65*VLOOKUP($D65,'原料主数据'!$A:$AN, 15, FALSE),"")</f>
        <v/>
      </c>
      <c r="P65" s="7">
        <f>IFERROR($E65*VLOOKUP($D65,'原料主数据'!$A:$AN, 16, FALSE),"")</f>
        <v/>
      </c>
      <c r="Q65" s="7">
        <f>IFERROR($E65*VLOOKUP($D65,'原料主数据'!$A:$AN, 17, FALSE),"")</f>
        <v/>
      </c>
      <c r="R65" s="7">
        <f>IFERROR($E65*VLOOKUP($D65,'原料主数据'!$A:$AN, 18, FALSE),"")</f>
        <v/>
      </c>
      <c r="S65" s="7">
        <f>IFERROR($E65*VLOOKUP($D65,'原料主数据'!$A:$AN, 19, FALSE),"")</f>
        <v/>
      </c>
      <c r="T65" s="7">
        <f>IFERROR($E65*VLOOKUP($D65,'原料主数据'!$A:$AN, 20, FALSE),"")</f>
        <v/>
      </c>
      <c r="U65" s="7">
        <f>IFERROR($E65*VLOOKUP($D65,'原料主数据'!$A:$AN, 21, FALSE),"")</f>
        <v/>
      </c>
      <c r="V65" s="7">
        <f>IFERROR($E65*VLOOKUP($D65,'原料主数据'!$A:$AN, 22, FALSE),"")</f>
        <v/>
      </c>
      <c r="W65" s="7">
        <f>IFERROR($E65*VLOOKUP($D65,'原料主数据'!$A:$AN, 23, FALSE),"")</f>
        <v/>
      </c>
      <c r="X65" s="7">
        <f>IFERROR($E65*VLOOKUP($D65,'原料主数据'!$A:$AN, 24, FALSE),"")</f>
        <v/>
      </c>
      <c r="Y65" s="7">
        <f>IFERROR($E65*VLOOKUP($D65,'原料主数据'!$A:$AN, 25, FALSE),"")</f>
        <v/>
      </c>
      <c r="Z65" s="7">
        <f>IFERROR($E65*VLOOKUP($D65,'原料主数据'!$A:$AN, 26, FALSE),"")</f>
        <v/>
      </c>
      <c r="AA65" s="7">
        <f>IFERROR($E65*VLOOKUP($D65,'原料主数据'!$A:$AN, 27, FALSE),"")</f>
        <v/>
      </c>
      <c r="AB65" s="7">
        <f>IFERROR($E65*VLOOKUP($D65,'原料主数据'!$A:$AN, 28, FALSE),"")</f>
        <v/>
      </c>
      <c r="AC65" s="7">
        <f>IFERROR($E65*VLOOKUP($D65,'原料主数据'!$A:$AN, 29, FALSE),"")</f>
        <v/>
      </c>
      <c r="AD65" s="7">
        <f>IFERROR($E65*VLOOKUP($D65,'原料主数据'!$A:$AN, 30, FALSE),"")</f>
        <v/>
      </c>
      <c r="AE65" s="7">
        <f>IFERROR($E65*VLOOKUP($D65,'原料主数据'!$A:$AN, 31, FALSE),"")</f>
        <v/>
      </c>
      <c r="AF65" s="7">
        <f>IFERROR($E65*VLOOKUP($D65,'原料主数据'!$A:$AN, 32, FALSE),"")</f>
        <v/>
      </c>
      <c r="AG65" s="7">
        <f>IFERROR($E65*VLOOKUP($D65,'原料主数据'!$A:$AN, 33, FALSE),"")</f>
        <v/>
      </c>
      <c r="AH65" s="7">
        <f>IFERROR($E65*VLOOKUP($D65,'原料主数据'!$A:$AN, 34, FALSE),"")</f>
        <v/>
      </c>
      <c r="AI65" s="7">
        <f>IFERROR($E65*VLOOKUP($D65,'原料主数据'!$A:$AN, 35, FALSE),"")</f>
        <v/>
      </c>
      <c r="AJ65" s="7">
        <f>IFERROR($E65*VLOOKUP($D65,'原料主数据'!$A:$AN, 36, FALSE),"")</f>
        <v/>
      </c>
      <c r="AK65" s="7">
        <f>IFERROR($E65*VLOOKUP($D65,'原料主数据'!$A:$AN, 37, FALSE),"")</f>
        <v/>
      </c>
      <c r="AL65" s="7">
        <f>IFERROR($E65*VLOOKUP($D65,'原料主数据'!$A:$AN, 38, FALSE),"")</f>
        <v/>
      </c>
      <c r="AM65" s="7">
        <f>IFERROR($E65*VLOOKUP($D65,'原料主数据'!$A:$AN, 39, FALSE),"")</f>
        <v/>
      </c>
    </row>
    <row r="66">
      <c r="A66" s="6" t="inlineStr">
        <is>
          <t>ORG-0002</t>
        </is>
      </c>
      <c r="B66" s="6" t="inlineStr">
        <is>
          <t>ORG-A</t>
        </is>
      </c>
      <c r="C66" s="6" t="inlineStr">
        <is>
          <t>有机</t>
        </is>
      </c>
      <c r="D66" s="6" t="inlineStr">
        <is>
          <t>IR877</t>
        </is>
      </c>
      <c r="E66" s="6" t="n">
        <v>37.01</v>
      </c>
      <c r="F66" s="6">
        <f>IFERROR(VLOOKUP($D66,'原料主数据'!$A:$E,4,FALSE),"待登记")</f>
        <v/>
      </c>
      <c r="G66" s="6">
        <f>IFERROR(VLOOKUP($D66,'原料主数据'!$A:$E,5,FALSE),"待登记")</f>
        <v/>
      </c>
      <c r="H66" s="6">
        <f>IFERROR($E66*VLOOKUP($D66,'原料主数据'!$A:$AN, 8, FALSE),"")</f>
        <v/>
      </c>
      <c r="I66" s="6">
        <f>IFERROR($E66*VLOOKUP($D66,'原料主数据'!$A:$AN, 9, FALSE),"")</f>
        <v/>
      </c>
      <c r="J66" s="6">
        <f>IFERROR($E66*VLOOKUP($D66,'原料主数据'!$A:$AN, 10, FALSE),"")</f>
        <v/>
      </c>
      <c r="K66" s="6">
        <f>IFERROR($E66*VLOOKUP($D66,'原料主数据'!$A:$AN, 11, FALSE),"")</f>
        <v/>
      </c>
      <c r="L66" s="6">
        <f>IFERROR($E66*VLOOKUP($D66,'原料主数据'!$A:$AN, 12, FALSE),"")</f>
        <v/>
      </c>
      <c r="M66" s="6">
        <f>IFERROR($E66*VLOOKUP($D66,'原料主数据'!$A:$AN, 13, FALSE),"")</f>
        <v/>
      </c>
      <c r="N66" s="6">
        <f>IFERROR($E66*VLOOKUP($D66,'原料主数据'!$A:$AN, 14, FALSE),"")</f>
        <v/>
      </c>
      <c r="O66" s="6">
        <f>IFERROR($E66*VLOOKUP($D66,'原料主数据'!$A:$AN, 15, FALSE),"")</f>
        <v/>
      </c>
      <c r="P66" s="6">
        <f>IFERROR($E66*VLOOKUP($D66,'原料主数据'!$A:$AN, 16, FALSE),"")</f>
        <v/>
      </c>
      <c r="Q66" s="6">
        <f>IFERROR($E66*VLOOKUP($D66,'原料主数据'!$A:$AN, 17, FALSE),"")</f>
        <v/>
      </c>
      <c r="R66" s="6">
        <f>IFERROR($E66*VLOOKUP($D66,'原料主数据'!$A:$AN, 18, FALSE),"")</f>
        <v/>
      </c>
      <c r="S66" s="6">
        <f>IFERROR($E66*VLOOKUP($D66,'原料主数据'!$A:$AN, 19, FALSE),"")</f>
        <v/>
      </c>
      <c r="T66" s="6">
        <f>IFERROR($E66*VLOOKUP($D66,'原料主数据'!$A:$AN, 20, FALSE),"")</f>
        <v/>
      </c>
      <c r="U66" s="6">
        <f>IFERROR($E66*VLOOKUP($D66,'原料主数据'!$A:$AN, 21, FALSE),"")</f>
        <v/>
      </c>
      <c r="V66" s="6">
        <f>IFERROR($E66*VLOOKUP($D66,'原料主数据'!$A:$AN, 22, FALSE),"")</f>
        <v/>
      </c>
      <c r="W66" s="6">
        <f>IFERROR($E66*VLOOKUP($D66,'原料主数据'!$A:$AN, 23, FALSE),"")</f>
        <v/>
      </c>
      <c r="X66" s="6">
        <f>IFERROR($E66*VLOOKUP($D66,'原料主数据'!$A:$AN, 24, FALSE),"")</f>
        <v/>
      </c>
      <c r="Y66" s="6">
        <f>IFERROR($E66*VLOOKUP($D66,'原料主数据'!$A:$AN, 25, FALSE),"")</f>
        <v/>
      </c>
      <c r="Z66" s="6">
        <f>IFERROR($E66*VLOOKUP($D66,'原料主数据'!$A:$AN, 26, FALSE),"")</f>
        <v/>
      </c>
      <c r="AA66" s="6">
        <f>IFERROR($E66*VLOOKUP($D66,'原料主数据'!$A:$AN, 27, FALSE),"")</f>
        <v/>
      </c>
      <c r="AB66" s="6">
        <f>IFERROR($E66*VLOOKUP($D66,'原料主数据'!$A:$AN, 28, FALSE),"")</f>
        <v/>
      </c>
      <c r="AC66" s="6">
        <f>IFERROR($E66*VLOOKUP($D66,'原料主数据'!$A:$AN, 29, FALSE),"")</f>
        <v/>
      </c>
      <c r="AD66" s="6">
        <f>IFERROR($E66*VLOOKUP($D66,'原料主数据'!$A:$AN, 30, FALSE),"")</f>
        <v/>
      </c>
      <c r="AE66" s="6">
        <f>IFERROR($E66*VLOOKUP($D66,'原料主数据'!$A:$AN, 31, FALSE),"")</f>
        <v/>
      </c>
      <c r="AF66" s="6">
        <f>IFERROR($E66*VLOOKUP($D66,'原料主数据'!$A:$AN, 32, FALSE),"")</f>
        <v/>
      </c>
      <c r="AG66" s="6">
        <f>IFERROR($E66*VLOOKUP($D66,'原料主数据'!$A:$AN, 33, FALSE),"")</f>
        <v/>
      </c>
      <c r="AH66" s="6">
        <f>IFERROR($E66*VLOOKUP($D66,'原料主数据'!$A:$AN, 34, FALSE),"")</f>
        <v/>
      </c>
      <c r="AI66" s="6">
        <f>IFERROR($E66*VLOOKUP($D66,'原料主数据'!$A:$AN, 35, FALSE),"")</f>
        <v/>
      </c>
      <c r="AJ66" s="6">
        <f>IFERROR($E66*VLOOKUP($D66,'原料主数据'!$A:$AN, 36, FALSE),"")</f>
        <v/>
      </c>
      <c r="AK66" s="6">
        <f>IFERROR($E66*VLOOKUP($D66,'原料主数据'!$A:$AN, 37, FALSE),"")</f>
        <v/>
      </c>
      <c r="AL66" s="6">
        <f>IFERROR($E66*VLOOKUP($D66,'原料主数据'!$A:$AN, 38, FALSE),"")</f>
        <v/>
      </c>
      <c r="AM66" s="6">
        <f>IFERROR($E66*VLOOKUP($D66,'原料主数据'!$A:$AN, 39, FALSE),"")</f>
        <v/>
      </c>
    </row>
    <row r="67">
      <c r="A67" s="7" t="inlineStr">
        <is>
          <t>ORG-0003</t>
        </is>
      </c>
      <c r="B67" s="7" t="inlineStr">
        <is>
          <t>ORG-B</t>
        </is>
      </c>
      <c r="C67" s="7" t="inlineStr">
        <is>
          <t>有机</t>
        </is>
      </c>
      <c r="D67" s="7" t="inlineStr">
        <is>
          <t>TF100</t>
        </is>
      </c>
      <c r="E67" s="7" t="n">
        <v>29.48</v>
      </c>
      <c r="F67" s="7">
        <f>IFERROR(VLOOKUP($D67,'原料主数据'!$A:$E,4,FALSE),"待登记")</f>
        <v/>
      </c>
      <c r="G67" s="7">
        <f>IFERROR(VLOOKUP($D67,'原料主数据'!$A:$E,5,FALSE),"待登记")</f>
        <v/>
      </c>
      <c r="H67" s="7">
        <f>IFERROR($E67*VLOOKUP($D67,'原料主数据'!$A:$AN, 8, FALSE),"")</f>
        <v/>
      </c>
      <c r="I67" s="7">
        <f>IFERROR($E67*VLOOKUP($D67,'原料主数据'!$A:$AN, 9, FALSE),"")</f>
        <v/>
      </c>
      <c r="J67" s="7">
        <f>IFERROR($E67*VLOOKUP($D67,'原料主数据'!$A:$AN, 10, FALSE),"")</f>
        <v/>
      </c>
      <c r="K67" s="7">
        <f>IFERROR($E67*VLOOKUP($D67,'原料主数据'!$A:$AN, 11, FALSE),"")</f>
        <v/>
      </c>
      <c r="L67" s="7">
        <f>IFERROR($E67*VLOOKUP($D67,'原料主数据'!$A:$AN, 12, FALSE),"")</f>
        <v/>
      </c>
      <c r="M67" s="7">
        <f>IFERROR($E67*VLOOKUP($D67,'原料主数据'!$A:$AN, 13, FALSE),"")</f>
        <v/>
      </c>
      <c r="N67" s="7">
        <f>IFERROR($E67*VLOOKUP($D67,'原料主数据'!$A:$AN, 14, FALSE),"")</f>
        <v/>
      </c>
      <c r="O67" s="7">
        <f>IFERROR($E67*VLOOKUP($D67,'原料主数据'!$A:$AN, 15, FALSE),"")</f>
        <v/>
      </c>
      <c r="P67" s="7">
        <f>IFERROR($E67*VLOOKUP($D67,'原料主数据'!$A:$AN, 16, FALSE),"")</f>
        <v/>
      </c>
      <c r="Q67" s="7">
        <f>IFERROR($E67*VLOOKUP($D67,'原料主数据'!$A:$AN, 17, FALSE),"")</f>
        <v/>
      </c>
      <c r="R67" s="7">
        <f>IFERROR($E67*VLOOKUP($D67,'原料主数据'!$A:$AN, 18, FALSE),"")</f>
        <v/>
      </c>
      <c r="S67" s="7">
        <f>IFERROR($E67*VLOOKUP($D67,'原料主数据'!$A:$AN, 19, FALSE),"")</f>
        <v/>
      </c>
      <c r="T67" s="7">
        <f>IFERROR($E67*VLOOKUP($D67,'原料主数据'!$A:$AN, 20, FALSE),"")</f>
        <v/>
      </c>
      <c r="U67" s="7">
        <f>IFERROR($E67*VLOOKUP($D67,'原料主数据'!$A:$AN, 21, FALSE),"")</f>
        <v/>
      </c>
      <c r="V67" s="7">
        <f>IFERROR($E67*VLOOKUP($D67,'原料主数据'!$A:$AN, 22, FALSE),"")</f>
        <v/>
      </c>
      <c r="W67" s="7">
        <f>IFERROR($E67*VLOOKUP($D67,'原料主数据'!$A:$AN, 23, FALSE),"")</f>
        <v/>
      </c>
      <c r="X67" s="7">
        <f>IFERROR($E67*VLOOKUP($D67,'原料主数据'!$A:$AN, 24, FALSE),"")</f>
        <v/>
      </c>
      <c r="Y67" s="7">
        <f>IFERROR($E67*VLOOKUP($D67,'原料主数据'!$A:$AN, 25, FALSE),"")</f>
        <v/>
      </c>
      <c r="Z67" s="7">
        <f>IFERROR($E67*VLOOKUP($D67,'原料主数据'!$A:$AN, 26, FALSE),"")</f>
        <v/>
      </c>
      <c r="AA67" s="7">
        <f>IFERROR($E67*VLOOKUP($D67,'原料主数据'!$A:$AN, 27, FALSE),"")</f>
        <v/>
      </c>
      <c r="AB67" s="7">
        <f>IFERROR($E67*VLOOKUP($D67,'原料主数据'!$A:$AN, 28, FALSE),"")</f>
        <v/>
      </c>
      <c r="AC67" s="7">
        <f>IFERROR($E67*VLOOKUP($D67,'原料主数据'!$A:$AN, 29, FALSE),"")</f>
        <v/>
      </c>
      <c r="AD67" s="7">
        <f>IFERROR($E67*VLOOKUP($D67,'原料主数据'!$A:$AN, 30, FALSE),"")</f>
        <v/>
      </c>
      <c r="AE67" s="7">
        <f>IFERROR($E67*VLOOKUP($D67,'原料主数据'!$A:$AN, 31, FALSE),"")</f>
        <v/>
      </c>
      <c r="AF67" s="7">
        <f>IFERROR($E67*VLOOKUP($D67,'原料主数据'!$A:$AN, 32, FALSE),"")</f>
        <v/>
      </c>
      <c r="AG67" s="7">
        <f>IFERROR($E67*VLOOKUP($D67,'原料主数据'!$A:$AN, 33, FALSE),"")</f>
        <v/>
      </c>
      <c r="AH67" s="7">
        <f>IFERROR($E67*VLOOKUP($D67,'原料主数据'!$A:$AN, 34, FALSE),"")</f>
        <v/>
      </c>
      <c r="AI67" s="7">
        <f>IFERROR($E67*VLOOKUP($D67,'原料主数据'!$A:$AN, 35, FALSE),"")</f>
        <v/>
      </c>
      <c r="AJ67" s="7">
        <f>IFERROR($E67*VLOOKUP($D67,'原料主数据'!$A:$AN, 36, FALSE),"")</f>
        <v/>
      </c>
      <c r="AK67" s="7">
        <f>IFERROR($E67*VLOOKUP($D67,'原料主数据'!$A:$AN, 37, FALSE),"")</f>
        <v/>
      </c>
      <c r="AL67" s="7">
        <f>IFERROR($E67*VLOOKUP($D67,'原料主数据'!$A:$AN, 38, FALSE),"")</f>
        <v/>
      </c>
      <c r="AM67" s="7">
        <f>IFERROR($E67*VLOOKUP($D67,'原料主数据'!$A:$AN, 39, FALSE),"")</f>
        <v/>
      </c>
    </row>
    <row r="68">
      <c r="A68" s="6" t="inlineStr">
        <is>
          <t>ORG-0003</t>
        </is>
      </c>
      <c r="B68" s="6" t="inlineStr">
        <is>
          <t>ORG-B</t>
        </is>
      </c>
      <c r="C68" s="6" t="inlineStr">
        <is>
          <t>有机</t>
        </is>
      </c>
      <c r="D68" s="6" t="inlineStr">
        <is>
          <t>TM004</t>
        </is>
      </c>
      <c r="E68" s="6" t="n">
        <v>8.119999999999999</v>
      </c>
      <c r="F68" s="6">
        <f>IFERROR(VLOOKUP($D68,'原料主数据'!$A:$E,4,FALSE),"待登记")</f>
        <v/>
      </c>
      <c r="G68" s="6">
        <f>IFERROR(VLOOKUP($D68,'原料主数据'!$A:$E,5,FALSE),"待登记")</f>
        <v/>
      </c>
      <c r="H68" s="6">
        <f>IFERROR($E68*VLOOKUP($D68,'原料主数据'!$A:$AN, 8, FALSE),"")</f>
        <v/>
      </c>
      <c r="I68" s="6">
        <f>IFERROR($E68*VLOOKUP($D68,'原料主数据'!$A:$AN, 9, FALSE),"")</f>
        <v/>
      </c>
      <c r="J68" s="6">
        <f>IFERROR($E68*VLOOKUP($D68,'原料主数据'!$A:$AN, 10, FALSE),"")</f>
        <v/>
      </c>
      <c r="K68" s="6">
        <f>IFERROR($E68*VLOOKUP($D68,'原料主数据'!$A:$AN, 11, FALSE),"")</f>
        <v/>
      </c>
      <c r="L68" s="6">
        <f>IFERROR($E68*VLOOKUP($D68,'原料主数据'!$A:$AN, 12, FALSE),"")</f>
        <v/>
      </c>
      <c r="M68" s="6">
        <f>IFERROR($E68*VLOOKUP($D68,'原料主数据'!$A:$AN, 13, FALSE),"")</f>
        <v/>
      </c>
      <c r="N68" s="6">
        <f>IFERROR($E68*VLOOKUP($D68,'原料主数据'!$A:$AN, 14, FALSE),"")</f>
        <v/>
      </c>
      <c r="O68" s="6">
        <f>IFERROR($E68*VLOOKUP($D68,'原料主数据'!$A:$AN, 15, FALSE),"")</f>
        <v/>
      </c>
      <c r="P68" s="6">
        <f>IFERROR($E68*VLOOKUP($D68,'原料主数据'!$A:$AN, 16, FALSE),"")</f>
        <v/>
      </c>
      <c r="Q68" s="6">
        <f>IFERROR($E68*VLOOKUP($D68,'原料主数据'!$A:$AN, 17, FALSE),"")</f>
        <v/>
      </c>
      <c r="R68" s="6">
        <f>IFERROR($E68*VLOOKUP($D68,'原料主数据'!$A:$AN, 18, FALSE),"")</f>
        <v/>
      </c>
      <c r="S68" s="6">
        <f>IFERROR($E68*VLOOKUP($D68,'原料主数据'!$A:$AN, 19, FALSE),"")</f>
        <v/>
      </c>
      <c r="T68" s="6">
        <f>IFERROR($E68*VLOOKUP($D68,'原料主数据'!$A:$AN, 20, FALSE),"")</f>
        <v/>
      </c>
      <c r="U68" s="6">
        <f>IFERROR($E68*VLOOKUP($D68,'原料主数据'!$A:$AN, 21, FALSE),"")</f>
        <v/>
      </c>
      <c r="V68" s="6">
        <f>IFERROR($E68*VLOOKUP($D68,'原料主数据'!$A:$AN, 22, FALSE),"")</f>
        <v/>
      </c>
      <c r="W68" s="6">
        <f>IFERROR($E68*VLOOKUP($D68,'原料主数据'!$A:$AN, 23, FALSE),"")</f>
        <v/>
      </c>
      <c r="X68" s="6">
        <f>IFERROR($E68*VLOOKUP($D68,'原料主数据'!$A:$AN, 24, FALSE),"")</f>
        <v/>
      </c>
      <c r="Y68" s="6">
        <f>IFERROR($E68*VLOOKUP($D68,'原料主数据'!$A:$AN, 25, FALSE),"")</f>
        <v/>
      </c>
      <c r="Z68" s="6">
        <f>IFERROR($E68*VLOOKUP($D68,'原料主数据'!$A:$AN, 26, FALSE),"")</f>
        <v/>
      </c>
      <c r="AA68" s="6">
        <f>IFERROR($E68*VLOOKUP($D68,'原料主数据'!$A:$AN, 27, FALSE),"")</f>
        <v/>
      </c>
      <c r="AB68" s="6">
        <f>IFERROR($E68*VLOOKUP($D68,'原料主数据'!$A:$AN, 28, FALSE),"")</f>
        <v/>
      </c>
      <c r="AC68" s="6">
        <f>IFERROR($E68*VLOOKUP($D68,'原料主数据'!$A:$AN, 29, FALSE),"")</f>
        <v/>
      </c>
      <c r="AD68" s="6">
        <f>IFERROR($E68*VLOOKUP($D68,'原料主数据'!$A:$AN, 30, FALSE),"")</f>
        <v/>
      </c>
      <c r="AE68" s="6">
        <f>IFERROR($E68*VLOOKUP($D68,'原料主数据'!$A:$AN, 31, FALSE),"")</f>
        <v/>
      </c>
      <c r="AF68" s="6">
        <f>IFERROR($E68*VLOOKUP($D68,'原料主数据'!$A:$AN, 32, FALSE),"")</f>
        <v/>
      </c>
      <c r="AG68" s="6">
        <f>IFERROR($E68*VLOOKUP($D68,'原料主数据'!$A:$AN, 33, FALSE),"")</f>
        <v/>
      </c>
      <c r="AH68" s="6">
        <f>IFERROR($E68*VLOOKUP($D68,'原料主数据'!$A:$AN, 34, FALSE),"")</f>
        <v/>
      </c>
      <c r="AI68" s="6">
        <f>IFERROR($E68*VLOOKUP($D68,'原料主数据'!$A:$AN, 35, FALSE),"")</f>
        <v/>
      </c>
      <c r="AJ68" s="6">
        <f>IFERROR($E68*VLOOKUP($D68,'原料主数据'!$A:$AN, 36, FALSE),"")</f>
        <v/>
      </c>
      <c r="AK68" s="6">
        <f>IFERROR($E68*VLOOKUP($D68,'原料主数据'!$A:$AN, 37, FALSE),"")</f>
        <v/>
      </c>
      <c r="AL68" s="6">
        <f>IFERROR($E68*VLOOKUP($D68,'原料主数据'!$A:$AN, 38, FALSE),"")</f>
        <v/>
      </c>
      <c r="AM68" s="6">
        <f>IFERROR($E68*VLOOKUP($D68,'原料主数据'!$A:$AN, 39, FALSE),"")</f>
        <v/>
      </c>
    </row>
    <row r="69">
      <c r="A69" s="7" t="inlineStr">
        <is>
          <t>ORG-0003</t>
        </is>
      </c>
      <c r="B69" s="7" t="inlineStr">
        <is>
          <t>ORG-B</t>
        </is>
      </c>
      <c r="C69" s="7" t="inlineStr">
        <is>
          <t>有机</t>
        </is>
      </c>
      <c r="D69" s="7" t="inlineStr">
        <is>
          <t>AS400</t>
        </is>
      </c>
      <c r="E69" s="7" t="n">
        <v>5.66</v>
      </c>
      <c r="F69" s="7">
        <f>IFERROR(VLOOKUP($D69,'原料主数据'!$A:$E,4,FALSE),"待登记")</f>
        <v/>
      </c>
      <c r="G69" s="7">
        <f>IFERROR(VLOOKUP($D69,'原料主数据'!$A:$E,5,FALSE),"待登记")</f>
        <v/>
      </c>
      <c r="H69" s="7">
        <f>IFERROR($E69*VLOOKUP($D69,'原料主数据'!$A:$AN, 8, FALSE),"")</f>
        <v/>
      </c>
      <c r="I69" s="7">
        <f>IFERROR($E69*VLOOKUP($D69,'原料主数据'!$A:$AN, 9, FALSE),"")</f>
        <v/>
      </c>
      <c r="J69" s="7">
        <f>IFERROR($E69*VLOOKUP($D69,'原料主数据'!$A:$AN, 10, FALSE),"")</f>
        <v/>
      </c>
      <c r="K69" s="7">
        <f>IFERROR($E69*VLOOKUP($D69,'原料主数据'!$A:$AN, 11, FALSE),"")</f>
        <v/>
      </c>
      <c r="L69" s="7">
        <f>IFERROR($E69*VLOOKUP($D69,'原料主数据'!$A:$AN, 12, FALSE),"")</f>
        <v/>
      </c>
      <c r="M69" s="7">
        <f>IFERROR($E69*VLOOKUP($D69,'原料主数据'!$A:$AN, 13, FALSE),"")</f>
        <v/>
      </c>
      <c r="N69" s="7">
        <f>IFERROR($E69*VLOOKUP($D69,'原料主数据'!$A:$AN, 14, FALSE),"")</f>
        <v/>
      </c>
      <c r="O69" s="7">
        <f>IFERROR($E69*VLOOKUP($D69,'原料主数据'!$A:$AN, 15, FALSE),"")</f>
        <v/>
      </c>
      <c r="P69" s="7">
        <f>IFERROR($E69*VLOOKUP($D69,'原料主数据'!$A:$AN, 16, FALSE),"")</f>
        <v/>
      </c>
      <c r="Q69" s="7">
        <f>IFERROR($E69*VLOOKUP($D69,'原料主数据'!$A:$AN, 17, FALSE),"")</f>
        <v/>
      </c>
      <c r="R69" s="7">
        <f>IFERROR($E69*VLOOKUP($D69,'原料主数据'!$A:$AN, 18, FALSE),"")</f>
        <v/>
      </c>
      <c r="S69" s="7">
        <f>IFERROR($E69*VLOOKUP($D69,'原料主数据'!$A:$AN, 19, FALSE),"")</f>
        <v/>
      </c>
      <c r="T69" s="7">
        <f>IFERROR($E69*VLOOKUP($D69,'原料主数据'!$A:$AN, 20, FALSE),"")</f>
        <v/>
      </c>
      <c r="U69" s="7">
        <f>IFERROR($E69*VLOOKUP($D69,'原料主数据'!$A:$AN, 21, FALSE),"")</f>
        <v/>
      </c>
      <c r="V69" s="7">
        <f>IFERROR($E69*VLOOKUP($D69,'原料主数据'!$A:$AN, 22, FALSE),"")</f>
        <v/>
      </c>
      <c r="W69" s="7">
        <f>IFERROR($E69*VLOOKUP($D69,'原料主数据'!$A:$AN, 23, FALSE),"")</f>
        <v/>
      </c>
      <c r="X69" s="7">
        <f>IFERROR($E69*VLOOKUP($D69,'原料主数据'!$A:$AN, 24, FALSE),"")</f>
        <v/>
      </c>
      <c r="Y69" s="7">
        <f>IFERROR($E69*VLOOKUP($D69,'原料主数据'!$A:$AN, 25, FALSE),"")</f>
        <v/>
      </c>
      <c r="Z69" s="7">
        <f>IFERROR($E69*VLOOKUP($D69,'原料主数据'!$A:$AN, 26, FALSE),"")</f>
        <v/>
      </c>
      <c r="AA69" s="7">
        <f>IFERROR($E69*VLOOKUP($D69,'原料主数据'!$A:$AN, 27, FALSE),"")</f>
        <v/>
      </c>
      <c r="AB69" s="7">
        <f>IFERROR($E69*VLOOKUP($D69,'原料主数据'!$A:$AN, 28, FALSE),"")</f>
        <v/>
      </c>
      <c r="AC69" s="7">
        <f>IFERROR($E69*VLOOKUP($D69,'原料主数据'!$A:$AN, 29, FALSE),"")</f>
        <v/>
      </c>
      <c r="AD69" s="7">
        <f>IFERROR($E69*VLOOKUP($D69,'原料主数据'!$A:$AN, 30, FALSE),"")</f>
        <v/>
      </c>
      <c r="AE69" s="7">
        <f>IFERROR($E69*VLOOKUP($D69,'原料主数据'!$A:$AN, 31, FALSE),"")</f>
        <v/>
      </c>
      <c r="AF69" s="7">
        <f>IFERROR($E69*VLOOKUP($D69,'原料主数据'!$A:$AN, 32, FALSE),"")</f>
        <v/>
      </c>
      <c r="AG69" s="7">
        <f>IFERROR($E69*VLOOKUP($D69,'原料主数据'!$A:$AN, 33, FALSE),"")</f>
        <v/>
      </c>
      <c r="AH69" s="7">
        <f>IFERROR($E69*VLOOKUP($D69,'原料主数据'!$A:$AN, 34, FALSE),"")</f>
        <v/>
      </c>
      <c r="AI69" s="7">
        <f>IFERROR($E69*VLOOKUP($D69,'原料主数据'!$A:$AN, 35, FALSE),"")</f>
        <v/>
      </c>
      <c r="AJ69" s="7">
        <f>IFERROR($E69*VLOOKUP($D69,'原料主数据'!$A:$AN, 36, FALSE),"")</f>
        <v/>
      </c>
      <c r="AK69" s="7">
        <f>IFERROR($E69*VLOOKUP($D69,'原料主数据'!$A:$AN, 37, FALSE),"")</f>
        <v/>
      </c>
      <c r="AL69" s="7">
        <f>IFERROR($E69*VLOOKUP($D69,'原料主数据'!$A:$AN, 38, FALSE),"")</f>
        <v/>
      </c>
      <c r="AM69" s="7">
        <f>IFERROR($E69*VLOOKUP($D69,'原料主数据'!$A:$AN, 39, FALSE),"")</f>
        <v/>
      </c>
    </row>
    <row r="70">
      <c r="A70" s="6" t="inlineStr">
        <is>
          <t>ORG-0003</t>
        </is>
      </c>
      <c r="B70" s="6" t="inlineStr">
        <is>
          <t>ORG-B</t>
        </is>
      </c>
      <c r="C70" s="6" t="inlineStr">
        <is>
          <t>有机</t>
        </is>
      </c>
      <c r="D70" s="6" t="inlineStr">
        <is>
          <t>RX170-140</t>
        </is>
      </c>
      <c r="E70" s="6" t="n">
        <v>56.64</v>
      </c>
      <c r="F70" s="6">
        <f>IFERROR(VLOOKUP($D70,'原料主数据'!$A:$E,4,FALSE),"待登记")</f>
        <v/>
      </c>
      <c r="G70" s="6">
        <f>IFERROR(VLOOKUP($D70,'原料主数据'!$A:$E,5,FALSE),"待登记")</f>
        <v/>
      </c>
      <c r="H70" s="6">
        <f>IFERROR($E70*VLOOKUP($D70,'原料主数据'!$A:$AN, 8, FALSE),"")</f>
        <v/>
      </c>
      <c r="I70" s="6">
        <f>IFERROR($E70*VLOOKUP($D70,'原料主数据'!$A:$AN, 9, FALSE),"")</f>
        <v/>
      </c>
      <c r="J70" s="6">
        <f>IFERROR($E70*VLOOKUP($D70,'原料主数据'!$A:$AN, 10, FALSE),"")</f>
        <v/>
      </c>
      <c r="K70" s="6">
        <f>IFERROR($E70*VLOOKUP($D70,'原料主数据'!$A:$AN, 11, FALSE),"")</f>
        <v/>
      </c>
      <c r="L70" s="6">
        <f>IFERROR($E70*VLOOKUP($D70,'原料主数据'!$A:$AN, 12, FALSE),"")</f>
        <v/>
      </c>
      <c r="M70" s="6">
        <f>IFERROR($E70*VLOOKUP($D70,'原料主数据'!$A:$AN, 13, FALSE),"")</f>
        <v/>
      </c>
      <c r="N70" s="6">
        <f>IFERROR($E70*VLOOKUP($D70,'原料主数据'!$A:$AN, 14, FALSE),"")</f>
        <v/>
      </c>
      <c r="O70" s="6">
        <f>IFERROR($E70*VLOOKUP($D70,'原料主数据'!$A:$AN, 15, FALSE),"")</f>
        <v/>
      </c>
      <c r="P70" s="6">
        <f>IFERROR($E70*VLOOKUP($D70,'原料主数据'!$A:$AN, 16, FALSE),"")</f>
        <v/>
      </c>
      <c r="Q70" s="6">
        <f>IFERROR($E70*VLOOKUP($D70,'原料主数据'!$A:$AN, 17, FALSE),"")</f>
        <v/>
      </c>
      <c r="R70" s="6">
        <f>IFERROR($E70*VLOOKUP($D70,'原料主数据'!$A:$AN, 18, FALSE),"")</f>
        <v/>
      </c>
      <c r="S70" s="6">
        <f>IFERROR($E70*VLOOKUP($D70,'原料主数据'!$A:$AN, 19, FALSE),"")</f>
        <v/>
      </c>
      <c r="T70" s="6">
        <f>IFERROR($E70*VLOOKUP($D70,'原料主数据'!$A:$AN, 20, FALSE),"")</f>
        <v/>
      </c>
      <c r="U70" s="6">
        <f>IFERROR($E70*VLOOKUP($D70,'原料主数据'!$A:$AN, 21, FALSE),"")</f>
        <v/>
      </c>
      <c r="V70" s="6">
        <f>IFERROR($E70*VLOOKUP($D70,'原料主数据'!$A:$AN, 22, FALSE),"")</f>
        <v/>
      </c>
      <c r="W70" s="6">
        <f>IFERROR($E70*VLOOKUP($D70,'原料主数据'!$A:$AN, 23, FALSE),"")</f>
        <v/>
      </c>
      <c r="X70" s="6">
        <f>IFERROR($E70*VLOOKUP($D70,'原料主数据'!$A:$AN, 24, FALSE),"")</f>
        <v/>
      </c>
      <c r="Y70" s="6">
        <f>IFERROR($E70*VLOOKUP($D70,'原料主数据'!$A:$AN, 25, FALSE),"")</f>
        <v/>
      </c>
      <c r="Z70" s="6">
        <f>IFERROR($E70*VLOOKUP($D70,'原料主数据'!$A:$AN, 26, FALSE),"")</f>
        <v/>
      </c>
      <c r="AA70" s="6">
        <f>IFERROR($E70*VLOOKUP($D70,'原料主数据'!$A:$AN, 27, FALSE),"")</f>
        <v/>
      </c>
      <c r="AB70" s="6">
        <f>IFERROR($E70*VLOOKUP($D70,'原料主数据'!$A:$AN, 28, FALSE),"")</f>
        <v/>
      </c>
      <c r="AC70" s="6">
        <f>IFERROR($E70*VLOOKUP($D70,'原料主数据'!$A:$AN, 29, FALSE),"")</f>
        <v/>
      </c>
      <c r="AD70" s="6">
        <f>IFERROR($E70*VLOOKUP($D70,'原料主数据'!$A:$AN, 30, FALSE),"")</f>
        <v/>
      </c>
      <c r="AE70" s="6">
        <f>IFERROR($E70*VLOOKUP($D70,'原料主数据'!$A:$AN, 31, FALSE),"")</f>
        <v/>
      </c>
      <c r="AF70" s="6">
        <f>IFERROR($E70*VLOOKUP($D70,'原料主数据'!$A:$AN, 32, FALSE),"")</f>
        <v/>
      </c>
      <c r="AG70" s="6">
        <f>IFERROR($E70*VLOOKUP($D70,'原料主数据'!$A:$AN, 33, FALSE),"")</f>
        <v/>
      </c>
      <c r="AH70" s="6">
        <f>IFERROR($E70*VLOOKUP($D70,'原料主数据'!$A:$AN, 34, FALSE),"")</f>
        <v/>
      </c>
      <c r="AI70" s="6">
        <f>IFERROR($E70*VLOOKUP($D70,'原料主数据'!$A:$AN, 35, FALSE),"")</f>
        <v/>
      </c>
      <c r="AJ70" s="6">
        <f>IFERROR($E70*VLOOKUP($D70,'原料主数据'!$A:$AN, 36, FALSE),"")</f>
        <v/>
      </c>
      <c r="AK70" s="6">
        <f>IFERROR($E70*VLOOKUP($D70,'原料主数据'!$A:$AN, 37, FALSE),"")</f>
        <v/>
      </c>
      <c r="AL70" s="6">
        <f>IFERROR($E70*VLOOKUP($D70,'原料主数据'!$A:$AN, 38, FALSE),"")</f>
        <v/>
      </c>
      <c r="AM70" s="6">
        <f>IFERROR($E70*VLOOKUP($D70,'原料主数据'!$A:$AN, 39, FALSE),"")</f>
        <v/>
      </c>
    </row>
    <row r="71">
      <c r="A71" s="7" t="inlineStr">
        <is>
          <t>ORG-0003</t>
        </is>
      </c>
      <c r="B71" s="7" t="inlineStr">
        <is>
          <t>ORG-B</t>
        </is>
      </c>
      <c r="C71" s="7" t="inlineStr">
        <is>
          <t>有机</t>
        </is>
      </c>
      <c r="D71" s="7" t="inlineStr">
        <is>
          <t>40%50177</t>
        </is>
      </c>
      <c r="E71" s="7" t="n">
        <v>44.47</v>
      </c>
      <c r="F71" s="7">
        <f>IFERROR(VLOOKUP($D71,'原料主数据'!$A:$E,4,FALSE),"待登记")</f>
        <v/>
      </c>
      <c r="G71" s="7">
        <f>IFERROR(VLOOKUP($D71,'原料主数据'!$A:$E,5,FALSE),"待登记")</f>
        <v/>
      </c>
      <c r="H71" s="7">
        <f>IFERROR($E71*VLOOKUP($D71,'原料主数据'!$A:$AN, 8, FALSE),"")</f>
        <v/>
      </c>
      <c r="I71" s="7">
        <f>IFERROR($E71*VLOOKUP($D71,'原料主数据'!$A:$AN, 9, FALSE),"")</f>
        <v/>
      </c>
      <c r="J71" s="7">
        <f>IFERROR($E71*VLOOKUP($D71,'原料主数据'!$A:$AN, 10, FALSE),"")</f>
        <v/>
      </c>
      <c r="K71" s="7">
        <f>IFERROR($E71*VLOOKUP($D71,'原料主数据'!$A:$AN, 11, FALSE),"")</f>
        <v/>
      </c>
      <c r="L71" s="7">
        <f>IFERROR($E71*VLOOKUP($D71,'原料主数据'!$A:$AN, 12, FALSE),"")</f>
        <v/>
      </c>
      <c r="M71" s="7">
        <f>IFERROR($E71*VLOOKUP($D71,'原料主数据'!$A:$AN, 13, FALSE),"")</f>
        <v/>
      </c>
      <c r="N71" s="7">
        <f>IFERROR($E71*VLOOKUP($D71,'原料主数据'!$A:$AN, 14, FALSE),"")</f>
        <v/>
      </c>
      <c r="O71" s="7">
        <f>IFERROR($E71*VLOOKUP($D71,'原料主数据'!$A:$AN, 15, FALSE),"")</f>
        <v/>
      </c>
      <c r="P71" s="7">
        <f>IFERROR($E71*VLOOKUP($D71,'原料主数据'!$A:$AN, 16, FALSE),"")</f>
        <v/>
      </c>
      <c r="Q71" s="7">
        <f>IFERROR($E71*VLOOKUP($D71,'原料主数据'!$A:$AN, 17, FALSE),"")</f>
        <v/>
      </c>
      <c r="R71" s="7">
        <f>IFERROR($E71*VLOOKUP($D71,'原料主数据'!$A:$AN, 18, FALSE),"")</f>
        <v/>
      </c>
      <c r="S71" s="7">
        <f>IFERROR($E71*VLOOKUP($D71,'原料主数据'!$A:$AN, 19, FALSE),"")</f>
        <v/>
      </c>
      <c r="T71" s="7">
        <f>IFERROR($E71*VLOOKUP($D71,'原料主数据'!$A:$AN, 20, FALSE),"")</f>
        <v/>
      </c>
      <c r="U71" s="7">
        <f>IFERROR($E71*VLOOKUP($D71,'原料主数据'!$A:$AN, 21, FALSE),"")</f>
        <v/>
      </c>
      <c r="V71" s="7">
        <f>IFERROR($E71*VLOOKUP($D71,'原料主数据'!$A:$AN, 22, FALSE),"")</f>
        <v/>
      </c>
      <c r="W71" s="7">
        <f>IFERROR($E71*VLOOKUP($D71,'原料主数据'!$A:$AN, 23, FALSE),"")</f>
        <v/>
      </c>
      <c r="X71" s="7">
        <f>IFERROR($E71*VLOOKUP($D71,'原料主数据'!$A:$AN, 24, FALSE),"")</f>
        <v/>
      </c>
      <c r="Y71" s="7">
        <f>IFERROR($E71*VLOOKUP($D71,'原料主数据'!$A:$AN, 25, FALSE),"")</f>
        <v/>
      </c>
      <c r="Z71" s="7">
        <f>IFERROR($E71*VLOOKUP($D71,'原料主数据'!$A:$AN, 26, FALSE),"")</f>
        <v/>
      </c>
      <c r="AA71" s="7">
        <f>IFERROR($E71*VLOOKUP($D71,'原料主数据'!$A:$AN, 27, FALSE),"")</f>
        <v/>
      </c>
      <c r="AB71" s="7">
        <f>IFERROR($E71*VLOOKUP($D71,'原料主数据'!$A:$AN, 28, FALSE),"")</f>
        <v/>
      </c>
      <c r="AC71" s="7">
        <f>IFERROR($E71*VLOOKUP($D71,'原料主数据'!$A:$AN, 29, FALSE),"")</f>
        <v/>
      </c>
      <c r="AD71" s="7">
        <f>IFERROR($E71*VLOOKUP($D71,'原料主数据'!$A:$AN, 30, FALSE),"")</f>
        <v/>
      </c>
      <c r="AE71" s="7">
        <f>IFERROR($E71*VLOOKUP($D71,'原料主数据'!$A:$AN, 31, FALSE),"")</f>
        <v/>
      </c>
      <c r="AF71" s="7">
        <f>IFERROR($E71*VLOOKUP($D71,'原料主数据'!$A:$AN, 32, FALSE),"")</f>
        <v/>
      </c>
      <c r="AG71" s="7">
        <f>IFERROR($E71*VLOOKUP($D71,'原料主数据'!$A:$AN, 33, FALSE),"")</f>
        <v/>
      </c>
      <c r="AH71" s="7">
        <f>IFERROR($E71*VLOOKUP($D71,'原料主数据'!$A:$AN, 34, FALSE),"")</f>
        <v/>
      </c>
      <c r="AI71" s="7">
        <f>IFERROR($E71*VLOOKUP($D71,'原料主数据'!$A:$AN, 35, FALSE),"")</f>
        <v/>
      </c>
      <c r="AJ71" s="7">
        <f>IFERROR($E71*VLOOKUP($D71,'原料主数据'!$A:$AN, 36, FALSE),"")</f>
        <v/>
      </c>
      <c r="AK71" s="7">
        <f>IFERROR($E71*VLOOKUP($D71,'原料主数据'!$A:$AN, 37, FALSE),"")</f>
        <v/>
      </c>
      <c r="AL71" s="7">
        <f>IFERROR($E71*VLOOKUP($D71,'原料主数据'!$A:$AN, 38, FALSE),"")</f>
        <v/>
      </c>
      <c r="AM71" s="7">
        <f>IFERROR($E71*VLOOKUP($D71,'原料主数据'!$A:$AN, 39, FALSE),"")</f>
        <v/>
      </c>
    </row>
    <row r="72">
      <c r="A72" s="6" t="inlineStr">
        <is>
          <t>ORG-0003</t>
        </is>
      </c>
      <c r="B72" s="6" t="inlineStr">
        <is>
          <t>ORG-B</t>
        </is>
      </c>
      <c r="C72" s="6" t="inlineStr">
        <is>
          <t>有机</t>
        </is>
      </c>
      <c r="D72" s="6" t="inlineStr">
        <is>
          <t>RJ173M</t>
        </is>
      </c>
      <c r="E72" s="6" t="n">
        <v>37.01</v>
      </c>
      <c r="F72" s="6">
        <f>IFERROR(VLOOKUP($D72,'原料主数据'!$A:$E,4,FALSE),"待登记")</f>
        <v/>
      </c>
      <c r="G72" s="6">
        <f>IFERROR(VLOOKUP($D72,'原料主数据'!$A:$E,5,FALSE),"待登记")</f>
        <v/>
      </c>
      <c r="H72" s="6">
        <f>IFERROR($E72*VLOOKUP($D72,'原料主数据'!$A:$AN, 8, FALSE),"")</f>
        <v/>
      </c>
      <c r="I72" s="6">
        <f>IFERROR($E72*VLOOKUP($D72,'原料主数据'!$A:$AN, 9, FALSE),"")</f>
        <v/>
      </c>
      <c r="J72" s="6">
        <f>IFERROR($E72*VLOOKUP($D72,'原料主数据'!$A:$AN, 10, FALSE),"")</f>
        <v/>
      </c>
      <c r="K72" s="6">
        <f>IFERROR($E72*VLOOKUP($D72,'原料主数据'!$A:$AN, 11, FALSE),"")</f>
        <v/>
      </c>
      <c r="L72" s="6">
        <f>IFERROR($E72*VLOOKUP($D72,'原料主数据'!$A:$AN, 12, FALSE),"")</f>
        <v/>
      </c>
      <c r="M72" s="6">
        <f>IFERROR($E72*VLOOKUP($D72,'原料主数据'!$A:$AN, 13, FALSE),"")</f>
        <v/>
      </c>
      <c r="N72" s="6">
        <f>IFERROR($E72*VLOOKUP($D72,'原料主数据'!$A:$AN, 14, FALSE),"")</f>
        <v/>
      </c>
      <c r="O72" s="6">
        <f>IFERROR($E72*VLOOKUP($D72,'原料主数据'!$A:$AN, 15, FALSE),"")</f>
        <v/>
      </c>
      <c r="P72" s="6">
        <f>IFERROR($E72*VLOOKUP($D72,'原料主数据'!$A:$AN, 16, FALSE),"")</f>
        <v/>
      </c>
      <c r="Q72" s="6">
        <f>IFERROR($E72*VLOOKUP($D72,'原料主数据'!$A:$AN, 17, FALSE),"")</f>
        <v/>
      </c>
      <c r="R72" s="6">
        <f>IFERROR($E72*VLOOKUP($D72,'原料主数据'!$A:$AN, 18, FALSE),"")</f>
        <v/>
      </c>
      <c r="S72" s="6">
        <f>IFERROR($E72*VLOOKUP($D72,'原料主数据'!$A:$AN, 19, FALSE),"")</f>
        <v/>
      </c>
      <c r="T72" s="6">
        <f>IFERROR($E72*VLOOKUP($D72,'原料主数据'!$A:$AN, 20, FALSE),"")</f>
        <v/>
      </c>
      <c r="U72" s="6">
        <f>IFERROR($E72*VLOOKUP($D72,'原料主数据'!$A:$AN, 21, FALSE),"")</f>
        <v/>
      </c>
      <c r="V72" s="6">
        <f>IFERROR($E72*VLOOKUP($D72,'原料主数据'!$A:$AN, 22, FALSE),"")</f>
        <v/>
      </c>
      <c r="W72" s="6">
        <f>IFERROR($E72*VLOOKUP($D72,'原料主数据'!$A:$AN, 23, FALSE),"")</f>
        <v/>
      </c>
      <c r="X72" s="6">
        <f>IFERROR($E72*VLOOKUP($D72,'原料主数据'!$A:$AN, 24, FALSE),"")</f>
        <v/>
      </c>
      <c r="Y72" s="6">
        <f>IFERROR($E72*VLOOKUP($D72,'原料主数据'!$A:$AN, 25, FALSE),"")</f>
        <v/>
      </c>
      <c r="Z72" s="6">
        <f>IFERROR($E72*VLOOKUP($D72,'原料主数据'!$A:$AN, 26, FALSE),"")</f>
        <v/>
      </c>
      <c r="AA72" s="6">
        <f>IFERROR($E72*VLOOKUP($D72,'原料主数据'!$A:$AN, 27, FALSE),"")</f>
        <v/>
      </c>
      <c r="AB72" s="6">
        <f>IFERROR($E72*VLOOKUP($D72,'原料主数据'!$A:$AN, 28, FALSE),"")</f>
        <v/>
      </c>
      <c r="AC72" s="6">
        <f>IFERROR($E72*VLOOKUP($D72,'原料主数据'!$A:$AN, 29, FALSE),"")</f>
        <v/>
      </c>
      <c r="AD72" s="6">
        <f>IFERROR($E72*VLOOKUP($D72,'原料主数据'!$A:$AN, 30, FALSE),"")</f>
        <v/>
      </c>
      <c r="AE72" s="6">
        <f>IFERROR($E72*VLOOKUP($D72,'原料主数据'!$A:$AN, 31, FALSE),"")</f>
        <v/>
      </c>
      <c r="AF72" s="6">
        <f>IFERROR($E72*VLOOKUP($D72,'原料主数据'!$A:$AN, 32, FALSE),"")</f>
        <v/>
      </c>
      <c r="AG72" s="6">
        <f>IFERROR($E72*VLOOKUP($D72,'原料主数据'!$A:$AN, 33, FALSE),"")</f>
        <v/>
      </c>
      <c r="AH72" s="6">
        <f>IFERROR($E72*VLOOKUP($D72,'原料主数据'!$A:$AN, 34, FALSE),"")</f>
        <v/>
      </c>
      <c r="AI72" s="6">
        <f>IFERROR($E72*VLOOKUP($D72,'原料主数据'!$A:$AN, 35, FALSE),"")</f>
        <v/>
      </c>
      <c r="AJ72" s="6">
        <f>IFERROR($E72*VLOOKUP($D72,'原料主数据'!$A:$AN, 36, FALSE),"")</f>
        <v/>
      </c>
      <c r="AK72" s="6">
        <f>IFERROR($E72*VLOOKUP($D72,'原料主数据'!$A:$AN, 37, FALSE),"")</f>
        <v/>
      </c>
      <c r="AL72" s="6">
        <f>IFERROR($E72*VLOOKUP($D72,'原料主数据'!$A:$AN, 38, FALSE),"")</f>
        <v/>
      </c>
      <c r="AM72" s="6">
        <f>IFERROR($E72*VLOOKUP($D72,'原料主数据'!$A:$AN, 39, FALSE),"")</f>
        <v/>
      </c>
    </row>
    <row r="73">
      <c r="A73" s="7" t="inlineStr">
        <is>
          <t>PES-0001</t>
        </is>
      </c>
      <c r="B73" s="7" t="inlineStr">
        <is>
          <t>PES-A</t>
        </is>
      </c>
      <c r="C73" s="7" t="inlineStr">
        <is>
          <t>聚酯</t>
        </is>
      </c>
      <c r="D73" s="7" t="inlineStr">
        <is>
          <t>RJ173M</t>
        </is>
      </c>
      <c r="E73" s="7" t="n">
        <v>37.01</v>
      </c>
      <c r="F73" s="7">
        <f>IFERROR(VLOOKUP($D73,'原料主数据'!$A:$E,4,FALSE),"待登记")</f>
        <v/>
      </c>
      <c r="G73" s="7">
        <f>IFERROR(VLOOKUP($D73,'原料主数据'!$A:$E,5,FALSE),"待登记")</f>
        <v/>
      </c>
      <c r="H73" s="7">
        <f>IFERROR($E73*VLOOKUP($D73,'原料主数据'!$A:$AN, 8, FALSE),"")</f>
        <v/>
      </c>
      <c r="I73" s="7">
        <f>IFERROR($E73*VLOOKUP($D73,'原料主数据'!$A:$AN, 9, FALSE),"")</f>
        <v/>
      </c>
      <c r="J73" s="7">
        <f>IFERROR($E73*VLOOKUP($D73,'原料主数据'!$A:$AN, 10, FALSE),"")</f>
        <v/>
      </c>
      <c r="K73" s="7">
        <f>IFERROR($E73*VLOOKUP($D73,'原料主数据'!$A:$AN, 11, FALSE),"")</f>
        <v/>
      </c>
      <c r="L73" s="7">
        <f>IFERROR($E73*VLOOKUP($D73,'原料主数据'!$A:$AN, 12, FALSE),"")</f>
        <v/>
      </c>
      <c r="M73" s="7">
        <f>IFERROR($E73*VLOOKUP($D73,'原料主数据'!$A:$AN, 13, FALSE),"")</f>
        <v/>
      </c>
      <c r="N73" s="7">
        <f>IFERROR($E73*VLOOKUP($D73,'原料主数据'!$A:$AN, 14, FALSE),"")</f>
        <v/>
      </c>
      <c r="O73" s="7">
        <f>IFERROR($E73*VLOOKUP($D73,'原料主数据'!$A:$AN, 15, FALSE),"")</f>
        <v/>
      </c>
      <c r="P73" s="7">
        <f>IFERROR($E73*VLOOKUP($D73,'原料主数据'!$A:$AN, 16, FALSE),"")</f>
        <v/>
      </c>
      <c r="Q73" s="7">
        <f>IFERROR($E73*VLOOKUP($D73,'原料主数据'!$A:$AN, 17, FALSE),"")</f>
        <v/>
      </c>
      <c r="R73" s="7">
        <f>IFERROR($E73*VLOOKUP($D73,'原料主数据'!$A:$AN, 18, FALSE),"")</f>
        <v/>
      </c>
      <c r="S73" s="7">
        <f>IFERROR($E73*VLOOKUP($D73,'原料主数据'!$A:$AN, 19, FALSE),"")</f>
        <v/>
      </c>
      <c r="T73" s="7">
        <f>IFERROR($E73*VLOOKUP($D73,'原料主数据'!$A:$AN, 20, FALSE),"")</f>
        <v/>
      </c>
      <c r="U73" s="7">
        <f>IFERROR($E73*VLOOKUP($D73,'原料主数据'!$A:$AN, 21, FALSE),"")</f>
        <v/>
      </c>
      <c r="V73" s="7">
        <f>IFERROR($E73*VLOOKUP($D73,'原料主数据'!$A:$AN, 22, FALSE),"")</f>
        <v/>
      </c>
      <c r="W73" s="7">
        <f>IFERROR($E73*VLOOKUP($D73,'原料主数据'!$A:$AN, 23, FALSE),"")</f>
        <v/>
      </c>
      <c r="X73" s="7">
        <f>IFERROR($E73*VLOOKUP($D73,'原料主数据'!$A:$AN, 24, FALSE),"")</f>
        <v/>
      </c>
      <c r="Y73" s="7">
        <f>IFERROR($E73*VLOOKUP($D73,'原料主数据'!$A:$AN, 25, FALSE),"")</f>
        <v/>
      </c>
      <c r="Z73" s="7">
        <f>IFERROR($E73*VLOOKUP($D73,'原料主数据'!$A:$AN, 26, FALSE),"")</f>
        <v/>
      </c>
      <c r="AA73" s="7">
        <f>IFERROR($E73*VLOOKUP($D73,'原料主数据'!$A:$AN, 27, FALSE),"")</f>
        <v/>
      </c>
      <c r="AB73" s="7">
        <f>IFERROR($E73*VLOOKUP($D73,'原料主数据'!$A:$AN, 28, FALSE),"")</f>
        <v/>
      </c>
      <c r="AC73" s="7">
        <f>IFERROR($E73*VLOOKUP($D73,'原料主数据'!$A:$AN, 29, FALSE),"")</f>
        <v/>
      </c>
      <c r="AD73" s="7">
        <f>IFERROR($E73*VLOOKUP($D73,'原料主数据'!$A:$AN, 30, FALSE),"")</f>
        <v/>
      </c>
      <c r="AE73" s="7">
        <f>IFERROR($E73*VLOOKUP($D73,'原料主数据'!$A:$AN, 31, FALSE),"")</f>
        <v/>
      </c>
      <c r="AF73" s="7">
        <f>IFERROR($E73*VLOOKUP($D73,'原料主数据'!$A:$AN, 32, FALSE),"")</f>
        <v/>
      </c>
      <c r="AG73" s="7">
        <f>IFERROR($E73*VLOOKUP($D73,'原料主数据'!$A:$AN, 33, FALSE),"")</f>
        <v/>
      </c>
      <c r="AH73" s="7">
        <f>IFERROR($E73*VLOOKUP($D73,'原料主数据'!$A:$AN, 34, FALSE),"")</f>
        <v/>
      </c>
      <c r="AI73" s="7">
        <f>IFERROR($E73*VLOOKUP($D73,'原料主数据'!$A:$AN, 35, FALSE),"")</f>
        <v/>
      </c>
      <c r="AJ73" s="7">
        <f>IFERROR($E73*VLOOKUP($D73,'原料主数据'!$A:$AN, 36, FALSE),"")</f>
        <v/>
      </c>
      <c r="AK73" s="7">
        <f>IFERROR($E73*VLOOKUP($D73,'原料主数据'!$A:$AN, 37, FALSE),"")</f>
        <v/>
      </c>
      <c r="AL73" s="7">
        <f>IFERROR($E73*VLOOKUP($D73,'原料主数据'!$A:$AN, 38, FALSE),"")</f>
        <v/>
      </c>
      <c r="AM73" s="7">
        <f>IFERROR($E73*VLOOKUP($D73,'原料主数据'!$A:$AN, 39, FALSE),"")</f>
        <v/>
      </c>
    </row>
    <row r="74">
      <c r="A74" s="6" t="inlineStr">
        <is>
          <t>PES-0001</t>
        </is>
      </c>
      <c r="B74" s="6" t="inlineStr">
        <is>
          <t>PES-A</t>
        </is>
      </c>
      <c r="C74" s="6" t="inlineStr">
        <is>
          <t>聚酯</t>
        </is>
      </c>
      <c r="D74" s="6" t="inlineStr">
        <is>
          <t>RJ561</t>
        </is>
      </c>
      <c r="E74" s="6" t="n">
        <v>28.2</v>
      </c>
      <c r="F74" s="6">
        <f>IFERROR(VLOOKUP($D74,'原料主数据'!$A:$E,4,FALSE),"待登记")</f>
        <v/>
      </c>
      <c r="G74" s="6">
        <f>IFERROR(VLOOKUP($D74,'原料主数据'!$A:$E,5,FALSE),"待登记")</f>
        <v/>
      </c>
      <c r="H74" s="6">
        <f>IFERROR($E74*VLOOKUP($D74,'原料主数据'!$A:$AN, 8, FALSE),"")</f>
        <v/>
      </c>
      <c r="I74" s="6">
        <f>IFERROR($E74*VLOOKUP($D74,'原料主数据'!$A:$AN, 9, FALSE),"")</f>
        <v/>
      </c>
      <c r="J74" s="6">
        <f>IFERROR($E74*VLOOKUP($D74,'原料主数据'!$A:$AN, 10, FALSE),"")</f>
        <v/>
      </c>
      <c r="K74" s="6">
        <f>IFERROR($E74*VLOOKUP($D74,'原料主数据'!$A:$AN, 11, FALSE),"")</f>
        <v/>
      </c>
      <c r="L74" s="6">
        <f>IFERROR($E74*VLOOKUP($D74,'原料主数据'!$A:$AN, 12, FALSE),"")</f>
        <v/>
      </c>
      <c r="M74" s="6">
        <f>IFERROR($E74*VLOOKUP($D74,'原料主数据'!$A:$AN, 13, FALSE),"")</f>
        <v/>
      </c>
      <c r="N74" s="6">
        <f>IFERROR($E74*VLOOKUP($D74,'原料主数据'!$A:$AN, 14, FALSE),"")</f>
        <v/>
      </c>
      <c r="O74" s="6">
        <f>IFERROR($E74*VLOOKUP($D74,'原料主数据'!$A:$AN, 15, FALSE),"")</f>
        <v/>
      </c>
      <c r="P74" s="6">
        <f>IFERROR($E74*VLOOKUP($D74,'原料主数据'!$A:$AN, 16, FALSE),"")</f>
        <v/>
      </c>
      <c r="Q74" s="6">
        <f>IFERROR($E74*VLOOKUP($D74,'原料主数据'!$A:$AN, 17, FALSE),"")</f>
        <v/>
      </c>
      <c r="R74" s="6">
        <f>IFERROR($E74*VLOOKUP($D74,'原料主数据'!$A:$AN, 18, FALSE),"")</f>
        <v/>
      </c>
      <c r="S74" s="6">
        <f>IFERROR($E74*VLOOKUP($D74,'原料主数据'!$A:$AN, 19, FALSE),"")</f>
        <v/>
      </c>
      <c r="T74" s="6">
        <f>IFERROR($E74*VLOOKUP($D74,'原料主数据'!$A:$AN, 20, FALSE),"")</f>
        <v/>
      </c>
      <c r="U74" s="6">
        <f>IFERROR($E74*VLOOKUP($D74,'原料主数据'!$A:$AN, 21, FALSE),"")</f>
        <v/>
      </c>
      <c r="V74" s="6">
        <f>IFERROR($E74*VLOOKUP($D74,'原料主数据'!$A:$AN, 22, FALSE),"")</f>
        <v/>
      </c>
      <c r="W74" s="6">
        <f>IFERROR($E74*VLOOKUP($D74,'原料主数据'!$A:$AN, 23, FALSE),"")</f>
        <v/>
      </c>
      <c r="X74" s="6">
        <f>IFERROR($E74*VLOOKUP($D74,'原料主数据'!$A:$AN, 24, FALSE),"")</f>
        <v/>
      </c>
      <c r="Y74" s="6">
        <f>IFERROR($E74*VLOOKUP($D74,'原料主数据'!$A:$AN, 25, FALSE),"")</f>
        <v/>
      </c>
      <c r="Z74" s="6">
        <f>IFERROR($E74*VLOOKUP($D74,'原料主数据'!$A:$AN, 26, FALSE),"")</f>
        <v/>
      </c>
      <c r="AA74" s="6">
        <f>IFERROR($E74*VLOOKUP($D74,'原料主数据'!$A:$AN, 27, FALSE),"")</f>
        <v/>
      </c>
      <c r="AB74" s="6">
        <f>IFERROR($E74*VLOOKUP($D74,'原料主数据'!$A:$AN, 28, FALSE),"")</f>
        <v/>
      </c>
      <c r="AC74" s="6">
        <f>IFERROR($E74*VLOOKUP($D74,'原料主数据'!$A:$AN, 29, FALSE),"")</f>
        <v/>
      </c>
      <c r="AD74" s="6">
        <f>IFERROR($E74*VLOOKUP($D74,'原料主数据'!$A:$AN, 30, FALSE),"")</f>
        <v/>
      </c>
      <c r="AE74" s="6">
        <f>IFERROR($E74*VLOOKUP($D74,'原料主数据'!$A:$AN, 31, FALSE),"")</f>
        <v/>
      </c>
      <c r="AF74" s="6">
        <f>IFERROR($E74*VLOOKUP($D74,'原料主数据'!$A:$AN, 32, FALSE),"")</f>
        <v/>
      </c>
      <c r="AG74" s="6">
        <f>IFERROR($E74*VLOOKUP($D74,'原料主数据'!$A:$AN, 33, FALSE),"")</f>
        <v/>
      </c>
      <c r="AH74" s="6">
        <f>IFERROR($E74*VLOOKUP($D74,'原料主数据'!$A:$AN, 34, FALSE),"")</f>
        <v/>
      </c>
      <c r="AI74" s="6">
        <f>IFERROR($E74*VLOOKUP($D74,'原料主数据'!$A:$AN, 35, FALSE),"")</f>
        <v/>
      </c>
      <c r="AJ74" s="6">
        <f>IFERROR($E74*VLOOKUP($D74,'原料主数据'!$A:$AN, 36, FALSE),"")</f>
        <v/>
      </c>
      <c r="AK74" s="6">
        <f>IFERROR($E74*VLOOKUP($D74,'原料主数据'!$A:$AN, 37, FALSE),"")</f>
        <v/>
      </c>
      <c r="AL74" s="6">
        <f>IFERROR($E74*VLOOKUP($D74,'原料主数据'!$A:$AN, 38, FALSE),"")</f>
        <v/>
      </c>
      <c r="AM74" s="6">
        <f>IFERROR($E74*VLOOKUP($D74,'原料主数据'!$A:$AN, 39, FALSE),"")</f>
        <v/>
      </c>
    </row>
    <row r="75">
      <c r="A75" s="7" t="inlineStr">
        <is>
          <t>PES-0001</t>
        </is>
      </c>
      <c r="B75" s="7" t="inlineStr">
        <is>
          <t>PES-A</t>
        </is>
      </c>
      <c r="C75" s="7" t="inlineStr">
        <is>
          <t>聚酯</t>
        </is>
      </c>
      <c r="D75" s="7" t="inlineStr">
        <is>
          <t>RF950</t>
        </is>
      </c>
      <c r="E75" s="7" t="n">
        <v>5</v>
      </c>
      <c r="F75" s="7">
        <f>IFERROR(VLOOKUP($D75,'原料主数据'!$A:$E,4,FALSE),"待登记")</f>
        <v/>
      </c>
      <c r="G75" s="7">
        <f>IFERROR(VLOOKUP($D75,'原料主数据'!$A:$E,5,FALSE),"待登记")</f>
        <v/>
      </c>
      <c r="H75" s="7">
        <f>IFERROR($E75*VLOOKUP($D75,'原料主数据'!$A:$AN, 8, FALSE),"")</f>
        <v/>
      </c>
      <c r="I75" s="7">
        <f>IFERROR($E75*VLOOKUP($D75,'原料主数据'!$A:$AN, 9, FALSE),"")</f>
        <v/>
      </c>
      <c r="J75" s="7">
        <f>IFERROR($E75*VLOOKUP($D75,'原料主数据'!$A:$AN, 10, FALSE),"")</f>
        <v/>
      </c>
      <c r="K75" s="7">
        <f>IFERROR($E75*VLOOKUP($D75,'原料主数据'!$A:$AN, 11, FALSE),"")</f>
        <v/>
      </c>
      <c r="L75" s="7">
        <f>IFERROR($E75*VLOOKUP($D75,'原料主数据'!$A:$AN, 12, FALSE),"")</f>
        <v/>
      </c>
      <c r="M75" s="7">
        <f>IFERROR($E75*VLOOKUP($D75,'原料主数据'!$A:$AN, 13, FALSE),"")</f>
        <v/>
      </c>
      <c r="N75" s="7">
        <f>IFERROR($E75*VLOOKUP($D75,'原料主数据'!$A:$AN, 14, FALSE),"")</f>
        <v/>
      </c>
      <c r="O75" s="7">
        <f>IFERROR($E75*VLOOKUP($D75,'原料主数据'!$A:$AN, 15, FALSE),"")</f>
        <v/>
      </c>
      <c r="P75" s="7">
        <f>IFERROR($E75*VLOOKUP($D75,'原料主数据'!$A:$AN, 16, FALSE),"")</f>
        <v/>
      </c>
      <c r="Q75" s="7">
        <f>IFERROR($E75*VLOOKUP($D75,'原料主数据'!$A:$AN, 17, FALSE),"")</f>
        <v/>
      </c>
      <c r="R75" s="7">
        <f>IFERROR($E75*VLOOKUP($D75,'原料主数据'!$A:$AN, 18, FALSE),"")</f>
        <v/>
      </c>
      <c r="S75" s="7">
        <f>IFERROR($E75*VLOOKUP($D75,'原料主数据'!$A:$AN, 19, FALSE),"")</f>
        <v/>
      </c>
      <c r="T75" s="7">
        <f>IFERROR($E75*VLOOKUP($D75,'原料主数据'!$A:$AN, 20, FALSE),"")</f>
        <v/>
      </c>
      <c r="U75" s="7">
        <f>IFERROR($E75*VLOOKUP($D75,'原料主数据'!$A:$AN, 21, FALSE),"")</f>
        <v/>
      </c>
      <c r="V75" s="7">
        <f>IFERROR($E75*VLOOKUP($D75,'原料主数据'!$A:$AN, 22, FALSE),"")</f>
        <v/>
      </c>
      <c r="W75" s="7">
        <f>IFERROR($E75*VLOOKUP($D75,'原料主数据'!$A:$AN, 23, FALSE),"")</f>
        <v/>
      </c>
      <c r="X75" s="7">
        <f>IFERROR($E75*VLOOKUP($D75,'原料主数据'!$A:$AN, 24, FALSE),"")</f>
        <v/>
      </c>
      <c r="Y75" s="7">
        <f>IFERROR($E75*VLOOKUP($D75,'原料主数据'!$A:$AN, 25, FALSE),"")</f>
        <v/>
      </c>
      <c r="Z75" s="7">
        <f>IFERROR($E75*VLOOKUP($D75,'原料主数据'!$A:$AN, 26, FALSE),"")</f>
        <v/>
      </c>
      <c r="AA75" s="7">
        <f>IFERROR($E75*VLOOKUP($D75,'原料主数据'!$A:$AN, 27, FALSE),"")</f>
        <v/>
      </c>
      <c r="AB75" s="7">
        <f>IFERROR($E75*VLOOKUP($D75,'原料主数据'!$A:$AN, 28, FALSE),"")</f>
        <v/>
      </c>
      <c r="AC75" s="7">
        <f>IFERROR($E75*VLOOKUP($D75,'原料主数据'!$A:$AN, 29, FALSE),"")</f>
        <v/>
      </c>
      <c r="AD75" s="7">
        <f>IFERROR($E75*VLOOKUP($D75,'原料主数据'!$A:$AN, 30, FALSE),"")</f>
        <v/>
      </c>
      <c r="AE75" s="7">
        <f>IFERROR($E75*VLOOKUP($D75,'原料主数据'!$A:$AN, 31, FALSE),"")</f>
        <v/>
      </c>
      <c r="AF75" s="7">
        <f>IFERROR($E75*VLOOKUP($D75,'原料主数据'!$A:$AN, 32, FALSE),"")</f>
        <v/>
      </c>
      <c r="AG75" s="7">
        <f>IFERROR($E75*VLOOKUP($D75,'原料主数据'!$A:$AN, 33, FALSE),"")</f>
        <v/>
      </c>
      <c r="AH75" s="7">
        <f>IFERROR($E75*VLOOKUP($D75,'原料主数据'!$A:$AN, 34, FALSE),"")</f>
        <v/>
      </c>
      <c r="AI75" s="7">
        <f>IFERROR($E75*VLOOKUP($D75,'原料主数据'!$A:$AN, 35, FALSE),"")</f>
        <v/>
      </c>
      <c r="AJ75" s="7">
        <f>IFERROR($E75*VLOOKUP($D75,'原料主数据'!$A:$AN, 36, FALSE),"")</f>
        <v/>
      </c>
      <c r="AK75" s="7">
        <f>IFERROR($E75*VLOOKUP($D75,'原料主数据'!$A:$AN, 37, FALSE),"")</f>
        <v/>
      </c>
      <c r="AL75" s="7">
        <f>IFERROR($E75*VLOOKUP($D75,'原料主数据'!$A:$AN, 38, FALSE),"")</f>
        <v/>
      </c>
      <c r="AM75" s="7">
        <f>IFERROR($E75*VLOOKUP($D75,'原料主数据'!$A:$AN, 39, FALSE),"")</f>
        <v/>
      </c>
    </row>
    <row r="76">
      <c r="A76" s="6" t="inlineStr">
        <is>
          <t>PES-0001</t>
        </is>
      </c>
      <c r="B76" s="6" t="inlineStr">
        <is>
          <t>PES-A</t>
        </is>
      </c>
      <c r="C76" s="6" t="inlineStr">
        <is>
          <t>聚酯</t>
        </is>
      </c>
      <c r="D76" s="6" t="inlineStr">
        <is>
          <t>RY460</t>
        </is>
      </c>
      <c r="E76" s="6" t="n">
        <v>5</v>
      </c>
      <c r="F76" s="6">
        <f>IFERROR(VLOOKUP($D76,'原料主数据'!$A:$E,4,FALSE),"待登记")</f>
        <v/>
      </c>
      <c r="G76" s="6">
        <f>IFERROR(VLOOKUP($D76,'原料主数据'!$A:$E,5,FALSE),"待登记")</f>
        <v/>
      </c>
      <c r="H76" s="6">
        <f>IFERROR($E76*VLOOKUP($D76,'原料主数据'!$A:$AN, 8, FALSE),"")</f>
        <v/>
      </c>
      <c r="I76" s="6">
        <f>IFERROR($E76*VLOOKUP($D76,'原料主数据'!$A:$AN, 9, FALSE),"")</f>
        <v/>
      </c>
      <c r="J76" s="6">
        <f>IFERROR($E76*VLOOKUP($D76,'原料主数据'!$A:$AN, 10, FALSE),"")</f>
        <v/>
      </c>
      <c r="K76" s="6">
        <f>IFERROR($E76*VLOOKUP($D76,'原料主数据'!$A:$AN, 11, FALSE),"")</f>
        <v/>
      </c>
      <c r="L76" s="6">
        <f>IFERROR($E76*VLOOKUP($D76,'原料主数据'!$A:$AN, 12, FALSE),"")</f>
        <v/>
      </c>
      <c r="M76" s="6">
        <f>IFERROR($E76*VLOOKUP($D76,'原料主数据'!$A:$AN, 13, FALSE),"")</f>
        <v/>
      </c>
      <c r="N76" s="6">
        <f>IFERROR($E76*VLOOKUP($D76,'原料主数据'!$A:$AN, 14, FALSE),"")</f>
        <v/>
      </c>
      <c r="O76" s="6">
        <f>IFERROR($E76*VLOOKUP($D76,'原料主数据'!$A:$AN, 15, FALSE),"")</f>
        <v/>
      </c>
      <c r="P76" s="6">
        <f>IFERROR($E76*VLOOKUP($D76,'原料主数据'!$A:$AN, 16, FALSE),"")</f>
        <v/>
      </c>
      <c r="Q76" s="6">
        <f>IFERROR($E76*VLOOKUP($D76,'原料主数据'!$A:$AN, 17, FALSE),"")</f>
        <v/>
      </c>
      <c r="R76" s="6">
        <f>IFERROR($E76*VLOOKUP($D76,'原料主数据'!$A:$AN, 18, FALSE),"")</f>
        <v/>
      </c>
      <c r="S76" s="6">
        <f>IFERROR($E76*VLOOKUP($D76,'原料主数据'!$A:$AN, 19, FALSE),"")</f>
        <v/>
      </c>
      <c r="T76" s="6">
        <f>IFERROR($E76*VLOOKUP($D76,'原料主数据'!$A:$AN, 20, FALSE),"")</f>
        <v/>
      </c>
      <c r="U76" s="6">
        <f>IFERROR($E76*VLOOKUP($D76,'原料主数据'!$A:$AN, 21, FALSE),"")</f>
        <v/>
      </c>
      <c r="V76" s="6">
        <f>IFERROR($E76*VLOOKUP($D76,'原料主数据'!$A:$AN, 22, FALSE),"")</f>
        <v/>
      </c>
      <c r="W76" s="6">
        <f>IFERROR($E76*VLOOKUP($D76,'原料主数据'!$A:$AN, 23, FALSE),"")</f>
        <v/>
      </c>
      <c r="X76" s="6">
        <f>IFERROR($E76*VLOOKUP($D76,'原料主数据'!$A:$AN, 24, FALSE),"")</f>
        <v/>
      </c>
      <c r="Y76" s="6">
        <f>IFERROR($E76*VLOOKUP($D76,'原料主数据'!$A:$AN, 25, FALSE),"")</f>
        <v/>
      </c>
      <c r="Z76" s="6">
        <f>IFERROR($E76*VLOOKUP($D76,'原料主数据'!$A:$AN, 26, FALSE),"")</f>
        <v/>
      </c>
      <c r="AA76" s="6">
        <f>IFERROR($E76*VLOOKUP($D76,'原料主数据'!$A:$AN, 27, FALSE),"")</f>
        <v/>
      </c>
      <c r="AB76" s="6">
        <f>IFERROR($E76*VLOOKUP($D76,'原料主数据'!$A:$AN, 28, FALSE),"")</f>
        <v/>
      </c>
      <c r="AC76" s="6">
        <f>IFERROR($E76*VLOOKUP($D76,'原料主数据'!$A:$AN, 29, FALSE),"")</f>
        <v/>
      </c>
      <c r="AD76" s="6">
        <f>IFERROR($E76*VLOOKUP($D76,'原料主数据'!$A:$AN, 30, FALSE),"")</f>
        <v/>
      </c>
      <c r="AE76" s="6">
        <f>IFERROR($E76*VLOOKUP($D76,'原料主数据'!$A:$AN, 31, FALSE),"")</f>
        <v/>
      </c>
      <c r="AF76" s="6">
        <f>IFERROR($E76*VLOOKUP($D76,'原料主数据'!$A:$AN, 32, FALSE),"")</f>
        <v/>
      </c>
      <c r="AG76" s="6">
        <f>IFERROR($E76*VLOOKUP($D76,'原料主数据'!$A:$AN, 33, FALSE),"")</f>
        <v/>
      </c>
      <c r="AH76" s="6">
        <f>IFERROR($E76*VLOOKUP($D76,'原料主数据'!$A:$AN, 34, FALSE),"")</f>
        <v/>
      </c>
      <c r="AI76" s="6">
        <f>IFERROR($E76*VLOOKUP($D76,'原料主数据'!$A:$AN, 35, FALSE),"")</f>
        <v/>
      </c>
      <c r="AJ76" s="6">
        <f>IFERROR($E76*VLOOKUP($D76,'原料主数据'!$A:$AN, 36, FALSE),"")</f>
        <v/>
      </c>
      <c r="AK76" s="6">
        <f>IFERROR($E76*VLOOKUP($D76,'原料主数据'!$A:$AN, 37, FALSE),"")</f>
        <v/>
      </c>
      <c r="AL76" s="6">
        <f>IFERROR($E76*VLOOKUP($D76,'原料主数据'!$A:$AN, 38, FALSE),"")</f>
        <v/>
      </c>
      <c r="AM76" s="6">
        <f>IFERROR($E76*VLOOKUP($D76,'原料主数据'!$A:$AN, 39, FALSE),"")</f>
        <v/>
      </c>
    </row>
    <row r="77">
      <c r="A77" s="7" t="inlineStr">
        <is>
          <t>PES-0001</t>
        </is>
      </c>
      <c r="B77" s="7" t="inlineStr">
        <is>
          <t>PES-A</t>
        </is>
      </c>
      <c r="C77" s="7" t="inlineStr">
        <is>
          <t>聚酯</t>
        </is>
      </c>
      <c r="D77" s="7" t="inlineStr">
        <is>
          <t>AC040</t>
        </is>
      </c>
      <c r="E77" s="7" t="n">
        <v>0.15</v>
      </c>
      <c r="F77" s="7">
        <f>IFERROR(VLOOKUP($D77,'原料主数据'!$A:$E,4,FALSE),"待登记")</f>
        <v/>
      </c>
      <c r="G77" s="7">
        <f>IFERROR(VLOOKUP($D77,'原料主数据'!$A:$E,5,FALSE),"待登记")</f>
        <v/>
      </c>
      <c r="H77" s="7">
        <f>IFERROR($E77*VLOOKUP($D77,'原料主数据'!$A:$AN, 8, FALSE),"")</f>
        <v/>
      </c>
      <c r="I77" s="7">
        <f>IFERROR($E77*VLOOKUP($D77,'原料主数据'!$A:$AN, 9, FALSE),"")</f>
        <v/>
      </c>
      <c r="J77" s="7">
        <f>IFERROR($E77*VLOOKUP($D77,'原料主数据'!$A:$AN, 10, FALSE),"")</f>
        <v/>
      </c>
      <c r="K77" s="7">
        <f>IFERROR($E77*VLOOKUP($D77,'原料主数据'!$A:$AN, 11, FALSE),"")</f>
        <v/>
      </c>
      <c r="L77" s="7">
        <f>IFERROR($E77*VLOOKUP($D77,'原料主数据'!$A:$AN, 12, FALSE),"")</f>
        <v/>
      </c>
      <c r="M77" s="7">
        <f>IFERROR($E77*VLOOKUP($D77,'原料主数据'!$A:$AN, 13, FALSE),"")</f>
        <v/>
      </c>
      <c r="N77" s="7">
        <f>IFERROR($E77*VLOOKUP($D77,'原料主数据'!$A:$AN, 14, FALSE),"")</f>
        <v/>
      </c>
      <c r="O77" s="7">
        <f>IFERROR($E77*VLOOKUP($D77,'原料主数据'!$A:$AN, 15, FALSE),"")</f>
        <v/>
      </c>
      <c r="P77" s="7">
        <f>IFERROR($E77*VLOOKUP($D77,'原料主数据'!$A:$AN, 16, FALSE),"")</f>
        <v/>
      </c>
      <c r="Q77" s="7">
        <f>IFERROR($E77*VLOOKUP($D77,'原料主数据'!$A:$AN, 17, FALSE),"")</f>
        <v/>
      </c>
      <c r="R77" s="7">
        <f>IFERROR($E77*VLOOKUP($D77,'原料主数据'!$A:$AN, 18, FALSE),"")</f>
        <v/>
      </c>
      <c r="S77" s="7">
        <f>IFERROR($E77*VLOOKUP($D77,'原料主数据'!$A:$AN, 19, FALSE),"")</f>
        <v/>
      </c>
      <c r="T77" s="7">
        <f>IFERROR($E77*VLOOKUP($D77,'原料主数据'!$A:$AN, 20, FALSE),"")</f>
        <v/>
      </c>
      <c r="U77" s="7">
        <f>IFERROR($E77*VLOOKUP($D77,'原料主数据'!$A:$AN, 21, FALSE),"")</f>
        <v/>
      </c>
      <c r="V77" s="7">
        <f>IFERROR($E77*VLOOKUP($D77,'原料主数据'!$A:$AN, 22, FALSE),"")</f>
        <v/>
      </c>
      <c r="W77" s="7">
        <f>IFERROR($E77*VLOOKUP($D77,'原料主数据'!$A:$AN, 23, FALSE),"")</f>
        <v/>
      </c>
      <c r="X77" s="7">
        <f>IFERROR($E77*VLOOKUP($D77,'原料主数据'!$A:$AN, 24, FALSE),"")</f>
        <v/>
      </c>
      <c r="Y77" s="7">
        <f>IFERROR($E77*VLOOKUP($D77,'原料主数据'!$A:$AN, 25, FALSE),"")</f>
        <v/>
      </c>
      <c r="Z77" s="7">
        <f>IFERROR($E77*VLOOKUP($D77,'原料主数据'!$A:$AN, 26, FALSE),"")</f>
        <v/>
      </c>
      <c r="AA77" s="7">
        <f>IFERROR($E77*VLOOKUP($D77,'原料主数据'!$A:$AN, 27, FALSE),"")</f>
        <v/>
      </c>
      <c r="AB77" s="7">
        <f>IFERROR($E77*VLOOKUP($D77,'原料主数据'!$A:$AN, 28, FALSE),"")</f>
        <v/>
      </c>
      <c r="AC77" s="7">
        <f>IFERROR($E77*VLOOKUP($D77,'原料主数据'!$A:$AN, 29, FALSE),"")</f>
        <v/>
      </c>
      <c r="AD77" s="7">
        <f>IFERROR($E77*VLOOKUP($D77,'原料主数据'!$A:$AN, 30, FALSE),"")</f>
        <v/>
      </c>
      <c r="AE77" s="7">
        <f>IFERROR($E77*VLOOKUP($D77,'原料主数据'!$A:$AN, 31, FALSE),"")</f>
        <v/>
      </c>
      <c r="AF77" s="7">
        <f>IFERROR($E77*VLOOKUP($D77,'原料主数据'!$A:$AN, 32, FALSE),"")</f>
        <v/>
      </c>
      <c r="AG77" s="7">
        <f>IFERROR($E77*VLOOKUP($D77,'原料主数据'!$A:$AN, 33, FALSE),"")</f>
        <v/>
      </c>
      <c r="AH77" s="7">
        <f>IFERROR($E77*VLOOKUP($D77,'原料主数据'!$A:$AN, 34, FALSE),"")</f>
        <v/>
      </c>
      <c r="AI77" s="7">
        <f>IFERROR($E77*VLOOKUP($D77,'原料主数据'!$A:$AN, 35, FALSE),"")</f>
        <v/>
      </c>
      <c r="AJ77" s="7">
        <f>IFERROR($E77*VLOOKUP($D77,'原料主数据'!$A:$AN, 36, FALSE),"")</f>
        <v/>
      </c>
      <c r="AK77" s="7">
        <f>IFERROR($E77*VLOOKUP($D77,'原料主数据'!$A:$AN, 37, FALSE),"")</f>
        <v/>
      </c>
      <c r="AL77" s="7">
        <f>IFERROR($E77*VLOOKUP($D77,'原料主数据'!$A:$AN, 38, FALSE),"")</f>
        <v/>
      </c>
      <c r="AM77" s="7">
        <f>IFERROR($E77*VLOOKUP($D77,'原料主数据'!$A:$AN, 39, FALSE),"")</f>
        <v/>
      </c>
    </row>
    <row r="78">
      <c r="A78" s="6" t="inlineStr">
        <is>
          <t>PES-0001</t>
        </is>
      </c>
      <c r="B78" s="6" t="inlineStr">
        <is>
          <t>PES-A</t>
        </is>
      </c>
      <c r="C78" s="6" t="inlineStr">
        <is>
          <t>聚酯</t>
        </is>
      </c>
      <c r="D78" s="6" t="inlineStr">
        <is>
          <t>TF100</t>
        </is>
      </c>
      <c r="E78" s="6" t="n">
        <v>3.35</v>
      </c>
      <c r="F78" s="6">
        <f>IFERROR(VLOOKUP($D78,'原料主数据'!$A:$E,4,FALSE),"待登记")</f>
        <v/>
      </c>
      <c r="G78" s="6">
        <f>IFERROR(VLOOKUP($D78,'原料主数据'!$A:$E,5,FALSE),"待登记")</f>
        <v/>
      </c>
      <c r="H78" s="6">
        <f>IFERROR($E78*VLOOKUP($D78,'原料主数据'!$A:$AN, 8, FALSE),"")</f>
        <v/>
      </c>
      <c r="I78" s="6">
        <f>IFERROR($E78*VLOOKUP($D78,'原料主数据'!$A:$AN, 9, FALSE),"")</f>
        <v/>
      </c>
      <c r="J78" s="6">
        <f>IFERROR($E78*VLOOKUP($D78,'原料主数据'!$A:$AN, 10, FALSE),"")</f>
        <v/>
      </c>
      <c r="K78" s="6">
        <f>IFERROR($E78*VLOOKUP($D78,'原料主数据'!$A:$AN, 11, FALSE),"")</f>
        <v/>
      </c>
      <c r="L78" s="6">
        <f>IFERROR($E78*VLOOKUP($D78,'原料主数据'!$A:$AN, 12, FALSE),"")</f>
        <v/>
      </c>
      <c r="M78" s="6">
        <f>IFERROR($E78*VLOOKUP($D78,'原料主数据'!$A:$AN, 13, FALSE),"")</f>
        <v/>
      </c>
      <c r="N78" s="6">
        <f>IFERROR($E78*VLOOKUP($D78,'原料主数据'!$A:$AN, 14, FALSE),"")</f>
        <v/>
      </c>
      <c r="O78" s="6">
        <f>IFERROR($E78*VLOOKUP($D78,'原料主数据'!$A:$AN, 15, FALSE),"")</f>
        <v/>
      </c>
      <c r="P78" s="6">
        <f>IFERROR($E78*VLOOKUP($D78,'原料主数据'!$A:$AN, 16, FALSE),"")</f>
        <v/>
      </c>
      <c r="Q78" s="6">
        <f>IFERROR($E78*VLOOKUP($D78,'原料主数据'!$A:$AN, 17, FALSE),"")</f>
        <v/>
      </c>
      <c r="R78" s="6">
        <f>IFERROR($E78*VLOOKUP($D78,'原料主数据'!$A:$AN, 18, FALSE),"")</f>
        <v/>
      </c>
      <c r="S78" s="6">
        <f>IFERROR($E78*VLOOKUP($D78,'原料主数据'!$A:$AN, 19, FALSE),"")</f>
        <v/>
      </c>
      <c r="T78" s="6">
        <f>IFERROR($E78*VLOOKUP($D78,'原料主数据'!$A:$AN, 20, FALSE),"")</f>
        <v/>
      </c>
      <c r="U78" s="6">
        <f>IFERROR($E78*VLOOKUP($D78,'原料主数据'!$A:$AN, 21, FALSE),"")</f>
        <v/>
      </c>
      <c r="V78" s="6">
        <f>IFERROR($E78*VLOOKUP($D78,'原料主数据'!$A:$AN, 22, FALSE),"")</f>
        <v/>
      </c>
      <c r="W78" s="6">
        <f>IFERROR($E78*VLOOKUP($D78,'原料主数据'!$A:$AN, 23, FALSE),"")</f>
        <v/>
      </c>
      <c r="X78" s="6">
        <f>IFERROR($E78*VLOOKUP($D78,'原料主数据'!$A:$AN, 24, FALSE),"")</f>
        <v/>
      </c>
      <c r="Y78" s="6">
        <f>IFERROR($E78*VLOOKUP($D78,'原料主数据'!$A:$AN, 25, FALSE),"")</f>
        <v/>
      </c>
      <c r="Z78" s="6">
        <f>IFERROR($E78*VLOOKUP($D78,'原料主数据'!$A:$AN, 26, FALSE),"")</f>
        <v/>
      </c>
      <c r="AA78" s="6">
        <f>IFERROR($E78*VLOOKUP($D78,'原料主数据'!$A:$AN, 27, FALSE),"")</f>
        <v/>
      </c>
      <c r="AB78" s="6">
        <f>IFERROR($E78*VLOOKUP($D78,'原料主数据'!$A:$AN, 28, FALSE),"")</f>
        <v/>
      </c>
      <c r="AC78" s="6">
        <f>IFERROR($E78*VLOOKUP($D78,'原料主数据'!$A:$AN, 29, FALSE),"")</f>
        <v/>
      </c>
      <c r="AD78" s="6">
        <f>IFERROR($E78*VLOOKUP($D78,'原料主数据'!$A:$AN, 30, FALSE),"")</f>
        <v/>
      </c>
      <c r="AE78" s="6">
        <f>IFERROR($E78*VLOOKUP($D78,'原料主数据'!$A:$AN, 31, FALSE),"")</f>
        <v/>
      </c>
      <c r="AF78" s="6">
        <f>IFERROR($E78*VLOOKUP($D78,'原料主数据'!$A:$AN, 32, FALSE),"")</f>
        <v/>
      </c>
      <c r="AG78" s="6">
        <f>IFERROR($E78*VLOOKUP($D78,'原料主数据'!$A:$AN, 33, FALSE),"")</f>
        <v/>
      </c>
      <c r="AH78" s="6">
        <f>IFERROR($E78*VLOOKUP($D78,'原料主数据'!$A:$AN, 34, FALSE),"")</f>
        <v/>
      </c>
      <c r="AI78" s="6">
        <f>IFERROR($E78*VLOOKUP($D78,'原料主数据'!$A:$AN, 35, FALSE),"")</f>
        <v/>
      </c>
      <c r="AJ78" s="6">
        <f>IFERROR($E78*VLOOKUP($D78,'原料主数据'!$A:$AN, 36, FALSE),"")</f>
        <v/>
      </c>
      <c r="AK78" s="6">
        <f>IFERROR($E78*VLOOKUP($D78,'原料主数据'!$A:$AN, 37, FALSE),"")</f>
        <v/>
      </c>
      <c r="AL78" s="6">
        <f>IFERROR($E78*VLOOKUP($D78,'原料主数据'!$A:$AN, 38, FALSE),"")</f>
        <v/>
      </c>
      <c r="AM78" s="6">
        <f>IFERROR($E78*VLOOKUP($D78,'原料主数据'!$A:$AN, 39, FALSE),"")</f>
        <v/>
      </c>
    </row>
    <row r="79">
      <c r="A79" s="7" t="inlineStr">
        <is>
          <t>PES-0001</t>
        </is>
      </c>
      <c r="B79" s="7" t="inlineStr">
        <is>
          <t>PES-A</t>
        </is>
      </c>
      <c r="C79" s="7" t="inlineStr">
        <is>
          <t>聚酯</t>
        </is>
      </c>
      <c r="D79" s="7" t="inlineStr">
        <is>
          <t>TM004</t>
        </is>
      </c>
      <c r="E79" s="7" t="n">
        <v>1.35</v>
      </c>
      <c r="F79" s="7">
        <f>IFERROR(VLOOKUP($D79,'原料主数据'!$A:$E,4,FALSE),"待登记")</f>
        <v/>
      </c>
      <c r="G79" s="7">
        <f>IFERROR(VLOOKUP($D79,'原料主数据'!$A:$E,5,FALSE),"待登记")</f>
        <v/>
      </c>
      <c r="H79" s="7">
        <f>IFERROR($E79*VLOOKUP($D79,'原料主数据'!$A:$AN, 8, FALSE),"")</f>
        <v/>
      </c>
      <c r="I79" s="7">
        <f>IFERROR($E79*VLOOKUP($D79,'原料主数据'!$A:$AN, 9, FALSE),"")</f>
        <v/>
      </c>
      <c r="J79" s="7">
        <f>IFERROR($E79*VLOOKUP($D79,'原料主数据'!$A:$AN, 10, FALSE),"")</f>
        <v/>
      </c>
      <c r="K79" s="7">
        <f>IFERROR($E79*VLOOKUP($D79,'原料主数据'!$A:$AN, 11, FALSE),"")</f>
        <v/>
      </c>
      <c r="L79" s="7">
        <f>IFERROR($E79*VLOOKUP($D79,'原料主数据'!$A:$AN, 12, FALSE),"")</f>
        <v/>
      </c>
      <c r="M79" s="7">
        <f>IFERROR($E79*VLOOKUP($D79,'原料主数据'!$A:$AN, 13, FALSE),"")</f>
        <v/>
      </c>
      <c r="N79" s="7">
        <f>IFERROR($E79*VLOOKUP($D79,'原料主数据'!$A:$AN, 14, FALSE),"")</f>
        <v/>
      </c>
      <c r="O79" s="7">
        <f>IFERROR($E79*VLOOKUP($D79,'原料主数据'!$A:$AN, 15, FALSE),"")</f>
        <v/>
      </c>
      <c r="P79" s="7">
        <f>IFERROR($E79*VLOOKUP($D79,'原料主数据'!$A:$AN, 16, FALSE),"")</f>
        <v/>
      </c>
      <c r="Q79" s="7">
        <f>IFERROR($E79*VLOOKUP($D79,'原料主数据'!$A:$AN, 17, FALSE),"")</f>
        <v/>
      </c>
      <c r="R79" s="7">
        <f>IFERROR($E79*VLOOKUP($D79,'原料主数据'!$A:$AN, 18, FALSE),"")</f>
        <v/>
      </c>
      <c r="S79" s="7">
        <f>IFERROR($E79*VLOOKUP($D79,'原料主数据'!$A:$AN, 19, FALSE),"")</f>
        <v/>
      </c>
      <c r="T79" s="7">
        <f>IFERROR($E79*VLOOKUP($D79,'原料主数据'!$A:$AN, 20, FALSE),"")</f>
        <v/>
      </c>
      <c r="U79" s="7">
        <f>IFERROR($E79*VLOOKUP($D79,'原料主数据'!$A:$AN, 21, FALSE),"")</f>
        <v/>
      </c>
      <c r="V79" s="7">
        <f>IFERROR($E79*VLOOKUP($D79,'原料主数据'!$A:$AN, 22, FALSE),"")</f>
        <v/>
      </c>
      <c r="W79" s="7">
        <f>IFERROR($E79*VLOOKUP($D79,'原料主数据'!$A:$AN, 23, FALSE),"")</f>
        <v/>
      </c>
      <c r="X79" s="7">
        <f>IFERROR($E79*VLOOKUP($D79,'原料主数据'!$A:$AN, 24, FALSE),"")</f>
        <v/>
      </c>
      <c r="Y79" s="7">
        <f>IFERROR($E79*VLOOKUP($D79,'原料主数据'!$A:$AN, 25, FALSE),"")</f>
        <v/>
      </c>
      <c r="Z79" s="7">
        <f>IFERROR($E79*VLOOKUP($D79,'原料主数据'!$A:$AN, 26, FALSE),"")</f>
        <v/>
      </c>
      <c r="AA79" s="7">
        <f>IFERROR($E79*VLOOKUP($D79,'原料主数据'!$A:$AN, 27, FALSE),"")</f>
        <v/>
      </c>
      <c r="AB79" s="7">
        <f>IFERROR($E79*VLOOKUP($D79,'原料主数据'!$A:$AN, 28, FALSE),"")</f>
        <v/>
      </c>
      <c r="AC79" s="7">
        <f>IFERROR($E79*VLOOKUP($D79,'原料主数据'!$A:$AN, 29, FALSE),"")</f>
        <v/>
      </c>
      <c r="AD79" s="7">
        <f>IFERROR($E79*VLOOKUP($D79,'原料主数据'!$A:$AN, 30, FALSE),"")</f>
        <v/>
      </c>
      <c r="AE79" s="7">
        <f>IFERROR($E79*VLOOKUP($D79,'原料主数据'!$A:$AN, 31, FALSE),"")</f>
        <v/>
      </c>
      <c r="AF79" s="7">
        <f>IFERROR($E79*VLOOKUP($D79,'原料主数据'!$A:$AN, 32, FALSE),"")</f>
        <v/>
      </c>
      <c r="AG79" s="7">
        <f>IFERROR($E79*VLOOKUP($D79,'原料主数据'!$A:$AN, 33, FALSE),"")</f>
        <v/>
      </c>
      <c r="AH79" s="7">
        <f>IFERROR($E79*VLOOKUP($D79,'原料主数据'!$A:$AN, 34, FALSE),"")</f>
        <v/>
      </c>
      <c r="AI79" s="7">
        <f>IFERROR($E79*VLOOKUP($D79,'原料主数据'!$A:$AN, 35, FALSE),"")</f>
        <v/>
      </c>
      <c r="AJ79" s="7">
        <f>IFERROR($E79*VLOOKUP($D79,'原料主数据'!$A:$AN, 36, FALSE),"")</f>
        <v/>
      </c>
      <c r="AK79" s="7">
        <f>IFERROR($E79*VLOOKUP($D79,'原料主数据'!$A:$AN, 37, FALSE),"")</f>
        <v/>
      </c>
      <c r="AL79" s="7">
        <f>IFERROR($E79*VLOOKUP($D79,'原料主数据'!$A:$AN, 38, FALSE),"")</f>
        <v/>
      </c>
      <c r="AM79" s="7">
        <f>IFERROR($E79*VLOOKUP($D79,'原料主数据'!$A:$AN, 39, FALSE),"")</f>
        <v/>
      </c>
    </row>
    <row r="80">
      <c r="A80" s="6" t="inlineStr">
        <is>
          <t>PES-0002</t>
        </is>
      </c>
      <c r="B80" s="6" t="inlineStr">
        <is>
          <t>PES-A</t>
        </is>
      </c>
      <c r="C80" s="6" t="inlineStr">
        <is>
          <t>聚酯</t>
        </is>
      </c>
      <c r="D80" s="6" t="inlineStr">
        <is>
          <t>IR557</t>
        </is>
      </c>
      <c r="E80" s="6" t="n">
        <v>37.01</v>
      </c>
      <c r="F80" s="6">
        <f>IFERROR(VLOOKUP($D80,'原料主数据'!$A:$E,4,FALSE),"待登记")</f>
        <v/>
      </c>
      <c r="G80" s="6">
        <f>IFERROR(VLOOKUP($D80,'原料主数据'!$A:$E,5,FALSE),"待登记")</f>
        <v/>
      </c>
      <c r="H80" s="6">
        <f>IFERROR($E80*VLOOKUP($D80,'原料主数据'!$A:$AN, 8, FALSE),"")</f>
        <v/>
      </c>
      <c r="I80" s="6">
        <f>IFERROR($E80*VLOOKUP($D80,'原料主数据'!$A:$AN, 9, FALSE),"")</f>
        <v/>
      </c>
      <c r="J80" s="6">
        <f>IFERROR($E80*VLOOKUP($D80,'原料主数据'!$A:$AN, 10, FALSE),"")</f>
        <v/>
      </c>
      <c r="K80" s="6">
        <f>IFERROR($E80*VLOOKUP($D80,'原料主数据'!$A:$AN, 11, FALSE),"")</f>
        <v/>
      </c>
      <c r="L80" s="6">
        <f>IFERROR($E80*VLOOKUP($D80,'原料主数据'!$A:$AN, 12, FALSE),"")</f>
        <v/>
      </c>
      <c r="M80" s="6">
        <f>IFERROR($E80*VLOOKUP($D80,'原料主数据'!$A:$AN, 13, FALSE),"")</f>
        <v/>
      </c>
      <c r="N80" s="6">
        <f>IFERROR($E80*VLOOKUP($D80,'原料主数据'!$A:$AN, 14, FALSE),"")</f>
        <v/>
      </c>
      <c r="O80" s="6">
        <f>IFERROR($E80*VLOOKUP($D80,'原料主数据'!$A:$AN, 15, FALSE),"")</f>
        <v/>
      </c>
      <c r="P80" s="6">
        <f>IFERROR($E80*VLOOKUP($D80,'原料主数据'!$A:$AN, 16, FALSE),"")</f>
        <v/>
      </c>
      <c r="Q80" s="6">
        <f>IFERROR($E80*VLOOKUP($D80,'原料主数据'!$A:$AN, 17, FALSE),"")</f>
        <v/>
      </c>
      <c r="R80" s="6">
        <f>IFERROR($E80*VLOOKUP($D80,'原料主数据'!$A:$AN, 18, FALSE),"")</f>
        <v/>
      </c>
      <c r="S80" s="6">
        <f>IFERROR($E80*VLOOKUP($D80,'原料主数据'!$A:$AN, 19, FALSE),"")</f>
        <v/>
      </c>
      <c r="T80" s="6">
        <f>IFERROR($E80*VLOOKUP($D80,'原料主数据'!$A:$AN, 20, FALSE),"")</f>
        <v/>
      </c>
      <c r="U80" s="6">
        <f>IFERROR($E80*VLOOKUP($D80,'原料主数据'!$A:$AN, 21, FALSE),"")</f>
        <v/>
      </c>
      <c r="V80" s="6">
        <f>IFERROR($E80*VLOOKUP($D80,'原料主数据'!$A:$AN, 22, FALSE),"")</f>
        <v/>
      </c>
      <c r="W80" s="6">
        <f>IFERROR($E80*VLOOKUP($D80,'原料主数据'!$A:$AN, 23, FALSE),"")</f>
        <v/>
      </c>
      <c r="X80" s="6">
        <f>IFERROR($E80*VLOOKUP($D80,'原料主数据'!$A:$AN, 24, FALSE),"")</f>
        <v/>
      </c>
      <c r="Y80" s="6">
        <f>IFERROR($E80*VLOOKUP($D80,'原料主数据'!$A:$AN, 25, FALSE),"")</f>
        <v/>
      </c>
      <c r="Z80" s="6">
        <f>IFERROR($E80*VLOOKUP($D80,'原料主数据'!$A:$AN, 26, FALSE),"")</f>
        <v/>
      </c>
      <c r="AA80" s="6">
        <f>IFERROR($E80*VLOOKUP($D80,'原料主数据'!$A:$AN, 27, FALSE),"")</f>
        <v/>
      </c>
      <c r="AB80" s="6">
        <f>IFERROR($E80*VLOOKUP($D80,'原料主数据'!$A:$AN, 28, FALSE),"")</f>
        <v/>
      </c>
      <c r="AC80" s="6">
        <f>IFERROR($E80*VLOOKUP($D80,'原料主数据'!$A:$AN, 29, FALSE),"")</f>
        <v/>
      </c>
      <c r="AD80" s="6">
        <f>IFERROR($E80*VLOOKUP($D80,'原料主数据'!$A:$AN, 30, FALSE),"")</f>
        <v/>
      </c>
      <c r="AE80" s="6">
        <f>IFERROR($E80*VLOOKUP($D80,'原料主数据'!$A:$AN, 31, FALSE),"")</f>
        <v/>
      </c>
      <c r="AF80" s="6">
        <f>IFERROR($E80*VLOOKUP($D80,'原料主数据'!$A:$AN, 32, FALSE),"")</f>
        <v/>
      </c>
      <c r="AG80" s="6">
        <f>IFERROR($E80*VLOOKUP($D80,'原料主数据'!$A:$AN, 33, FALSE),"")</f>
        <v/>
      </c>
      <c r="AH80" s="6">
        <f>IFERROR($E80*VLOOKUP($D80,'原料主数据'!$A:$AN, 34, FALSE),"")</f>
        <v/>
      </c>
      <c r="AI80" s="6">
        <f>IFERROR($E80*VLOOKUP($D80,'原料主数据'!$A:$AN, 35, FALSE),"")</f>
        <v/>
      </c>
      <c r="AJ80" s="6">
        <f>IFERROR($E80*VLOOKUP($D80,'原料主数据'!$A:$AN, 36, FALSE),"")</f>
        <v/>
      </c>
      <c r="AK80" s="6">
        <f>IFERROR($E80*VLOOKUP($D80,'原料主数据'!$A:$AN, 37, FALSE),"")</f>
        <v/>
      </c>
      <c r="AL80" s="6">
        <f>IFERROR($E80*VLOOKUP($D80,'原料主数据'!$A:$AN, 38, FALSE),"")</f>
        <v/>
      </c>
      <c r="AM80" s="6">
        <f>IFERROR($E80*VLOOKUP($D80,'原料主数据'!$A:$AN, 39, FALSE),"")</f>
        <v/>
      </c>
    </row>
    <row r="81">
      <c r="A81" s="7" t="inlineStr">
        <is>
          <t>PES-0002</t>
        </is>
      </c>
      <c r="B81" s="7" t="inlineStr">
        <is>
          <t>PES-A</t>
        </is>
      </c>
      <c r="C81" s="7" t="inlineStr">
        <is>
          <t>聚酯</t>
        </is>
      </c>
      <c r="D81" s="7" t="inlineStr">
        <is>
          <t>RJ561</t>
        </is>
      </c>
      <c r="E81" s="7" t="n">
        <v>28.2</v>
      </c>
      <c r="F81" s="7">
        <f>IFERROR(VLOOKUP($D81,'原料主数据'!$A:$E,4,FALSE),"待登记")</f>
        <v/>
      </c>
      <c r="G81" s="7">
        <f>IFERROR(VLOOKUP($D81,'原料主数据'!$A:$E,5,FALSE),"待登记")</f>
        <v/>
      </c>
      <c r="H81" s="7">
        <f>IFERROR($E81*VLOOKUP($D81,'原料主数据'!$A:$AN, 8, FALSE),"")</f>
        <v/>
      </c>
      <c r="I81" s="7">
        <f>IFERROR($E81*VLOOKUP($D81,'原料主数据'!$A:$AN, 9, FALSE),"")</f>
        <v/>
      </c>
      <c r="J81" s="7">
        <f>IFERROR($E81*VLOOKUP($D81,'原料主数据'!$A:$AN, 10, FALSE),"")</f>
        <v/>
      </c>
      <c r="K81" s="7">
        <f>IFERROR($E81*VLOOKUP($D81,'原料主数据'!$A:$AN, 11, FALSE),"")</f>
        <v/>
      </c>
      <c r="L81" s="7">
        <f>IFERROR($E81*VLOOKUP($D81,'原料主数据'!$A:$AN, 12, FALSE),"")</f>
        <v/>
      </c>
      <c r="M81" s="7">
        <f>IFERROR($E81*VLOOKUP($D81,'原料主数据'!$A:$AN, 13, FALSE),"")</f>
        <v/>
      </c>
      <c r="N81" s="7">
        <f>IFERROR($E81*VLOOKUP($D81,'原料主数据'!$A:$AN, 14, FALSE),"")</f>
        <v/>
      </c>
      <c r="O81" s="7">
        <f>IFERROR($E81*VLOOKUP($D81,'原料主数据'!$A:$AN, 15, FALSE),"")</f>
        <v/>
      </c>
      <c r="P81" s="7">
        <f>IFERROR($E81*VLOOKUP($D81,'原料主数据'!$A:$AN, 16, FALSE),"")</f>
        <v/>
      </c>
      <c r="Q81" s="7">
        <f>IFERROR($E81*VLOOKUP($D81,'原料主数据'!$A:$AN, 17, FALSE),"")</f>
        <v/>
      </c>
      <c r="R81" s="7">
        <f>IFERROR($E81*VLOOKUP($D81,'原料主数据'!$A:$AN, 18, FALSE),"")</f>
        <v/>
      </c>
      <c r="S81" s="7">
        <f>IFERROR($E81*VLOOKUP($D81,'原料主数据'!$A:$AN, 19, FALSE),"")</f>
        <v/>
      </c>
      <c r="T81" s="7">
        <f>IFERROR($E81*VLOOKUP($D81,'原料主数据'!$A:$AN, 20, FALSE),"")</f>
        <v/>
      </c>
      <c r="U81" s="7">
        <f>IFERROR($E81*VLOOKUP($D81,'原料主数据'!$A:$AN, 21, FALSE),"")</f>
        <v/>
      </c>
      <c r="V81" s="7">
        <f>IFERROR($E81*VLOOKUP($D81,'原料主数据'!$A:$AN, 22, FALSE),"")</f>
        <v/>
      </c>
      <c r="W81" s="7">
        <f>IFERROR($E81*VLOOKUP($D81,'原料主数据'!$A:$AN, 23, FALSE),"")</f>
        <v/>
      </c>
      <c r="X81" s="7">
        <f>IFERROR($E81*VLOOKUP($D81,'原料主数据'!$A:$AN, 24, FALSE),"")</f>
        <v/>
      </c>
      <c r="Y81" s="7">
        <f>IFERROR($E81*VLOOKUP($D81,'原料主数据'!$A:$AN, 25, FALSE),"")</f>
        <v/>
      </c>
      <c r="Z81" s="7">
        <f>IFERROR($E81*VLOOKUP($D81,'原料主数据'!$A:$AN, 26, FALSE),"")</f>
        <v/>
      </c>
      <c r="AA81" s="7">
        <f>IFERROR($E81*VLOOKUP($D81,'原料主数据'!$A:$AN, 27, FALSE),"")</f>
        <v/>
      </c>
      <c r="AB81" s="7">
        <f>IFERROR($E81*VLOOKUP($D81,'原料主数据'!$A:$AN, 28, FALSE),"")</f>
        <v/>
      </c>
      <c r="AC81" s="7">
        <f>IFERROR($E81*VLOOKUP($D81,'原料主数据'!$A:$AN, 29, FALSE),"")</f>
        <v/>
      </c>
      <c r="AD81" s="7">
        <f>IFERROR($E81*VLOOKUP($D81,'原料主数据'!$A:$AN, 30, FALSE),"")</f>
        <v/>
      </c>
      <c r="AE81" s="7">
        <f>IFERROR($E81*VLOOKUP($D81,'原料主数据'!$A:$AN, 31, FALSE),"")</f>
        <v/>
      </c>
      <c r="AF81" s="7">
        <f>IFERROR($E81*VLOOKUP($D81,'原料主数据'!$A:$AN, 32, FALSE),"")</f>
        <v/>
      </c>
      <c r="AG81" s="7">
        <f>IFERROR($E81*VLOOKUP($D81,'原料主数据'!$A:$AN, 33, FALSE),"")</f>
        <v/>
      </c>
      <c r="AH81" s="7">
        <f>IFERROR($E81*VLOOKUP($D81,'原料主数据'!$A:$AN, 34, FALSE),"")</f>
        <v/>
      </c>
      <c r="AI81" s="7">
        <f>IFERROR($E81*VLOOKUP($D81,'原料主数据'!$A:$AN, 35, FALSE),"")</f>
        <v/>
      </c>
      <c r="AJ81" s="7">
        <f>IFERROR($E81*VLOOKUP($D81,'原料主数据'!$A:$AN, 36, FALSE),"")</f>
        <v/>
      </c>
      <c r="AK81" s="7">
        <f>IFERROR($E81*VLOOKUP($D81,'原料主数据'!$A:$AN, 37, FALSE),"")</f>
        <v/>
      </c>
      <c r="AL81" s="7">
        <f>IFERROR($E81*VLOOKUP($D81,'原料主数据'!$A:$AN, 38, FALSE),"")</f>
        <v/>
      </c>
      <c r="AM81" s="7">
        <f>IFERROR($E81*VLOOKUP($D81,'原料主数据'!$A:$AN, 39, FALSE),"")</f>
        <v/>
      </c>
    </row>
    <row r="82">
      <c r="A82" s="6" t="inlineStr">
        <is>
          <t>PES-0002</t>
        </is>
      </c>
      <c r="B82" s="6" t="inlineStr">
        <is>
          <t>PES-A</t>
        </is>
      </c>
      <c r="C82" s="6" t="inlineStr">
        <is>
          <t>聚酯</t>
        </is>
      </c>
      <c r="D82" s="6" t="inlineStr">
        <is>
          <t>RF950</t>
        </is>
      </c>
      <c r="E82" s="6" t="n">
        <v>10</v>
      </c>
      <c r="F82" s="6">
        <f>IFERROR(VLOOKUP($D82,'原料主数据'!$A:$E,4,FALSE),"待登记")</f>
        <v/>
      </c>
      <c r="G82" s="6">
        <f>IFERROR(VLOOKUP($D82,'原料主数据'!$A:$E,5,FALSE),"待登记")</f>
        <v/>
      </c>
      <c r="H82" s="6">
        <f>IFERROR($E82*VLOOKUP($D82,'原料主数据'!$A:$AN, 8, FALSE),"")</f>
        <v/>
      </c>
      <c r="I82" s="6">
        <f>IFERROR($E82*VLOOKUP($D82,'原料主数据'!$A:$AN, 9, FALSE),"")</f>
        <v/>
      </c>
      <c r="J82" s="6">
        <f>IFERROR($E82*VLOOKUP($D82,'原料主数据'!$A:$AN, 10, FALSE),"")</f>
        <v/>
      </c>
      <c r="K82" s="6">
        <f>IFERROR($E82*VLOOKUP($D82,'原料主数据'!$A:$AN, 11, FALSE),"")</f>
        <v/>
      </c>
      <c r="L82" s="6">
        <f>IFERROR($E82*VLOOKUP($D82,'原料主数据'!$A:$AN, 12, FALSE),"")</f>
        <v/>
      </c>
      <c r="M82" s="6">
        <f>IFERROR($E82*VLOOKUP($D82,'原料主数据'!$A:$AN, 13, FALSE),"")</f>
        <v/>
      </c>
      <c r="N82" s="6">
        <f>IFERROR($E82*VLOOKUP($D82,'原料主数据'!$A:$AN, 14, FALSE),"")</f>
        <v/>
      </c>
      <c r="O82" s="6">
        <f>IFERROR($E82*VLOOKUP($D82,'原料主数据'!$A:$AN, 15, FALSE),"")</f>
        <v/>
      </c>
      <c r="P82" s="6">
        <f>IFERROR($E82*VLOOKUP($D82,'原料主数据'!$A:$AN, 16, FALSE),"")</f>
        <v/>
      </c>
      <c r="Q82" s="6">
        <f>IFERROR($E82*VLOOKUP($D82,'原料主数据'!$A:$AN, 17, FALSE),"")</f>
        <v/>
      </c>
      <c r="R82" s="6">
        <f>IFERROR($E82*VLOOKUP($D82,'原料主数据'!$A:$AN, 18, FALSE),"")</f>
        <v/>
      </c>
      <c r="S82" s="6">
        <f>IFERROR($E82*VLOOKUP($D82,'原料主数据'!$A:$AN, 19, FALSE),"")</f>
        <v/>
      </c>
      <c r="T82" s="6">
        <f>IFERROR($E82*VLOOKUP($D82,'原料主数据'!$A:$AN, 20, FALSE),"")</f>
        <v/>
      </c>
      <c r="U82" s="6">
        <f>IFERROR($E82*VLOOKUP($D82,'原料主数据'!$A:$AN, 21, FALSE),"")</f>
        <v/>
      </c>
      <c r="V82" s="6">
        <f>IFERROR($E82*VLOOKUP($D82,'原料主数据'!$A:$AN, 22, FALSE),"")</f>
        <v/>
      </c>
      <c r="W82" s="6">
        <f>IFERROR($E82*VLOOKUP($D82,'原料主数据'!$A:$AN, 23, FALSE),"")</f>
        <v/>
      </c>
      <c r="X82" s="6">
        <f>IFERROR($E82*VLOOKUP($D82,'原料主数据'!$A:$AN, 24, FALSE),"")</f>
        <v/>
      </c>
      <c r="Y82" s="6">
        <f>IFERROR($E82*VLOOKUP($D82,'原料主数据'!$A:$AN, 25, FALSE),"")</f>
        <v/>
      </c>
      <c r="Z82" s="6">
        <f>IFERROR($E82*VLOOKUP($D82,'原料主数据'!$A:$AN, 26, FALSE),"")</f>
        <v/>
      </c>
      <c r="AA82" s="6">
        <f>IFERROR($E82*VLOOKUP($D82,'原料主数据'!$A:$AN, 27, FALSE),"")</f>
        <v/>
      </c>
      <c r="AB82" s="6">
        <f>IFERROR($E82*VLOOKUP($D82,'原料主数据'!$A:$AN, 28, FALSE),"")</f>
        <v/>
      </c>
      <c r="AC82" s="6">
        <f>IFERROR($E82*VLOOKUP($D82,'原料主数据'!$A:$AN, 29, FALSE),"")</f>
        <v/>
      </c>
      <c r="AD82" s="6">
        <f>IFERROR($E82*VLOOKUP($D82,'原料主数据'!$A:$AN, 30, FALSE),"")</f>
        <v/>
      </c>
      <c r="AE82" s="6">
        <f>IFERROR($E82*VLOOKUP($D82,'原料主数据'!$A:$AN, 31, FALSE),"")</f>
        <v/>
      </c>
      <c r="AF82" s="6">
        <f>IFERROR($E82*VLOOKUP($D82,'原料主数据'!$A:$AN, 32, FALSE),"")</f>
        <v/>
      </c>
      <c r="AG82" s="6">
        <f>IFERROR($E82*VLOOKUP($D82,'原料主数据'!$A:$AN, 33, FALSE),"")</f>
        <v/>
      </c>
      <c r="AH82" s="6">
        <f>IFERROR($E82*VLOOKUP($D82,'原料主数据'!$A:$AN, 34, FALSE),"")</f>
        <v/>
      </c>
      <c r="AI82" s="6">
        <f>IFERROR($E82*VLOOKUP($D82,'原料主数据'!$A:$AN, 35, FALSE),"")</f>
        <v/>
      </c>
      <c r="AJ82" s="6">
        <f>IFERROR($E82*VLOOKUP($D82,'原料主数据'!$A:$AN, 36, FALSE),"")</f>
        <v/>
      </c>
      <c r="AK82" s="6">
        <f>IFERROR($E82*VLOOKUP($D82,'原料主数据'!$A:$AN, 37, FALSE),"")</f>
        <v/>
      </c>
      <c r="AL82" s="6">
        <f>IFERROR($E82*VLOOKUP($D82,'原料主数据'!$A:$AN, 38, FALSE),"")</f>
        <v/>
      </c>
      <c r="AM82" s="6">
        <f>IFERROR($E82*VLOOKUP($D82,'原料主数据'!$A:$AN, 39, FALSE),"")</f>
        <v/>
      </c>
    </row>
    <row r="83">
      <c r="A83" s="7" t="inlineStr">
        <is>
          <t>PES-0002</t>
        </is>
      </c>
      <c r="B83" s="7" t="inlineStr">
        <is>
          <t>PES-A</t>
        </is>
      </c>
      <c r="C83" s="7" t="inlineStr">
        <is>
          <t>聚酯</t>
        </is>
      </c>
      <c r="D83" s="7" t="inlineStr">
        <is>
          <t>RY460</t>
        </is>
      </c>
      <c r="E83" s="7" t="n">
        <v>5</v>
      </c>
      <c r="F83" s="7">
        <f>IFERROR(VLOOKUP($D83,'原料主数据'!$A:$E,4,FALSE),"待登记")</f>
        <v/>
      </c>
      <c r="G83" s="7">
        <f>IFERROR(VLOOKUP($D83,'原料主数据'!$A:$E,5,FALSE),"待登记")</f>
        <v/>
      </c>
      <c r="H83" s="7">
        <f>IFERROR($E83*VLOOKUP($D83,'原料主数据'!$A:$AN, 8, FALSE),"")</f>
        <v/>
      </c>
      <c r="I83" s="7">
        <f>IFERROR($E83*VLOOKUP($D83,'原料主数据'!$A:$AN, 9, FALSE),"")</f>
        <v/>
      </c>
      <c r="J83" s="7">
        <f>IFERROR($E83*VLOOKUP($D83,'原料主数据'!$A:$AN, 10, FALSE),"")</f>
        <v/>
      </c>
      <c r="K83" s="7">
        <f>IFERROR($E83*VLOOKUP($D83,'原料主数据'!$A:$AN, 11, FALSE),"")</f>
        <v/>
      </c>
      <c r="L83" s="7">
        <f>IFERROR($E83*VLOOKUP($D83,'原料主数据'!$A:$AN, 12, FALSE),"")</f>
        <v/>
      </c>
      <c r="M83" s="7">
        <f>IFERROR($E83*VLOOKUP($D83,'原料主数据'!$A:$AN, 13, FALSE),"")</f>
        <v/>
      </c>
      <c r="N83" s="7">
        <f>IFERROR($E83*VLOOKUP($D83,'原料主数据'!$A:$AN, 14, FALSE),"")</f>
        <v/>
      </c>
      <c r="O83" s="7">
        <f>IFERROR($E83*VLOOKUP($D83,'原料主数据'!$A:$AN, 15, FALSE),"")</f>
        <v/>
      </c>
      <c r="P83" s="7">
        <f>IFERROR($E83*VLOOKUP($D83,'原料主数据'!$A:$AN, 16, FALSE),"")</f>
        <v/>
      </c>
      <c r="Q83" s="7">
        <f>IFERROR($E83*VLOOKUP($D83,'原料主数据'!$A:$AN, 17, FALSE),"")</f>
        <v/>
      </c>
      <c r="R83" s="7">
        <f>IFERROR($E83*VLOOKUP($D83,'原料主数据'!$A:$AN, 18, FALSE),"")</f>
        <v/>
      </c>
      <c r="S83" s="7">
        <f>IFERROR($E83*VLOOKUP($D83,'原料主数据'!$A:$AN, 19, FALSE),"")</f>
        <v/>
      </c>
      <c r="T83" s="7">
        <f>IFERROR($E83*VLOOKUP($D83,'原料主数据'!$A:$AN, 20, FALSE),"")</f>
        <v/>
      </c>
      <c r="U83" s="7">
        <f>IFERROR($E83*VLOOKUP($D83,'原料主数据'!$A:$AN, 21, FALSE),"")</f>
        <v/>
      </c>
      <c r="V83" s="7">
        <f>IFERROR($E83*VLOOKUP($D83,'原料主数据'!$A:$AN, 22, FALSE),"")</f>
        <v/>
      </c>
      <c r="W83" s="7">
        <f>IFERROR($E83*VLOOKUP($D83,'原料主数据'!$A:$AN, 23, FALSE),"")</f>
        <v/>
      </c>
      <c r="X83" s="7">
        <f>IFERROR($E83*VLOOKUP($D83,'原料主数据'!$A:$AN, 24, FALSE),"")</f>
        <v/>
      </c>
      <c r="Y83" s="7">
        <f>IFERROR($E83*VLOOKUP($D83,'原料主数据'!$A:$AN, 25, FALSE),"")</f>
        <v/>
      </c>
      <c r="Z83" s="7">
        <f>IFERROR($E83*VLOOKUP($D83,'原料主数据'!$A:$AN, 26, FALSE),"")</f>
        <v/>
      </c>
      <c r="AA83" s="7">
        <f>IFERROR($E83*VLOOKUP($D83,'原料主数据'!$A:$AN, 27, FALSE),"")</f>
        <v/>
      </c>
      <c r="AB83" s="7">
        <f>IFERROR($E83*VLOOKUP($D83,'原料主数据'!$A:$AN, 28, FALSE),"")</f>
        <v/>
      </c>
      <c r="AC83" s="7">
        <f>IFERROR($E83*VLOOKUP($D83,'原料主数据'!$A:$AN, 29, FALSE),"")</f>
        <v/>
      </c>
      <c r="AD83" s="7">
        <f>IFERROR($E83*VLOOKUP($D83,'原料主数据'!$A:$AN, 30, FALSE),"")</f>
        <v/>
      </c>
      <c r="AE83" s="7">
        <f>IFERROR($E83*VLOOKUP($D83,'原料主数据'!$A:$AN, 31, FALSE),"")</f>
        <v/>
      </c>
      <c r="AF83" s="7">
        <f>IFERROR($E83*VLOOKUP($D83,'原料主数据'!$A:$AN, 32, FALSE),"")</f>
        <v/>
      </c>
      <c r="AG83" s="7">
        <f>IFERROR($E83*VLOOKUP($D83,'原料主数据'!$A:$AN, 33, FALSE),"")</f>
        <v/>
      </c>
      <c r="AH83" s="7">
        <f>IFERROR($E83*VLOOKUP($D83,'原料主数据'!$A:$AN, 34, FALSE),"")</f>
        <v/>
      </c>
      <c r="AI83" s="7">
        <f>IFERROR($E83*VLOOKUP($D83,'原料主数据'!$A:$AN, 35, FALSE),"")</f>
        <v/>
      </c>
      <c r="AJ83" s="7">
        <f>IFERROR($E83*VLOOKUP($D83,'原料主数据'!$A:$AN, 36, FALSE),"")</f>
        <v/>
      </c>
      <c r="AK83" s="7">
        <f>IFERROR($E83*VLOOKUP($D83,'原料主数据'!$A:$AN, 37, FALSE),"")</f>
        <v/>
      </c>
      <c r="AL83" s="7">
        <f>IFERROR($E83*VLOOKUP($D83,'原料主数据'!$A:$AN, 38, FALSE),"")</f>
        <v/>
      </c>
      <c r="AM83" s="7">
        <f>IFERROR($E83*VLOOKUP($D83,'原料主数据'!$A:$AN, 39, FALSE),"")</f>
        <v/>
      </c>
    </row>
    <row r="84">
      <c r="A84" s="6" t="inlineStr">
        <is>
          <t>PES-0002</t>
        </is>
      </c>
      <c r="B84" s="6" t="inlineStr">
        <is>
          <t>PES-A</t>
        </is>
      </c>
      <c r="C84" s="6" t="inlineStr">
        <is>
          <t>聚酯</t>
        </is>
      </c>
      <c r="D84" s="6" t="inlineStr">
        <is>
          <t>AC040</t>
        </is>
      </c>
      <c r="E84" s="6" t="n">
        <v>0.15</v>
      </c>
      <c r="F84" s="6">
        <f>IFERROR(VLOOKUP($D84,'原料主数据'!$A:$E,4,FALSE),"待登记")</f>
        <v/>
      </c>
      <c r="G84" s="6">
        <f>IFERROR(VLOOKUP($D84,'原料主数据'!$A:$E,5,FALSE),"待登记")</f>
        <v/>
      </c>
      <c r="H84" s="6">
        <f>IFERROR($E84*VLOOKUP($D84,'原料主数据'!$A:$AN, 8, FALSE),"")</f>
        <v/>
      </c>
      <c r="I84" s="6">
        <f>IFERROR($E84*VLOOKUP($D84,'原料主数据'!$A:$AN, 9, FALSE),"")</f>
        <v/>
      </c>
      <c r="J84" s="6">
        <f>IFERROR($E84*VLOOKUP($D84,'原料主数据'!$A:$AN, 10, FALSE),"")</f>
        <v/>
      </c>
      <c r="K84" s="6">
        <f>IFERROR($E84*VLOOKUP($D84,'原料主数据'!$A:$AN, 11, FALSE),"")</f>
        <v/>
      </c>
      <c r="L84" s="6">
        <f>IFERROR($E84*VLOOKUP($D84,'原料主数据'!$A:$AN, 12, FALSE),"")</f>
        <v/>
      </c>
      <c r="M84" s="6">
        <f>IFERROR($E84*VLOOKUP($D84,'原料主数据'!$A:$AN, 13, FALSE),"")</f>
        <v/>
      </c>
      <c r="N84" s="6">
        <f>IFERROR($E84*VLOOKUP($D84,'原料主数据'!$A:$AN, 14, FALSE),"")</f>
        <v/>
      </c>
      <c r="O84" s="6">
        <f>IFERROR($E84*VLOOKUP($D84,'原料主数据'!$A:$AN, 15, FALSE),"")</f>
        <v/>
      </c>
      <c r="P84" s="6">
        <f>IFERROR($E84*VLOOKUP($D84,'原料主数据'!$A:$AN, 16, FALSE),"")</f>
        <v/>
      </c>
      <c r="Q84" s="6">
        <f>IFERROR($E84*VLOOKUP($D84,'原料主数据'!$A:$AN, 17, FALSE),"")</f>
        <v/>
      </c>
      <c r="R84" s="6">
        <f>IFERROR($E84*VLOOKUP($D84,'原料主数据'!$A:$AN, 18, FALSE),"")</f>
        <v/>
      </c>
      <c r="S84" s="6">
        <f>IFERROR($E84*VLOOKUP($D84,'原料主数据'!$A:$AN, 19, FALSE),"")</f>
        <v/>
      </c>
      <c r="T84" s="6">
        <f>IFERROR($E84*VLOOKUP($D84,'原料主数据'!$A:$AN, 20, FALSE),"")</f>
        <v/>
      </c>
      <c r="U84" s="6">
        <f>IFERROR($E84*VLOOKUP($D84,'原料主数据'!$A:$AN, 21, FALSE),"")</f>
        <v/>
      </c>
      <c r="V84" s="6">
        <f>IFERROR($E84*VLOOKUP($D84,'原料主数据'!$A:$AN, 22, FALSE),"")</f>
        <v/>
      </c>
      <c r="W84" s="6">
        <f>IFERROR($E84*VLOOKUP($D84,'原料主数据'!$A:$AN, 23, FALSE),"")</f>
        <v/>
      </c>
      <c r="X84" s="6">
        <f>IFERROR($E84*VLOOKUP($D84,'原料主数据'!$A:$AN, 24, FALSE),"")</f>
        <v/>
      </c>
      <c r="Y84" s="6">
        <f>IFERROR($E84*VLOOKUP($D84,'原料主数据'!$A:$AN, 25, FALSE),"")</f>
        <v/>
      </c>
      <c r="Z84" s="6">
        <f>IFERROR($E84*VLOOKUP($D84,'原料主数据'!$A:$AN, 26, FALSE),"")</f>
        <v/>
      </c>
      <c r="AA84" s="6">
        <f>IFERROR($E84*VLOOKUP($D84,'原料主数据'!$A:$AN, 27, FALSE),"")</f>
        <v/>
      </c>
      <c r="AB84" s="6">
        <f>IFERROR($E84*VLOOKUP($D84,'原料主数据'!$A:$AN, 28, FALSE),"")</f>
        <v/>
      </c>
      <c r="AC84" s="6">
        <f>IFERROR($E84*VLOOKUP($D84,'原料主数据'!$A:$AN, 29, FALSE),"")</f>
        <v/>
      </c>
      <c r="AD84" s="6">
        <f>IFERROR($E84*VLOOKUP($D84,'原料主数据'!$A:$AN, 30, FALSE),"")</f>
        <v/>
      </c>
      <c r="AE84" s="6">
        <f>IFERROR($E84*VLOOKUP($D84,'原料主数据'!$A:$AN, 31, FALSE),"")</f>
        <v/>
      </c>
      <c r="AF84" s="6">
        <f>IFERROR($E84*VLOOKUP($D84,'原料主数据'!$A:$AN, 32, FALSE),"")</f>
        <v/>
      </c>
      <c r="AG84" s="6">
        <f>IFERROR($E84*VLOOKUP($D84,'原料主数据'!$A:$AN, 33, FALSE),"")</f>
        <v/>
      </c>
      <c r="AH84" s="6">
        <f>IFERROR($E84*VLOOKUP($D84,'原料主数据'!$A:$AN, 34, FALSE),"")</f>
        <v/>
      </c>
      <c r="AI84" s="6">
        <f>IFERROR($E84*VLOOKUP($D84,'原料主数据'!$A:$AN, 35, FALSE),"")</f>
        <v/>
      </c>
      <c r="AJ84" s="6">
        <f>IFERROR($E84*VLOOKUP($D84,'原料主数据'!$A:$AN, 36, FALSE),"")</f>
        <v/>
      </c>
      <c r="AK84" s="6">
        <f>IFERROR($E84*VLOOKUP($D84,'原料主数据'!$A:$AN, 37, FALSE),"")</f>
        <v/>
      </c>
      <c r="AL84" s="6">
        <f>IFERROR($E84*VLOOKUP($D84,'原料主数据'!$A:$AN, 38, FALSE),"")</f>
        <v/>
      </c>
      <c r="AM84" s="6">
        <f>IFERROR($E84*VLOOKUP($D84,'原料主数据'!$A:$AN, 39, FALSE),"")</f>
        <v/>
      </c>
    </row>
    <row r="85">
      <c r="A85" s="7" t="inlineStr">
        <is>
          <t>PES-0002</t>
        </is>
      </c>
      <c r="B85" s="7" t="inlineStr">
        <is>
          <t>PES-A</t>
        </is>
      </c>
      <c r="C85" s="7" t="inlineStr">
        <is>
          <t>聚酯</t>
        </is>
      </c>
      <c r="D85" s="7" t="inlineStr">
        <is>
          <t>TF100</t>
        </is>
      </c>
      <c r="E85" s="7" t="n">
        <v>3.35</v>
      </c>
      <c r="F85" s="7">
        <f>IFERROR(VLOOKUP($D85,'原料主数据'!$A:$E,4,FALSE),"待登记")</f>
        <v/>
      </c>
      <c r="G85" s="7">
        <f>IFERROR(VLOOKUP($D85,'原料主数据'!$A:$E,5,FALSE),"待登记")</f>
        <v/>
      </c>
      <c r="H85" s="7">
        <f>IFERROR($E85*VLOOKUP($D85,'原料主数据'!$A:$AN, 8, FALSE),"")</f>
        <v/>
      </c>
      <c r="I85" s="7">
        <f>IFERROR($E85*VLOOKUP($D85,'原料主数据'!$A:$AN, 9, FALSE),"")</f>
        <v/>
      </c>
      <c r="J85" s="7">
        <f>IFERROR($E85*VLOOKUP($D85,'原料主数据'!$A:$AN, 10, FALSE),"")</f>
        <v/>
      </c>
      <c r="K85" s="7">
        <f>IFERROR($E85*VLOOKUP($D85,'原料主数据'!$A:$AN, 11, FALSE),"")</f>
        <v/>
      </c>
      <c r="L85" s="7">
        <f>IFERROR($E85*VLOOKUP($D85,'原料主数据'!$A:$AN, 12, FALSE),"")</f>
        <v/>
      </c>
      <c r="M85" s="7">
        <f>IFERROR($E85*VLOOKUP($D85,'原料主数据'!$A:$AN, 13, FALSE),"")</f>
        <v/>
      </c>
      <c r="N85" s="7">
        <f>IFERROR($E85*VLOOKUP($D85,'原料主数据'!$A:$AN, 14, FALSE),"")</f>
        <v/>
      </c>
      <c r="O85" s="7">
        <f>IFERROR($E85*VLOOKUP($D85,'原料主数据'!$A:$AN, 15, FALSE),"")</f>
        <v/>
      </c>
      <c r="P85" s="7">
        <f>IFERROR($E85*VLOOKUP($D85,'原料主数据'!$A:$AN, 16, FALSE),"")</f>
        <v/>
      </c>
      <c r="Q85" s="7">
        <f>IFERROR($E85*VLOOKUP($D85,'原料主数据'!$A:$AN, 17, FALSE),"")</f>
        <v/>
      </c>
      <c r="R85" s="7">
        <f>IFERROR($E85*VLOOKUP($D85,'原料主数据'!$A:$AN, 18, FALSE),"")</f>
        <v/>
      </c>
      <c r="S85" s="7">
        <f>IFERROR($E85*VLOOKUP($D85,'原料主数据'!$A:$AN, 19, FALSE),"")</f>
        <v/>
      </c>
      <c r="T85" s="7">
        <f>IFERROR($E85*VLOOKUP($D85,'原料主数据'!$A:$AN, 20, FALSE),"")</f>
        <v/>
      </c>
      <c r="U85" s="7">
        <f>IFERROR($E85*VLOOKUP($D85,'原料主数据'!$A:$AN, 21, FALSE),"")</f>
        <v/>
      </c>
      <c r="V85" s="7">
        <f>IFERROR($E85*VLOOKUP($D85,'原料主数据'!$A:$AN, 22, FALSE),"")</f>
        <v/>
      </c>
      <c r="W85" s="7">
        <f>IFERROR($E85*VLOOKUP($D85,'原料主数据'!$A:$AN, 23, FALSE),"")</f>
        <v/>
      </c>
      <c r="X85" s="7">
        <f>IFERROR($E85*VLOOKUP($D85,'原料主数据'!$A:$AN, 24, FALSE),"")</f>
        <v/>
      </c>
      <c r="Y85" s="7">
        <f>IFERROR($E85*VLOOKUP($D85,'原料主数据'!$A:$AN, 25, FALSE),"")</f>
        <v/>
      </c>
      <c r="Z85" s="7">
        <f>IFERROR($E85*VLOOKUP($D85,'原料主数据'!$A:$AN, 26, FALSE),"")</f>
        <v/>
      </c>
      <c r="AA85" s="7">
        <f>IFERROR($E85*VLOOKUP($D85,'原料主数据'!$A:$AN, 27, FALSE),"")</f>
        <v/>
      </c>
      <c r="AB85" s="7">
        <f>IFERROR($E85*VLOOKUP($D85,'原料主数据'!$A:$AN, 28, FALSE),"")</f>
        <v/>
      </c>
      <c r="AC85" s="7">
        <f>IFERROR($E85*VLOOKUP($D85,'原料主数据'!$A:$AN, 29, FALSE),"")</f>
        <v/>
      </c>
      <c r="AD85" s="7">
        <f>IFERROR($E85*VLOOKUP($D85,'原料主数据'!$A:$AN, 30, FALSE),"")</f>
        <v/>
      </c>
      <c r="AE85" s="7">
        <f>IFERROR($E85*VLOOKUP($D85,'原料主数据'!$A:$AN, 31, FALSE),"")</f>
        <v/>
      </c>
      <c r="AF85" s="7">
        <f>IFERROR($E85*VLOOKUP($D85,'原料主数据'!$A:$AN, 32, FALSE),"")</f>
        <v/>
      </c>
      <c r="AG85" s="7">
        <f>IFERROR($E85*VLOOKUP($D85,'原料主数据'!$A:$AN, 33, FALSE),"")</f>
        <v/>
      </c>
      <c r="AH85" s="7">
        <f>IFERROR($E85*VLOOKUP($D85,'原料主数据'!$A:$AN, 34, FALSE),"")</f>
        <v/>
      </c>
      <c r="AI85" s="7">
        <f>IFERROR($E85*VLOOKUP($D85,'原料主数据'!$A:$AN, 35, FALSE),"")</f>
        <v/>
      </c>
      <c r="AJ85" s="7">
        <f>IFERROR($E85*VLOOKUP($D85,'原料主数据'!$A:$AN, 36, FALSE),"")</f>
        <v/>
      </c>
      <c r="AK85" s="7">
        <f>IFERROR($E85*VLOOKUP($D85,'原料主数据'!$A:$AN, 37, FALSE),"")</f>
        <v/>
      </c>
      <c r="AL85" s="7">
        <f>IFERROR($E85*VLOOKUP($D85,'原料主数据'!$A:$AN, 38, FALSE),"")</f>
        <v/>
      </c>
      <c r="AM85" s="7">
        <f>IFERROR($E85*VLOOKUP($D85,'原料主数据'!$A:$AN, 39, FALSE),"")</f>
        <v/>
      </c>
    </row>
    <row r="86">
      <c r="A86" s="6" t="inlineStr">
        <is>
          <t>PES-0002</t>
        </is>
      </c>
      <c r="B86" s="6" t="inlineStr">
        <is>
          <t>PES-A</t>
        </is>
      </c>
      <c r="C86" s="6" t="inlineStr">
        <is>
          <t>聚酯</t>
        </is>
      </c>
      <c r="D86" s="6" t="inlineStr">
        <is>
          <t>TM004</t>
        </is>
      </c>
      <c r="E86" s="6" t="n">
        <v>1.35</v>
      </c>
      <c r="F86" s="6">
        <f>IFERROR(VLOOKUP($D86,'原料主数据'!$A:$E,4,FALSE),"待登记")</f>
        <v/>
      </c>
      <c r="G86" s="6">
        <f>IFERROR(VLOOKUP($D86,'原料主数据'!$A:$E,5,FALSE),"待登记")</f>
        <v/>
      </c>
      <c r="H86" s="6">
        <f>IFERROR($E86*VLOOKUP($D86,'原料主数据'!$A:$AN, 8, FALSE),"")</f>
        <v/>
      </c>
      <c r="I86" s="6">
        <f>IFERROR($E86*VLOOKUP($D86,'原料主数据'!$A:$AN, 9, FALSE),"")</f>
        <v/>
      </c>
      <c r="J86" s="6">
        <f>IFERROR($E86*VLOOKUP($D86,'原料主数据'!$A:$AN, 10, FALSE),"")</f>
        <v/>
      </c>
      <c r="K86" s="6">
        <f>IFERROR($E86*VLOOKUP($D86,'原料主数据'!$A:$AN, 11, FALSE),"")</f>
        <v/>
      </c>
      <c r="L86" s="6">
        <f>IFERROR($E86*VLOOKUP($D86,'原料主数据'!$A:$AN, 12, FALSE),"")</f>
        <v/>
      </c>
      <c r="M86" s="6">
        <f>IFERROR($E86*VLOOKUP($D86,'原料主数据'!$A:$AN, 13, FALSE),"")</f>
        <v/>
      </c>
      <c r="N86" s="6">
        <f>IFERROR($E86*VLOOKUP($D86,'原料主数据'!$A:$AN, 14, FALSE),"")</f>
        <v/>
      </c>
      <c r="O86" s="6">
        <f>IFERROR($E86*VLOOKUP($D86,'原料主数据'!$A:$AN, 15, FALSE),"")</f>
        <v/>
      </c>
      <c r="P86" s="6">
        <f>IFERROR($E86*VLOOKUP($D86,'原料主数据'!$A:$AN, 16, FALSE),"")</f>
        <v/>
      </c>
      <c r="Q86" s="6">
        <f>IFERROR($E86*VLOOKUP($D86,'原料主数据'!$A:$AN, 17, FALSE),"")</f>
        <v/>
      </c>
      <c r="R86" s="6">
        <f>IFERROR($E86*VLOOKUP($D86,'原料主数据'!$A:$AN, 18, FALSE),"")</f>
        <v/>
      </c>
      <c r="S86" s="6">
        <f>IFERROR($E86*VLOOKUP($D86,'原料主数据'!$A:$AN, 19, FALSE),"")</f>
        <v/>
      </c>
      <c r="T86" s="6">
        <f>IFERROR($E86*VLOOKUP($D86,'原料主数据'!$A:$AN, 20, FALSE),"")</f>
        <v/>
      </c>
      <c r="U86" s="6">
        <f>IFERROR($E86*VLOOKUP($D86,'原料主数据'!$A:$AN, 21, FALSE),"")</f>
        <v/>
      </c>
      <c r="V86" s="6">
        <f>IFERROR($E86*VLOOKUP($D86,'原料主数据'!$A:$AN, 22, FALSE),"")</f>
        <v/>
      </c>
      <c r="W86" s="6">
        <f>IFERROR($E86*VLOOKUP($D86,'原料主数据'!$A:$AN, 23, FALSE),"")</f>
        <v/>
      </c>
      <c r="X86" s="6">
        <f>IFERROR($E86*VLOOKUP($D86,'原料主数据'!$A:$AN, 24, FALSE),"")</f>
        <v/>
      </c>
      <c r="Y86" s="6">
        <f>IFERROR($E86*VLOOKUP($D86,'原料主数据'!$A:$AN, 25, FALSE),"")</f>
        <v/>
      </c>
      <c r="Z86" s="6">
        <f>IFERROR($E86*VLOOKUP($D86,'原料主数据'!$A:$AN, 26, FALSE),"")</f>
        <v/>
      </c>
      <c r="AA86" s="6">
        <f>IFERROR($E86*VLOOKUP($D86,'原料主数据'!$A:$AN, 27, FALSE),"")</f>
        <v/>
      </c>
      <c r="AB86" s="6">
        <f>IFERROR($E86*VLOOKUP($D86,'原料主数据'!$A:$AN, 28, FALSE),"")</f>
        <v/>
      </c>
      <c r="AC86" s="6">
        <f>IFERROR($E86*VLOOKUP($D86,'原料主数据'!$A:$AN, 29, FALSE),"")</f>
        <v/>
      </c>
      <c r="AD86" s="6">
        <f>IFERROR($E86*VLOOKUP($D86,'原料主数据'!$A:$AN, 30, FALSE),"")</f>
        <v/>
      </c>
      <c r="AE86" s="6">
        <f>IFERROR($E86*VLOOKUP($D86,'原料主数据'!$A:$AN, 31, FALSE),"")</f>
        <v/>
      </c>
      <c r="AF86" s="6">
        <f>IFERROR($E86*VLOOKUP($D86,'原料主数据'!$A:$AN, 32, FALSE),"")</f>
        <v/>
      </c>
      <c r="AG86" s="6">
        <f>IFERROR($E86*VLOOKUP($D86,'原料主数据'!$A:$AN, 33, FALSE),"")</f>
        <v/>
      </c>
      <c r="AH86" s="6">
        <f>IFERROR($E86*VLOOKUP($D86,'原料主数据'!$A:$AN, 34, FALSE),"")</f>
        <v/>
      </c>
      <c r="AI86" s="6">
        <f>IFERROR($E86*VLOOKUP($D86,'原料主数据'!$A:$AN, 35, FALSE),"")</f>
        <v/>
      </c>
      <c r="AJ86" s="6">
        <f>IFERROR($E86*VLOOKUP($D86,'原料主数据'!$A:$AN, 36, FALSE),"")</f>
        <v/>
      </c>
      <c r="AK86" s="6">
        <f>IFERROR($E86*VLOOKUP($D86,'原料主数据'!$A:$AN, 37, FALSE),"")</f>
        <v/>
      </c>
      <c r="AL86" s="6">
        <f>IFERROR($E86*VLOOKUP($D86,'原料主数据'!$A:$AN, 38, FALSE),"")</f>
        <v/>
      </c>
      <c r="AM86" s="6">
        <f>IFERROR($E86*VLOOKUP($D86,'原料主数据'!$A:$AN, 39, FALSE),"")</f>
        <v/>
      </c>
    </row>
    <row r="87">
      <c r="A87" s="7" t="inlineStr">
        <is>
          <t>PES-0003</t>
        </is>
      </c>
      <c r="B87" s="7" t="inlineStr">
        <is>
          <t>PES-B</t>
        </is>
      </c>
      <c r="C87" s="7" t="inlineStr">
        <is>
          <t>聚酯</t>
        </is>
      </c>
      <c r="D87" s="7" t="inlineStr">
        <is>
          <t>IR909</t>
        </is>
      </c>
      <c r="E87" s="7" t="n">
        <v>37.01</v>
      </c>
      <c r="F87" s="7">
        <f>IFERROR(VLOOKUP($D87,'原料主数据'!$A:$E,4,FALSE),"待登记")</f>
        <v/>
      </c>
      <c r="G87" s="7">
        <f>IFERROR(VLOOKUP($D87,'原料主数据'!$A:$E,5,FALSE),"待登记")</f>
        <v/>
      </c>
      <c r="H87" s="7">
        <f>IFERROR($E87*VLOOKUP($D87,'原料主数据'!$A:$AN, 8, FALSE),"")</f>
        <v/>
      </c>
      <c r="I87" s="7">
        <f>IFERROR($E87*VLOOKUP($D87,'原料主数据'!$A:$AN, 9, FALSE),"")</f>
        <v/>
      </c>
      <c r="J87" s="7">
        <f>IFERROR($E87*VLOOKUP($D87,'原料主数据'!$A:$AN, 10, FALSE),"")</f>
        <v/>
      </c>
      <c r="K87" s="7">
        <f>IFERROR($E87*VLOOKUP($D87,'原料主数据'!$A:$AN, 11, FALSE),"")</f>
        <v/>
      </c>
      <c r="L87" s="7">
        <f>IFERROR($E87*VLOOKUP($D87,'原料主数据'!$A:$AN, 12, FALSE),"")</f>
        <v/>
      </c>
      <c r="M87" s="7">
        <f>IFERROR($E87*VLOOKUP($D87,'原料主数据'!$A:$AN, 13, FALSE),"")</f>
        <v/>
      </c>
      <c r="N87" s="7">
        <f>IFERROR($E87*VLOOKUP($D87,'原料主数据'!$A:$AN, 14, FALSE),"")</f>
        <v/>
      </c>
      <c r="O87" s="7">
        <f>IFERROR($E87*VLOOKUP($D87,'原料主数据'!$A:$AN, 15, FALSE),"")</f>
        <v/>
      </c>
      <c r="P87" s="7">
        <f>IFERROR($E87*VLOOKUP($D87,'原料主数据'!$A:$AN, 16, FALSE),"")</f>
        <v/>
      </c>
      <c r="Q87" s="7">
        <f>IFERROR($E87*VLOOKUP($D87,'原料主数据'!$A:$AN, 17, FALSE),"")</f>
        <v/>
      </c>
      <c r="R87" s="7">
        <f>IFERROR($E87*VLOOKUP($D87,'原料主数据'!$A:$AN, 18, FALSE),"")</f>
        <v/>
      </c>
      <c r="S87" s="7">
        <f>IFERROR($E87*VLOOKUP($D87,'原料主数据'!$A:$AN, 19, FALSE),"")</f>
        <v/>
      </c>
      <c r="T87" s="7">
        <f>IFERROR($E87*VLOOKUP($D87,'原料主数据'!$A:$AN, 20, FALSE),"")</f>
        <v/>
      </c>
      <c r="U87" s="7">
        <f>IFERROR($E87*VLOOKUP($D87,'原料主数据'!$A:$AN, 21, FALSE),"")</f>
        <v/>
      </c>
      <c r="V87" s="7">
        <f>IFERROR($E87*VLOOKUP($D87,'原料主数据'!$A:$AN, 22, FALSE),"")</f>
        <v/>
      </c>
      <c r="W87" s="7">
        <f>IFERROR($E87*VLOOKUP($D87,'原料主数据'!$A:$AN, 23, FALSE),"")</f>
        <v/>
      </c>
      <c r="X87" s="7">
        <f>IFERROR($E87*VLOOKUP($D87,'原料主数据'!$A:$AN, 24, FALSE),"")</f>
        <v/>
      </c>
      <c r="Y87" s="7">
        <f>IFERROR($E87*VLOOKUP($D87,'原料主数据'!$A:$AN, 25, FALSE),"")</f>
        <v/>
      </c>
      <c r="Z87" s="7">
        <f>IFERROR($E87*VLOOKUP($D87,'原料主数据'!$A:$AN, 26, FALSE),"")</f>
        <v/>
      </c>
      <c r="AA87" s="7">
        <f>IFERROR($E87*VLOOKUP($D87,'原料主数据'!$A:$AN, 27, FALSE),"")</f>
        <v/>
      </c>
      <c r="AB87" s="7">
        <f>IFERROR($E87*VLOOKUP($D87,'原料主数据'!$A:$AN, 28, FALSE),"")</f>
        <v/>
      </c>
      <c r="AC87" s="7">
        <f>IFERROR($E87*VLOOKUP($D87,'原料主数据'!$A:$AN, 29, FALSE),"")</f>
        <v/>
      </c>
      <c r="AD87" s="7">
        <f>IFERROR($E87*VLOOKUP($D87,'原料主数据'!$A:$AN, 30, FALSE),"")</f>
        <v/>
      </c>
      <c r="AE87" s="7">
        <f>IFERROR($E87*VLOOKUP($D87,'原料主数据'!$A:$AN, 31, FALSE),"")</f>
        <v/>
      </c>
      <c r="AF87" s="7">
        <f>IFERROR($E87*VLOOKUP($D87,'原料主数据'!$A:$AN, 32, FALSE),"")</f>
        <v/>
      </c>
      <c r="AG87" s="7">
        <f>IFERROR($E87*VLOOKUP($D87,'原料主数据'!$A:$AN, 33, FALSE),"")</f>
        <v/>
      </c>
      <c r="AH87" s="7">
        <f>IFERROR($E87*VLOOKUP($D87,'原料主数据'!$A:$AN, 34, FALSE),"")</f>
        <v/>
      </c>
      <c r="AI87" s="7">
        <f>IFERROR($E87*VLOOKUP($D87,'原料主数据'!$A:$AN, 35, FALSE),"")</f>
        <v/>
      </c>
      <c r="AJ87" s="7">
        <f>IFERROR($E87*VLOOKUP($D87,'原料主数据'!$A:$AN, 36, FALSE),"")</f>
        <v/>
      </c>
      <c r="AK87" s="7">
        <f>IFERROR($E87*VLOOKUP($D87,'原料主数据'!$A:$AN, 37, FALSE),"")</f>
        <v/>
      </c>
      <c r="AL87" s="7">
        <f>IFERROR($E87*VLOOKUP($D87,'原料主数据'!$A:$AN, 38, FALSE),"")</f>
        <v/>
      </c>
      <c r="AM87" s="7">
        <f>IFERROR($E87*VLOOKUP($D87,'原料主数据'!$A:$AN, 39, FALSE),"")</f>
        <v/>
      </c>
    </row>
    <row r="88">
      <c r="A88" s="6" t="inlineStr">
        <is>
          <t>PES-0003</t>
        </is>
      </c>
      <c r="B88" s="6" t="inlineStr">
        <is>
          <t>PES-B</t>
        </is>
      </c>
      <c r="C88" s="6" t="inlineStr">
        <is>
          <t>聚酯</t>
        </is>
      </c>
      <c r="D88" s="6" t="inlineStr">
        <is>
          <t>RJ561</t>
        </is>
      </c>
      <c r="E88" s="6" t="n">
        <v>28.2</v>
      </c>
      <c r="F88" s="6">
        <f>IFERROR(VLOOKUP($D88,'原料主数据'!$A:$E,4,FALSE),"待登记")</f>
        <v/>
      </c>
      <c r="G88" s="6">
        <f>IFERROR(VLOOKUP($D88,'原料主数据'!$A:$E,5,FALSE),"待登记")</f>
        <v/>
      </c>
      <c r="H88" s="6">
        <f>IFERROR($E88*VLOOKUP($D88,'原料主数据'!$A:$AN, 8, FALSE),"")</f>
        <v/>
      </c>
      <c r="I88" s="6">
        <f>IFERROR($E88*VLOOKUP($D88,'原料主数据'!$A:$AN, 9, FALSE),"")</f>
        <v/>
      </c>
      <c r="J88" s="6">
        <f>IFERROR($E88*VLOOKUP($D88,'原料主数据'!$A:$AN, 10, FALSE),"")</f>
        <v/>
      </c>
      <c r="K88" s="6">
        <f>IFERROR($E88*VLOOKUP($D88,'原料主数据'!$A:$AN, 11, FALSE),"")</f>
        <v/>
      </c>
      <c r="L88" s="6">
        <f>IFERROR($E88*VLOOKUP($D88,'原料主数据'!$A:$AN, 12, FALSE),"")</f>
        <v/>
      </c>
      <c r="M88" s="6">
        <f>IFERROR($E88*VLOOKUP($D88,'原料主数据'!$A:$AN, 13, FALSE),"")</f>
        <v/>
      </c>
      <c r="N88" s="6">
        <f>IFERROR($E88*VLOOKUP($D88,'原料主数据'!$A:$AN, 14, FALSE),"")</f>
        <v/>
      </c>
      <c r="O88" s="6">
        <f>IFERROR($E88*VLOOKUP($D88,'原料主数据'!$A:$AN, 15, FALSE),"")</f>
        <v/>
      </c>
      <c r="P88" s="6">
        <f>IFERROR($E88*VLOOKUP($D88,'原料主数据'!$A:$AN, 16, FALSE),"")</f>
        <v/>
      </c>
      <c r="Q88" s="6">
        <f>IFERROR($E88*VLOOKUP($D88,'原料主数据'!$A:$AN, 17, FALSE),"")</f>
        <v/>
      </c>
      <c r="R88" s="6">
        <f>IFERROR($E88*VLOOKUP($D88,'原料主数据'!$A:$AN, 18, FALSE),"")</f>
        <v/>
      </c>
      <c r="S88" s="6">
        <f>IFERROR($E88*VLOOKUP($D88,'原料主数据'!$A:$AN, 19, FALSE),"")</f>
        <v/>
      </c>
      <c r="T88" s="6">
        <f>IFERROR($E88*VLOOKUP($D88,'原料主数据'!$A:$AN, 20, FALSE),"")</f>
        <v/>
      </c>
      <c r="U88" s="6">
        <f>IFERROR($E88*VLOOKUP($D88,'原料主数据'!$A:$AN, 21, FALSE),"")</f>
        <v/>
      </c>
      <c r="V88" s="6">
        <f>IFERROR($E88*VLOOKUP($D88,'原料主数据'!$A:$AN, 22, FALSE),"")</f>
        <v/>
      </c>
      <c r="W88" s="6">
        <f>IFERROR($E88*VLOOKUP($D88,'原料主数据'!$A:$AN, 23, FALSE),"")</f>
        <v/>
      </c>
      <c r="X88" s="6">
        <f>IFERROR($E88*VLOOKUP($D88,'原料主数据'!$A:$AN, 24, FALSE),"")</f>
        <v/>
      </c>
      <c r="Y88" s="6">
        <f>IFERROR($E88*VLOOKUP($D88,'原料主数据'!$A:$AN, 25, FALSE),"")</f>
        <v/>
      </c>
      <c r="Z88" s="6">
        <f>IFERROR($E88*VLOOKUP($D88,'原料主数据'!$A:$AN, 26, FALSE),"")</f>
        <v/>
      </c>
      <c r="AA88" s="6">
        <f>IFERROR($E88*VLOOKUP($D88,'原料主数据'!$A:$AN, 27, FALSE),"")</f>
        <v/>
      </c>
      <c r="AB88" s="6">
        <f>IFERROR($E88*VLOOKUP($D88,'原料主数据'!$A:$AN, 28, FALSE),"")</f>
        <v/>
      </c>
      <c r="AC88" s="6">
        <f>IFERROR($E88*VLOOKUP($D88,'原料主数据'!$A:$AN, 29, FALSE),"")</f>
        <v/>
      </c>
      <c r="AD88" s="6">
        <f>IFERROR($E88*VLOOKUP($D88,'原料主数据'!$A:$AN, 30, FALSE),"")</f>
        <v/>
      </c>
      <c r="AE88" s="6">
        <f>IFERROR($E88*VLOOKUP($D88,'原料主数据'!$A:$AN, 31, FALSE),"")</f>
        <v/>
      </c>
      <c r="AF88" s="6">
        <f>IFERROR($E88*VLOOKUP($D88,'原料主数据'!$A:$AN, 32, FALSE),"")</f>
        <v/>
      </c>
      <c r="AG88" s="6">
        <f>IFERROR($E88*VLOOKUP($D88,'原料主数据'!$A:$AN, 33, FALSE),"")</f>
        <v/>
      </c>
      <c r="AH88" s="6">
        <f>IFERROR($E88*VLOOKUP($D88,'原料主数据'!$A:$AN, 34, FALSE),"")</f>
        <v/>
      </c>
      <c r="AI88" s="6">
        <f>IFERROR($E88*VLOOKUP($D88,'原料主数据'!$A:$AN, 35, FALSE),"")</f>
        <v/>
      </c>
      <c r="AJ88" s="6">
        <f>IFERROR($E88*VLOOKUP($D88,'原料主数据'!$A:$AN, 36, FALSE),"")</f>
        <v/>
      </c>
      <c r="AK88" s="6">
        <f>IFERROR($E88*VLOOKUP($D88,'原料主数据'!$A:$AN, 37, FALSE),"")</f>
        <v/>
      </c>
      <c r="AL88" s="6">
        <f>IFERROR($E88*VLOOKUP($D88,'原料主数据'!$A:$AN, 38, FALSE),"")</f>
        <v/>
      </c>
      <c r="AM88" s="6">
        <f>IFERROR($E88*VLOOKUP($D88,'原料主数据'!$A:$AN, 39, FALSE),"")</f>
        <v/>
      </c>
    </row>
    <row r="89">
      <c r="A89" s="7" t="inlineStr">
        <is>
          <t>PES-0003</t>
        </is>
      </c>
      <c r="B89" s="7" t="inlineStr">
        <is>
          <t>PES-B</t>
        </is>
      </c>
      <c r="C89" s="7" t="inlineStr">
        <is>
          <t>聚酯</t>
        </is>
      </c>
      <c r="D89" s="7" t="inlineStr">
        <is>
          <t>RF516</t>
        </is>
      </c>
      <c r="E89" s="7" t="n">
        <v>10</v>
      </c>
      <c r="F89" s="7">
        <f>IFERROR(VLOOKUP($D89,'原料主数据'!$A:$E,4,FALSE),"待登记")</f>
        <v/>
      </c>
      <c r="G89" s="7">
        <f>IFERROR(VLOOKUP($D89,'原料主数据'!$A:$E,5,FALSE),"待登记")</f>
        <v/>
      </c>
      <c r="H89" s="7">
        <f>IFERROR($E89*VLOOKUP($D89,'原料主数据'!$A:$AN, 8, FALSE),"")</f>
        <v/>
      </c>
      <c r="I89" s="7">
        <f>IFERROR($E89*VLOOKUP($D89,'原料主数据'!$A:$AN, 9, FALSE),"")</f>
        <v/>
      </c>
      <c r="J89" s="7">
        <f>IFERROR($E89*VLOOKUP($D89,'原料主数据'!$A:$AN, 10, FALSE),"")</f>
        <v/>
      </c>
      <c r="K89" s="7">
        <f>IFERROR($E89*VLOOKUP($D89,'原料主数据'!$A:$AN, 11, FALSE),"")</f>
        <v/>
      </c>
      <c r="L89" s="7">
        <f>IFERROR($E89*VLOOKUP($D89,'原料主数据'!$A:$AN, 12, FALSE),"")</f>
        <v/>
      </c>
      <c r="M89" s="7">
        <f>IFERROR($E89*VLOOKUP($D89,'原料主数据'!$A:$AN, 13, FALSE),"")</f>
        <v/>
      </c>
      <c r="N89" s="7">
        <f>IFERROR($E89*VLOOKUP($D89,'原料主数据'!$A:$AN, 14, FALSE),"")</f>
        <v/>
      </c>
      <c r="O89" s="7">
        <f>IFERROR($E89*VLOOKUP($D89,'原料主数据'!$A:$AN, 15, FALSE),"")</f>
        <v/>
      </c>
      <c r="P89" s="7">
        <f>IFERROR($E89*VLOOKUP($D89,'原料主数据'!$A:$AN, 16, FALSE),"")</f>
        <v/>
      </c>
      <c r="Q89" s="7">
        <f>IFERROR($E89*VLOOKUP($D89,'原料主数据'!$A:$AN, 17, FALSE),"")</f>
        <v/>
      </c>
      <c r="R89" s="7">
        <f>IFERROR($E89*VLOOKUP($D89,'原料主数据'!$A:$AN, 18, FALSE),"")</f>
        <v/>
      </c>
      <c r="S89" s="7">
        <f>IFERROR($E89*VLOOKUP($D89,'原料主数据'!$A:$AN, 19, FALSE),"")</f>
        <v/>
      </c>
      <c r="T89" s="7">
        <f>IFERROR($E89*VLOOKUP($D89,'原料主数据'!$A:$AN, 20, FALSE),"")</f>
        <v/>
      </c>
      <c r="U89" s="7">
        <f>IFERROR($E89*VLOOKUP($D89,'原料主数据'!$A:$AN, 21, FALSE),"")</f>
        <v/>
      </c>
      <c r="V89" s="7">
        <f>IFERROR($E89*VLOOKUP($D89,'原料主数据'!$A:$AN, 22, FALSE),"")</f>
        <v/>
      </c>
      <c r="W89" s="7">
        <f>IFERROR($E89*VLOOKUP($D89,'原料主数据'!$A:$AN, 23, FALSE),"")</f>
        <v/>
      </c>
      <c r="X89" s="7">
        <f>IFERROR($E89*VLOOKUP($D89,'原料主数据'!$A:$AN, 24, FALSE),"")</f>
        <v/>
      </c>
      <c r="Y89" s="7">
        <f>IFERROR($E89*VLOOKUP($D89,'原料主数据'!$A:$AN, 25, FALSE),"")</f>
        <v/>
      </c>
      <c r="Z89" s="7">
        <f>IFERROR($E89*VLOOKUP($D89,'原料主数据'!$A:$AN, 26, FALSE),"")</f>
        <v/>
      </c>
      <c r="AA89" s="7">
        <f>IFERROR($E89*VLOOKUP($D89,'原料主数据'!$A:$AN, 27, FALSE),"")</f>
        <v/>
      </c>
      <c r="AB89" s="7">
        <f>IFERROR($E89*VLOOKUP($D89,'原料主数据'!$A:$AN, 28, FALSE),"")</f>
        <v/>
      </c>
      <c r="AC89" s="7">
        <f>IFERROR($E89*VLOOKUP($D89,'原料主数据'!$A:$AN, 29, FALSE),"")</f>
        <v/>
      </c>
      <c r="AD89" s="7">
        <f>IFERROR($E89*VLOOKUP($D89,'原料主数据'!$A:$AN, 30, FALSE),"")</f>
        <v/>
      </c>
      <c r="AE89" s="7">
        <f>IFERROR($E89*VLOOKUP($D89,'原料主数据'!$A:$AN, 31, FALSE),"")</f>
        <v/>
      </c>
      <c r="AF89" s="7">
        <f>IFERROR($E89*VLOOKUP($D89,'原料主数据'!$A:$AN, 32, FALSE),"")</f>
        <v/>
      </c>
      <c r="AG89" s="7">
        <f>IFERROR($E89*VLOOKUP($D89,'原料主数据'!$A:$AN, 33, FALSE),"")</f>
        <v/>
      </c>
      <c r="AH89" s="7">
        <f>IFERROR($E89*VLOOKUP($D89,'原料主数据'!$A:$AN, 34, FALSE),"")</f>
        <v/>
      </c>
      <c r="AI89" s="7">
        <f>IFERROR($E89*VLOOKUP($D89,'原料主数据'!$A:$AN, 35, FALSE),"")</f>
        <v/>
      </c>
      <c r="AJ89" s="7">
        <f>IFERROR($E89*VLOOKUP($D89,'原料主数据'!$A:$AN, 36, FALSE),"")</f>
        <v/>
      </c>
      <c r="AK89" s="7">
        <f>IFERROR($E89*VLOOKUP($D89,'原料主数据'!$A:$AN, 37, FALSE),"")</f>
        <v/>
      </c>
      <c r="AL89" s="7">
        <f>IFERROR($E89*VLOOKUP($D89,'原料主数据'!$A:$AN, 38, FALSE),"")</f>
        <v/>
      </c>
      <c r="AM89" s="7">
        <f>IFERROR($E89*VLOOKUP($D89,'原料主数据'!$A:$AN, 39, FALSE),"")</f>
        <v/>
      </c>
    </row>
    <row r="90">
      <c r="A90" s="6" t="inlineStr">
        <is>
          <t>PES-0003</t>
        </is>
      </c>
      <c r="B90" s="6" t="inlineStr">
        <is>
          <t>PES-B</t>
        </is>
      </c>
      <c r="C90" s="6" t="inlineStr">
        <is>
          <t>聚酯</t>
        </is>
      </c>
      <c r="D90" s="6" t="inlineStr">
        <is>
          <t>RY460</t>
        </is>
      </c>
      <c r="E90" s="6" t="n">
        <v>5</v>
      </c>
      <c r="F90" s="6">
        <f>IFERROR(VLOOKUP($D90,'原料主数据'!$A:$E,4,FALSE),"待登记")</f>
        <v/>
      </c>
      <c r="G90" s="6">
        <f>IFERROR(VLOOKUP($D90,'原料主数据'!$A:$E,5,FALSE),"待登记")</f>
        <v/>
      </c>
      <c r="H90" s="6">
        <f>IFERROR($E90*VLOOKUP($D90,'原料主数据'!$A:$AN, 8, FALSE),"")</f>
        <v/>
      </c>
      <c r="I90" s="6">
        <f>IFERROR($E90*VLOOKUP($D90,'原料主数据'!$A:$AN, 9, FALSE),"")</f>
        <v/>
      </c>
      <c r="J90" s="6">
        <f>IFERROR($E90*VLOOKUP($D90,'原料主数据'!$A:$AN, 10, FALSE),"")</f>
        <v/>
      </c>
      <c r="K90" s="6">
        <f>IFERROR($E90*VLOOKUP($D90,'原料主数据'!$A:$AN, 11, FALSE),"")</f>
        <v/>
      </c>
      <c r="L90" s="6">
        <f>IFERROR($E90*VLOOKUP($D90,'原料主数据'!$A:$AN, 12, FALSE),"")</f>
        <v/>
      </c>
      <c r="M90" s="6">
        <f>IFERROR($E90*VLOOKUP($D90,'原料主数据'!$A:$AN, 13, FALSE),"")</f>
        <v/>
      </c>
      <c r="N90" s="6">
        <f>IFERROR($E90*VLOOKUP($D90,'原料主数据'!$A:$AN, 14, FALSE),"")</f>
        <v/>
      </c>
      <c r="O90" s="6">
        <f>IFERROR($E90*VLOOKUP($D90,'原料主数据'!$A:$AN, 15, FALSE),"")</f>
        <v/>
      </c>
      <c r="P90" s="6">
        <f>IFERROR($E90*VLOOKUP($D90,'原料主数据'!$A:$AN, 16, FALSE),"")</f>
        <v/>
      </c>
      <c r="Q90" s="6">
        <f>IFERROR($E90*VLOOKUP($D90,'原料主数据'!$A:$AN, 17, FALSE),"")</f>
        <v/>
      </c>
      <c r="R90" s="6">
        <f>IFERROR($E90*VLOOKUP($D90,'原料主数据'!$A:$AN, 18, FALSE),"")</f>
        <v/>
      </c>
      <c r="S90" s="6">
        <f>IFERROR($E90*VLOOKUP($D90,'原料主数据'!$A:$AN, 19, FALSE),"")</f>
        <v/>
      </c>
      <c r="T90" s="6">
        <f>IFERROR($E90*VLOOKUP($D90,'原料主数据'!$A:$AN, 20, FALSE),"")</f>
        <v/>
      </c>
      <c r="U90" s="6">
        <f>IFERROR($E90*VLOOKUP($D90,'原料主数据'!$A:$AN, 21, FALSE),"")</f>
        <v/>
      </c>
      <c r="V90" s="6">
        <f>IFERROR($E90*VLOOKUP($D90,'原料主数据'!$A:$AN, 22, FALSE),"")</f>
        <v/>
      </c>
      <c r="W90" s="6">
        <f>IFERROR($E90*VLOOKUP($D90,'原料主数据'!$A:$AN, 23, FALSE),"")</f>
        <v/>
      </c>
      <c r="X90" s="6">
        <f>IFERROR($E90*VLOOKUP($D90,'原料主数据'!$A:$AN, 24, FALSE),"")</f>
        <v/>
      </c>
      <c r="Y90" s="6">
        <f>IFERROR($E90*VLOOKUP($D90,'原料主数据'!$A:$AN, 25, FALSE),"")</f>
        <v/>
      </c>
      <c r="Z90" s="6">
        <f>IFERROR($E90*VLOOKUP($D90,'原料主数据'!$A:$AN, 26, FALSE),"")</f>
        <v/>
      </c>
      <c r="AA90" s="6">
        <f>IFERROR($E90*VLOOKUP($D90,'原料主数据'!$A:$AN, 27, FALSE),"")</f>
        <v/>
      </c>
      <c r="AB90" s="6">
        <f>IFERROR($E90*VLOOKUP($D90,'原料主数据'!$A:$AN, 28, FALSE),"")</f>
        <v/>
      </c>
      <c r="AC90" s="6">
        <f>IFERROR($E90*VLOOKUP($D90,'原料主数据'!$A:$AN, 29, FALSE),"")</f>
        <v/>
      </c>
      <c r="AD90" s="6">
        <f>IFERROR($E90*VLOOKUP($D90,'原料主数据'!$A:$AN, 30, FALSE),"")</f>
        <v/>
      </c>
      <c r="AE90" s="6">
        <f>IFERROR($E90*VLOOKUP($D90,'原料主数据'!$A:$AN, 31, FALSE),"")</f>
        <v/>
      </c>
      <c r="AF90" s="6">
        <f>IFERROR($E90*VLOOKUP($D90,'原料主数据'!$A:$AN, 32, FALSE),"")</f>
        <v/>
      </c>
      <c r="AG90" s="6">
        <f>IFERROR($E90*VLOOKUP($D90,'原料主数据'!$A:$AN, 33, FALSE),"")</f>
        <v/>
      </c>
      <c r="AH90" s="6">
        <f>IFERROR($E90*VLOOKUP($D90,'原料主数据'!$A:$AN, 34, FALSE),"")</f>
        <v/>
      </c>
      <c r="AI90" s="6">
        <f>IFERROR($E90*VLOOKUP($D90,'原料主数据'!$A:$AN, 35, FALSE),"")</f>
        <v/>
      </c>
      <c r="AJ90" s="6">
        <f>IFERROR($E90*VLOOKUP($D90,'原料主数据'!$A:$AN, 36, FALSE),"")</f>
        <v/>
      </c>
      <c r="AK90" s="6">
        <f>IFERROR($E90*VLOOKUP($D90,'原料主数据'!$A:$AN, 37, FALSE),"")</f>
        <v/>
      </c>
      <c r="AL90" s="6">
        <f>IFERROR($E90*VLOOKUP($D90,'原料主数据'!$A:$AN, 38, FALSE),"")</f>
        <v/>
      </c>
      <c r="AM90" s="6">
        <f>IFERROR($E90*VLOOKUP($D90,'原料主数据'!$A:$AN, 39, FALSE),"")</f>
        <v/>
      </c>
    </row>
    <row r="91">
      <c r="A91" s="7" t="inlineStr">
        <is>
          <t>PES-0003</t>
        </is>
      </c>
      <c r="B91" s="7" t="inlineStr">
        <is>
          <t>PES-B</t>
        </is>
      </c>
      <c r="C91" s="7" t="inlineStr">
        <is>
          <t>聚酯</t>
        </is>
      </c>
      <c r="D91" s="7" t="inlineStr">
        <is>
          <t>AC040</t>
        </is>
      </c>
      <c r="E91" s="7" t="n">
        <v>0.15</v>
      </c>
      <c r="F91" s="7">
        <f>IFERROR(VLOOKUP($D91,'原料主数据'!$A:$E,4,FALSE),"待登记")</f>
        <v/>
      </c>
      <c r="G91" s="7">
        <f>IFERROR(VLOOKUP($D91,'原料主数据'!$A:$E,5,FALSE),"待登记")</f>
        <v/>
      </c>
      <c r="H91" s="7">
        <f>IFERROR($E91*VLOOKUP($D91,'原料主数据'!$A:$AN, 8, FALSE),"")</f>
        <v/>
      </c>
      <c r="I91" s="7">
        <f>IFERROR($E91*VLOOKUP($D91,'原料主数据'!$A:$AN, 9, FALSE),"")</f>
        <v/>
      </c>
      <c r="J91" s="7">
        <f>IFERROR($E91*VLOOKUP($D91,'原料主数据'!$A:$AN, 10, FALSE),"")</f>
        <v/>
      </c>
      <c r="K91" s="7">
        <f>IFERROR($E91*VLOOKUP($D91,'原料主数据'!$A:$AN, 11, FALSE),"")</f>
        <v/>
      </c>
      <c r="L91" s="7">
        <f>IFERROR($E91*VLOOKUP($D91,'原料主数据'!$A:$AN, 12, FALSE),"")</f>
        <v/>
      </c>
      <c r="M91" s="7">
        <f>IFERROR($E91*VLOOKUP($D91,'原料主数据'!$A:$AN, 13, FALSE),"")</f>
        <v/>
      </c>
      <c r="N91" s="7">
        <f>IFERROR($E91*VLOOKUP($D91,'原料主数据'!$A:$AN, 14, FALSE),"")</f>
        <v/>
      </c>
      <c r="O91" s="7">
        <f>IFERROR($E91*VLOOKUP($D91,'原料主数据'!$A:$AN, 15, FALSE),"")</f>
        <v/>
      </c>
      <c r="P91" s="7">
        <f>IFERROR($E91*VLOOKUP($D91,'原料主数据'!$A:$AN, 16, FALSE),"")</f>
        <v/>
      </c>
      <c r="Q91" s="7">
        <f>IFERROR($E91*VLOOKUP($D91,'原料主数据'!$A:$AN, 17, FALSE),"")</f>
        <v/>
      </c>
      <c r="R91" s="7">
        <f>IFERROR($E91*VLOOKUP($D91,'原料主数据'!$A:$AN, 18, FALSE),"")</f>
        <v/>
      </c>
      <c r="S91" s="7">
        <f>IFERROR($E91*VLOOKUP($D91,'原料主数据'!$A:$AN, 19, FALSE),"")</f>
        <v/>
      </c>
      <c r="T91" s="7">
        <f>IFERROR($E91*VLOOKUP($D91,'原料主数据'!$A:$AN, 20, FALSE),"")</f>
        <v/>
      </c>
      <c r="U91" s="7">
        <f>IFERROR($E91*VLOOKUP($D91,'原料主数据'!$A:$AN, 21, FALSE),"")</f>
        <v/>
      </c>
      <c r="V91" s="7">
        <f>IFERROR($E91*VLOOKUP($D91,'原料主数据'!$A:$AN, 22, FALSE),"")</f>
        <v/>
      </c>
      <c r="W91" s="7">
        <f>IFERROR($E91*VLOOKUP($D91,'原料主数据'!$A:$AN, 23, FALSE),"")</f>
        <v/>
      </c>
      <c r="X91" s="7">
        <f>IFERROR($E91*VLOOKUP($D91,'原料主数据'!$A:$AN, 24, FALSE),"")</f>
        <v/>
      </c>
      <c r="Y91" s="7">
        <f>IFERROR($E91*VLOOKUP($D91,'原料主数据'!$A:$AN, 25, FALSE),"")</f>
        <v/>
      </c>
      <c r="Z91" s="7">
        <f>IFERROR($E91*VLOOKUP($D91,'原料主数据'!$A:$AN, 26, FALSE),"")</f>
        <v/>
      </c>
      <c r="AA91" s="7">
        <f>IFERROR($E91*VLOOKUP($D91,'原料主数据'!$A:$AN, 27, FALSE),"")</f>
        <v/>
      </c>
      <c r="AB91" s="7">
        <f>IFERROR($E91*VLOOKUP($D91,'原料主数据'!$A:$AN, 28, FALSE),"")</f>
        <v/>
      </c>
      <c r="AC91" s="7">
        <f>IFERROR($E91*VLOOKUP($D91,'原料主数据'!$A:$AN, 29, FALSE),"")</f>
        <v/>
      </c>
      <c r="AD91" s="7">
        <f>IFERROR($E91*VLOOKUP($D91,'原料主数据'!$A:$AN, 30, FALSE),"")</f>
        <v/>
      </c>
      <c r="AE91" s="7">
        <f>IFERROR($E91*VLOOKUP($D91,'原料主数据'!$A:$AN, 31, FALSE),"")</f>
        <v/>
      </c>
      <c r="AF91" s="7">
        <f>IFERROR($E91*VLOOKUP($D91,'原料主数据'!$A:$AN, 32, FALSE),"")</f>
        <v/>
      </c>
      <c r="AG91" s="7">
        <f>IFERROR($E91*VLOOKUP($D91,'原料主数据'!$A:$AN, 33, FALSE),"")</f>
        <v/>
      </c>
      <c r="AH91" s="7">
        <f>IFERROR($E91*VLOOKUP($D91,'原料主数据'!$A:$AN, 34, FALSE),"")</f>
        <v/>
      </c>
      <c r="AI91" s="7">
        <f>IFERROR($E91*VLOOKUP($D91,'原料主数据'!$A:$AN, 35, FALSE),"")</f>
        <v/>
      </c>
      <c r="AJ91" s="7">
        <f>IFERROR($E91*VLOOKUP($D91,'原料主数据'!$A:$AN, 36, FALSE),"")</f>
        <v/>
      </c>
      <c r="AK91" s="7">
        <f>IFERROR($E91*VLOOKUP($D91,'原料主数据'!$A:$AN, 37, FALSE),"")</f>
        <v/>
      </c>
      <c r="AL91" s="7">
        <f>IFERROR($E91*VLOOKUP($D91,'原料主数据'!$A:$AN, 38, FALSE),"")</f>
        <v/>
      </c>
      <c r="AM91" s="7">
        <f>IFERROR($E91*VLOOKUP($D91,'原料主数据'!$A:$AN, 39, FALSE),"")</f>
        <v/>
      </c>
    </row>
    <row r="92">
      <c r="A92" s="6" t="inlineStr">
        <is>
          <t>PES-0003</t>
        </is>
      </c>
      <c r="B92" s="6" t="inlineStr">
        <is>
          <t>PES-B</t>
        </is>
      </c>
      <c r="C92" s="6" t="inlineStr">
        <is>
          <t>聚酯</t>
        </is>
      </c>
      <c r="D92" s="6" t="inlineStr">
        <is>
          <t>TF100</t>
        </is>
      </c>
      <c r="E92" s="6" t="n">
        <v>3.35</v>
      </c>
      <c r="F92" s="6">
        <f>IFERROR(VLOOKUP($D92,'原料主数据'!$A:$E,4,FALSE),"待登记")</f>
        <v/>
      </c>
      <c r="G92" s="6">
        <f>IFERROR(VLOOKUP($D92,'原料主数据'!$A:$E,5,FALSE),"待登记")</f>
        <v/>
      </c>
      <c r="H92" s="6">
        <f>IFERROR($E92*VLOOKUP($D92,'原料主数据'!$A:$AN, 8, FALSE),"")</f>
        <v/>
      </c>
      <c r="I92" s="6">
        <f>IFERROR($E92*VLOOKUP($D92,'原料主数据'!$A:$AN, 9, FALSE),"")</f>
        <v/>
      </c>
      <c r="J92" s="6">
        <f>IFERROR($E92*VLOOKUP($D92,'原料主数据'!$A:$AN, 10, FALSE),"")</f>
        <v/>
      </c>
      <c r="K92" s="6">
        <f>IFERROR($E92*VLOOKUP($D92,'原料主数据'!$A:$AN, 11, FALSE),"")</f>
        <v/>
      </c>
      <c r="L92" s="6">
        <f>IFERROR($E92*VLOOKUP($D92,'原料主数据'!$A:$AN, 12, FALSE),"")</f>
        <v/>
      </c>
      <c r="M92" s="6">
        <f>IFERROR($E92*VLOOKUP($D92,'原料主数据'!$A:$AN, 13, FALSE),"")</f>
        <v/>
      </c>
      <c r="N92" s="6">
        <f>IFERROR($E92*VLOOKUP($D92,'原料主数据'!$A:$AN, 14, FALSE),"")</f>
        <v/>
      </c>
      <c r="O92" s="6">
        <f>IFERROR($E92*VLOOKUP($D92,'原料主数据'!$A:$AN, 15, FALSE),"")</f>
        <v/>
      </c>
      <c r="P92" s="6">
        <f>IFERROR($E92*VLOOKUP($D92,'原料主数据'!$A:$AN, 16, FALSE),"")</f>
        <v/>
      </c>
      <c r="Q92" s="6">
        <f>IFERROR($E92*VLOOKUP($D92,'原料主数据'!$A:$AN, 17, FALSE),"")</f>
        <v/>
      </c>
      <c r="R92" s="6">
        <f>IFERROR($E92*VLOOKUP($D92,'原料主数据'!$A:$AN, 18, FALSE),"")</f>
        <v/>
      </c>
      <c r="S92" s="6">
        <f>IFERROR($E92*VLOOKUP($D92,'原料主数据'!$A:$AN, 19, FALSE),"")</f>
        <v/>
      </c>
      <c r="T92" s="6">
        <f>IFERROR($E92*VLOOKUP($D92,'原料主数据'!$A:$AN, 20, FALSE),"")</f>
        <v/>
      </c>
      <c r="U92" s="6">
        <f>IFERROR($E92*VLOOKUP($D92,'原料主数据'!$A:$AN, 21, FALSE),"")</f>
        <v/>
      </c>
      <c r="V92" s="6">
        <f>IFERROR($E92*VLOOKUP($D92,'原料主数据'!$A:$AN, 22, FALSE),"")</f>
        <v/>
      </c>
      <c r="W92" s="6">
        <f>IFERROR($E92*VLOOKUP($D92,'原料主数据'!$A:$AN, 23, FALSE),"")</f>
        <v/>
      </c>
      <c r="X92" s="6">
        <f>IFERROR($E92*VLOOKUP($D92,'原料主数据'!$A:$AN, 24, FALSE),"")</f>
        <v/>
      </c>
      <c r="Y92" s="6">
        <f>IFERROR($E92*VLOOKUP($D92,'原料主数据'!$A:$AN, 25, FALSE),"")</f>
        <v/>
      </c>
      <c r="Z92" s="6">
        <f>IFERROR($E92*VLOOKUP($D92,'原料主数据'!$A:$AN, 26, FALSE),"")</f>
        <v/>
      </c>
      <c r="AA92" s="6">
        <f>IFERROR($E92*VLOOKUP($D92,'原料主数据'!$A:$AN, 27, FALSE),"")</f>
        <v/>
      </c>
      <c r="AB92" s="6">
        <f>IFERROR($E92*VLOOKUP($D92,'原料主数据'!$A:$AN, 28, FALSE),"")</f>
        <v/>
      </c>
      <c r="AC92" s="6">
        <f>IFERROR($E92*VLOOKUP($D92,'原料主数据'!$A:$AN, 29, FALSE),"")</f>
        <v/>
      </c>
      <c r="AD92" s="6">
        <f>IFERROR($E92*VLOOKUP($D92,'原料主数据'!$A:$AN, 30, FALSE),"")</f>
        <v/>
      </c>
      <c r="AE92" s="6">
        <f>IFERROR($E92*VLOOKUP($D92,'原料主数据'!$A:$AN, 31, FALSE),"")</f>
        <v/>
      </c>
      <c r="AF92" s="6">
        <f>IFERROR($E92*VLOOKUP($D92,'原料主数据'!$A:$AN, 32, FALSE),"")</f>
        <v/>
      </c>
      <c r="AG92" s="6">
        <f>IFERROR($E92*VLOOKUP($D92,'原料主数据'!$A:$AN, 33, FALSE),"")</f>
        <v/>
      </c>
      <c r="AH92" s="6">
        <f>IFERROR($E92*VLOOKUP($D92,'原料主数据'!$A:$AN, 34, FALSE),"")</f>
        <v/>
      </c>
      <c r="AI92" s="6">
        <f>IFERROR($E92*VLOOKUP($D92,'原料主数据'!$A:$AN, 35, FALSE),"")</f>
        <v/>
      </c>
      <c r="AJ92" s="6">
        <f>IFERROR($E92*VLOOKUP($D92,'原料主数据'!$A:$AN, 36, FALSE),"")</f>
        <v/>
      </c>
      <c r="AK92" s="6">
        <f>IFERROR($E92*VLOOKUP($D92,'原料主数据'!$A:$AN, 37, FALSE),"")</f>
        <v/>
      </c>
      <c r="AL92" s="6">
        <f>IFERROR($E92*VLOOKUP($D92,'原料主数据'!$A:$AN, 38, FALSE),"")</f>
        <v/>
      </c>
      <c r="AM92" s="6">
        <f>IFERROR($E92*VLOOKUP($D92,'原料主数据'!$A:$AN, 39, FALSE),"")</f>
        <v/>
      </c>
    </row>
    <row r="93">
      <c r="A93" s="7" t="inlineStr">
        <is>
          <t>PES-0003</t>
        </is>
      </c>
      <c r="B93" s="7" t="inlineStr">
        <is>
          <t>PES-B</t>
        </is>
      </c>
      <c r="C93" s="7" t="inlineStr">
        <is>
          <t>聚酯</t>
        </is>
      </c>
      <c r="D93" s="7" t="inlineStr">
        <is>
          <t>TM004</t>
        </is>
      </c>
      <c r="E93" s="7" t="n">
        <v>1.35</v>
      </c>
      <c r="F93" s="7">
        <f>IFERROR(VLOOKUP($D93,'原料主数据'!$A:$E,4,FALSE),"待登记")</f>
        <v/>
      </c>
      <c r="G93" s="7">
        <f>IFERROR(VLOOKUP($D93,'原料主数据'!$A:$E,5,FALSE),"待登记")</f>
        <v/>
      </c>
      <c r="H93" s="7">
        <f>IFERROR($E93*VLOOKUP($D93,'原料主数据'!$A:$AN, 8, FALSE),"")</f>
        <v/>
      </c>
      <c r="I93" s="7">
        <f>IFERROR($E93*VLOOKUP($D93,'原料主数据'!$A:$AN, 9, FALSE),"")</f>
        <v/>
      </c>
      <c r="J93" s="7">
        <f>IFERROR($E93*VLOOKUP($D93,'原料主数据'!$A:$AN, 10, FALSE),"")</f>
        <v/>
      </c>
      <c r="K93" s="7">
        <f>IFERROR($E93*VLOOKUP($D93,'原料主数据'!$A:$AN, 11, FALSE),"")</f>
        <v/>
      </c>
      <c r="L93" s="7">
        <f>IFERROR($E93*VLOOKUP($D93,'原料主数据'!$A:$AN, 12, FALSE),"")</f>
        <v/>
      </c>
      <c r="M93" s="7">
        <f>IFERROR($E93*VLOOKUP($D93,'原料主数据'!$A:$AN, 13, FALSE),"")</f>
        <v/>
      </c>
      <c r="N93" s="7">
        <f>IFERROR($E93*VLOOKUP($D93,'原料主数据'!$A:$AN, 14, FALSE),"")</f>
        <v/>
      </c>
      <c r="O93" s="7">
        <f>IFERROR($E93*VLOOKUP($D93,'原料主数据'!$A:$AN, 15, FALSE),"")</f>
        <v/>
      </c>
      <c r="P93" s="7">
        <f>IFERROR($E93*VLOOKUP($D93,'原料主数据'!$A:$AN, 16, FALSE),"")</f>
        <v/>
      </c>
      <c r="Q93" s="7">
        <f>IFERROR($E93*VLOOKUP($D93,'原料主数据'!$A:$AN, 17, FALSE),"")</f>
        <v/>
      </c>
      <c r="R93" s="7">
        <f>IFERROR($E93*VLOOKUP($D93,'原料主数据'!$A:$AN, 18, FALSE),"")</f>
        <v/>
      </c>
      <c r="S93" s="7">
        <f>IFERROR($E93*VLOOKUP($D93,'原料主数据'!$A:$AN, 19, FALSE),"")</f>
        <v/>
      </c>
      <c r="T93" s="7">
        <f>IFERROR($E93*VLOOKUP($D93,'原料主数据'!$A:$AN, 20, FALSE),"")</f>
        <v/>
      </c>
      <c r="U93" s="7">
        <f>IFERROR($E93*VLOOKUP($D93,'原料主数据'!$A:$AN, 21, FALSE),"")</f>
        <v/>
      </c>
      <c r="V93" s="7">
        <f>IFERROR($E93*VLOOKUP($D93,'原料主数据'!$A:$AN, 22, FALSE),"")</f>
        <v/>
      </c>
      <c r="W93" s="7">
        <f>IFERROR($E93*VLOOKUP($D93,'原料主数据'!$A:$AN, 23, FALSE),"")</f>
        <v/>
      </c>
      <c r="X93" s="7">
        <f>IFERROR($E93*VLOOKUP($D93,'原料主数据'!$A:$AN, 24, FALSE),"")</f>
        <v/>
      </c>
      <c r="Y93" s="7">
        <f>IFERROR($E93*VLOOKUP($D93,'原料主数据'!$A:$AN, 25, FALSE),"")</f>
        <v/>
      </c>
      <c r="Z93" s="7">
        <f>IFERROR($E93*VLOOKUP($D93,'原料主数据'!$A:$AN, 26, FALSE),"")</f>
        <v/>
      </c>
      <c r="AA93" s="7">
        <f>IFERROR($E93*VLOOKUP($D93,'原料主数据'!$A:$AN, 27, FALSE),"")</f>
        <v/>
      </c>
      <c r="AB93" s="7">
        <f>IFERROR($E93*VLOOKUP($D93,'原料主数据'!$A:$AN, 28, FALSE),"")</f>
        <v/>
      </c>
      <c r="AC93" s="7">
        <f>IFERROR($E93*VLOOKUP($D93,'原料主数据'!$A:$AN, 29, FALSE),"")</f>
        <v/>
      </c>
      <c r="AD93" s="7">
        <f>IFERROR($E93*VLOOKUP($D93,'原料主数据'!$A:$AN, 30, FALSE),"")</f>
        <v/>
      </c>
      <c r="AE93" s="7">
        <f>IFERROR($E93*VLOOKUP($D93,'原料主数据'!$A:$AN, 31, FALSE),"")</f>
        <v/>
      </c>
      <c r="AF93" s="7">
        <f>IFERROR($E93*VLOOKUP($D93,'原料主数据'!$A:$AN, 32, FALSE),"")</f>
        <v/>
      </c>
      <c r="AG93" s="7">
        <f>IFERROR($E93*VLOOKUP($D93,'原料主数据'!$A:$AN, 33, FALSE),"")</f>
        <v/>
      </c>
      <c r="AH93" s="7">
        <f>IFERROR($E93*VLOOKUP($D93,'原料主数据'!$A:$AN, 34, FALSE),"")</f>
        <v/>
      </c>
      <c r="AI93" s="7">
        <f>IFERROR($E93*VLOOKUP($D93,'原料主数据'!$A:$AN, 35, FALSE),"")</f>
        <v/>
      </c>
      <c r="AJ93" s="7">
        <f>IFERROR($E93*VLOOKUP($D93,'原料主数据'!$A:$AN, 36, FALSE),"")</f>
        <v/>
      </c>
      <c r="AK93" s="7">
        <f>IFERROR($E93*VLOOKUP($D93,'原料主数据'!$A:$AN, 37, FALSE),"")</f>
        <v/>
      </c>
      <c r="AL93" s="7">
        <f>IFERROR($E93*VLOOKUP($D93,'原料主数据'!$A:$AN, 38, FALSE),"")</f>
        <v/>
      </c>
      <c r="AM93" s="7">
        <f>IFERROR($E93*VLOOKUP($D93,'原料主数据'!$A:$AN, 39, FALSE),"")</f>
        <v/>
      </c>
    </row>
  </sheetData>
  <conditionalFormatting sqref="D2:D93">
    <cfRule type="expression" priority="1" dxfId="0" stopIfTrue="1">
      <formula>ISNA(MATCH($D2,'原料主数据'!$A:$A,0))</formula>
    </cfRule>
  </conditionalFormatting>
  <dataValidations count="1">
    <dataValidation sqref="C2:C10000" showDropDown="0" showInputMessage="0" showErrorMessage="0" allowBlank="1" type="list">
      <formula1>"环氧酚醛,有机,聚酯,聚氨酯,丙烯酸,环氧胺"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0" customWidth="1" min="4" max="4"/>
    <col width="8" customWidth="1" min="5" max="5"/>
    <col width="10" customWidth="1" min="6" max="6"/>
    <col width="12" customWidth="1" min="7" max="7"/>
    <col width="10" customWidth="1" min="8" max="8"/>
    <col width="22" customWidth="1" min="9" max="9"/>
    <col width="12" customWidth="1" min="10" max="10"/>
    <col width="14" customWidth="1" min="11" max="11"/>
  </cols>
  <sheetData>
    <row r="1">
      <c r="A1" s="4" t="inlineStr">
        <is>
          <t>样本ID</t>
        </is>
      </c>
      <c r="B1" s="4" t="inlineStr">
        <is>
          <t>体系</t>
        </is>
      </c>
      <c r="C1" s="4" t="inlineStr">
        <is>
          <t>目标属性</t>
        </is>
      </c>
      <c r="D1" s="4" t="inlineStr">
        <is>
          <t>测试值</t>
        </is>
      </c>
      <c r="E1" s="4" t="inlineStr">
        <is>
          <t>单位</t>
        </is>
      </c>
      <c r="F1" s="4" t="inlineStr">
        <is>
          <t>标签状态</t>
        </is>
      </c>
      <c r="G1" s="4" t="inlineStr">
        <is>
          <t>标签来源</t>
        </is>
      </c>
      <c r="H1" s="4" t="inlineStr">
        <is>
          <t>不确定性</t>
        </is>
      </c>
      <c r="I1" s="4" t="inlineStr">
        <is>
          <t>测试条件</t>
        </is>
      </c>
      <c r="J1" s="4" t="inlineStr">
        <is>
          <t>测试日期</t>
        </is>
      </c>
      <c r="K1" s="4" t="inlineStr">
        <is>
          <t>备注</t>
        </is>
      </c>
    </row>
    <row r="2">
      <c r="A2" s="6" t="inlineStr">
        <is>
          <t>EP-0001</t>
        </is>
      </c>
      <c r="B2" s="6" t="inlineStr">
        <is>
          <t>环氧酚醛</t>
        </is>
      </c>
      <c r="C2" s="6" t="inlineStr">
        <is>
          <t>T弯</t>
        </is>
      </c>
      <c r="D2" s="6" t="n">
        <v>17.415</v>
      </c>
      <c r="E2" s="6" t="inlineStr">
        <is>
          <t>mm</t>
        </is>
      </c>
      <c r="F2" s="8" t="inlineStr">
        <is>
          <t>实测</t>
        </is>
      </c>
      <c r="G2" s="6" t="inlineStr">
        <is>
          <t>实验室</t>
        </is>
      </c>
      <c r="H2" s="6" t="inlineStr"/>
      <c r="I2" s="6" t="inlineStr">
        <is>
          <t>205℃ 17min</t>
        </is>
      </c>
      <c r="J2" s="6" t="inlineStr">
        <is>
          <t>2026-08-06</t>
        </is>
      </c>
      <c r="K2" s="6" t="inlineStr"/>
    </row>
    <row r="3">
      <c r="A3" s="7" t="inlineStr">
        <is>
          <t>EP-0001</t>
        </is>
      </c>
      <c r="B3" s="7" t="inlineStr">
        <is>
          <t>环氧酚醛</t>
        </is>
      </c>
      <c r="C3" s="7" t="inlineStr">
        <is>
          <t>MEK擦拭</t>
        </is>
      </c>
      <c r="D3" s="7" t="n">
        <v>9</v>
      </c>
      <c r="E3" s="7" t="inlineStr">
        <is>
          <t>次</t>
        </is>
      </c>
      <c r="F3" s="8" t="inlineStr">
        <is>
          <t>实测</t>
        </is>
      </c>
      <c r="G3" s="7" t="inlineStr">
        <is>
          <t>实验室</t>
        </is>
      </c>
      <c r="H3" s="7" t="inlineStr"/>
      <c r="I3" s="7" t="inlineStr">
        <is>
          <t>205℃ 17min</t>
        </is>
      </c>
      <c r="J3" s="7" t="inlineStr">
        <is>
          <t>2026-08-06</t>
        </is>
      </c>
      <c r="K3" s="7" t="inlineStr"/>
    </row>
    <row r="4">
      <c r="A4" s="6" t="inlineStr">
        <is>
          <t>EP-0001</t>
        </is>
      </c>
      <c r="B4" s="6" t="inlineStr">
        <is>
          <t>环氧酚醛</t>
        </is>
      </c>
      <c r="C4" s="6" t="inlineStr">
        <is>
          <t>水煮等级</t>
        </is>
      </c>
      <c r="D4" s="6" t="n">
        <v>4</v>
      </c>
      <c r="E4" s="6" t="inlineStr">
        <is>
          <t>级</t>
        </is>
      </c>
      <c r="F4" s="8" t="inlineStr">
        <is>
          <t>实测</t>
        </is>
      </c>
      <c r="G4" s="6" t="inlineStr">
        <is>
          <t>实验室</t>
        </is>
      </c>
      <c r="H4" s="6" t="inlineStr"/>
      <c r="I4" s="6" t="inlineStr">
        <is>
          <t>205℃ 17min</t>
        </is>
      </c>
      <c r="J4" s="6" t="inlineStr">
        <is>
          <t>2026-08-06</t>
        </is>
      </c>
      <c r="K4" s="6" t="inlineStr"/>
    </row>
    <row r="5">
      <c r="A5" s="7" t="inlineStr">
        <is>
          <t>EP-0002</t>
        </is>
      </c>
      <c r="B5" s="7" t="inlineStr">
        <is>
          <t>环氧酚醛</t>
        </is>
      </c>
      <c r="C5" s="7" t="inlineStr">
        <is>
          <t>T弯</t>
        </is>
      </c>
      <c r="D5" s="7" t="n">
        <v>19.22</v>
      </c>
      <c r="E5" s="7" t="inlineStr">
        <is>
          <t>mm</t>
        </is>
      </c>
      <c r="F5" s="8" t="inlineStr">
        <is>
          <t>实测</t>
        </is>
      </c>
      <c r="G5" s="7" t="inlineStr">
        <is>
          <t>实验室</t>
        </is>
      </c>
      <c r="H5" s="7" t="inlineStr"/>
      <c r="I5" s="7" t="inlineStr">
        <is>
          <t>205℃ 17min</t>
        </is>
      </c>
      <c r="J5" s="7" t="inlineStr">
        <is>
          <t>2026-08-06</t>
        </is>
      </c>
      <c r="K5" s="7" t="inlineStr"/>
    </row>
    <row r="6">
      <c r="A6" s="6" t="inlineStr">
        <is>
          <t>EP-0002</t>
        </is>
      </c>
      <c r="B6" s="6" t="inlineStr">
        <is>
          <t>环氧酚醛</t>
        </is>
      </c>
      <c r="C6" s="6" t="inlineStr">
        <is>
          <t>MEK擦拭</t>
        </is>
      </c>
      <c r="D6" s="6" t="n">
        <v>161</v>
      </c>
      <c r="E6" s="6" t="inlineStr">
        <is>
          <t>次</t>
        </is>
      </c>
      <c r="F6" s="8" t="inlineStr">
        <is>
          <t>实测</t>
        </is>
      </c>
      <c r="G6" s="6" t="inlineStr">
        <is>
          <t>实验室</t>
        </is>
      </c>
      <c r="H6" s="6" t="inlineStr"/>
      <c r="I6" s="6" t="inlineStr">
        <is>
          <t>205℃ 17min</t>
        </is>
      </c>
      <c r="J6" s="6" t="inlineStr">
        <is>
          <t>2026-08-06</t>
        </is>
      </c>
      <c r="K6" s="6" t="inlineStr"/>
    </row>
    <row r="7">
      <c r="A7" s="7" t="inlineStr">
        <is>
          <t>EP-0003</t>
        </is>
      </c>
      <c r="B7" s="7" t="inlineStr">
        <is>
          <t>环氧酚醛</t>
        </is>
      </c>
      <c r="C7" s="7" t="inlineStr">
        <is>
          <t>T弯</t>
        </is>
      </c>
      <c r="D7" s="7" t="n">
        <v>18.05</v>
      </c>
      <c r="E7" s="7" t="inlineStr">
        <is>
          <t>mm</t>
        </is>
      </c>
      <c r="F7" s="8" t="inlineStr">
        <is>
          <t>实测</t>
        </is>
      </c>
      <c r="G7" s="7" t="inlineStr">
        <is>
          <t>实验室</t>
        </is>
      </c>
      <c r="H7" s="7" t="inlineStr"/>
      <c r="I7" s="7" t="inlineStr">
        <is>
          <t>205℃ 17min</t>
        </is>
      </c>
      <c r="J7" s="7" t="inlineStr">
        <is>
          <t>2026-08-06</t>
        </is>
      </c>
      <c r="K7" s="7" t="inlineStr"/>
    </row>
    <row r="8">
      <c r="A8" s="6" t="inlineStr">
        <is>
          <t>EP-0004</t>
        </is>
      </c>
      <c r="B8" s="6" t="inlineStr">
        <is>
          <t>环氧酚醛</t>
        </is>
      </c>
      <c r="C8" s="6" t="inlineStr">
        <is>
          <t>T弯</t>
        </is>
      </c>
      <c r="D8" s="6" t="n">
        <v>20.8</v>
      </c>
      <c r="E8" s="6" t="inlineStr">
        <is>
          <t>mm</t>
        </is>
      </c>
      <c r="F8" s="8" t="inlineStr">
        <is>
          <t>实测</t>
        </is>
      </c>
      <c r="G8" s="6" t="inlineStr">
        <is>
          <t>实验室</t>
        </is>
      </c>
      <c r="H8" s="6" t="inlineStr"/>
      <c r="I8" s="6" t="inlineStr">
        <is>
          <t>205℃ 17min</t>
        </is>
      </c>
      <c r="J8" s="6" t="inlineStr">
        <is>
          <t>2026-08-06</t>
        </is>
      </c>
      <c r="K8" s="6" t="inlineStr"/>
    </row>
    <row r="9">
      <c r="A9" s="7" t="inlineStr">
        <is>
          <t>EP-0004</t>
        </is>
      </c>
      <c r="B9" s="7" t="inlineStr">
        <is>
          <t>环氧酚醛</t>
        </is>
      </c>
      <c r="C9" s="7" t="inlineStr">
        <is>
          <t>MEK擦拭</t>
        </is>
      </c>
      <c r="D9" s="7" t="n">
        <v>300</v>
      </c>
      <c r="E9" s="7" t="inlineStr">
        <is>
          <t>次</t>
        </is>
      </c>
      <c r="F9" s="8" t="inlineStr">
        <is>
          <t>实测</t>
        </is>
      </c>
      <c r="G9" s="7" t="inlineStr">
        <is>
          <t>实验室</t>
        </is>
      </c>
      <c r="H9" s="7" t="inlineStr"/>
      <c r="I9" s="7" t="inlineStr">
        <is>
          <t>205℃ 17min</t>
        </is>
      </c>
      <c r="J9" s="7" t="inlineStr">
        <is>
          <t>2026-08-06</t>
        </is>
      </c>
      <c r="K9" s="7" t="inlineStr">
        <is>
          <t>超量程按300计</t>
        </is>
      </c>
    </row>
    <row r="10">
      <c r="A10" s="6" t="inlineStr">
        <is>
          <t>ORG-0001</t>
        </is>
      </c>
      <c r="B10" s="6" t="inlineStr">
        <is>
          <t>有机</t>
        </is>
      </c>
      <c r="C10" s="6" t="inlineStr">
        <is>
          <t>T弯</t>
        </is>
      </c>
      <c r="D10" s="6" t="n"/>
      <c r="E10" s="6" t="inlineStr">
        <is>
          <t>mm</t>
        </is>
      </c>
      <c r="F10" s="9" t="inlineStr">
        <is>
          <t>推荐测试</t>
        </is>
      </c>
      <c r="G10" s="6" t="inlineStr">
        <is>
          <t>主动学习</t>
        </is>
      </c>
      <c r="H10" s="6" t="inlineStr">
        <is>
          <t>0.42</t>
        </is>
      </c>
      <c r="I10" s="6" t="inlineStr">
        <is>
          <t>双涂双烘190+205℃*12min</t>
        </is>
      </c>
      <c r="J10" s="6" t="inlineStr">
        <is>
          <t>2026-08-06</t>
        </is>
      </c>
      <c r="K10" s="6" t="inlineStr"/>
    </row>
    <row r="11">
      <c r="A11" s="7" t="inlineStr">
        <is>
          <t>ORG-0002</t>
        </is>
      </c>
      <c r="B11" s="7" t="inlineStr">
        <is>
          <t>有机</t>
        </is>
      </c>
      <c r="C11" s="7" t="inlineStr">
        <is>
          <t>T弯</t>
        </is>
      </c>
      <c r="D11" s="7" t="n"/>
      <c r="E11" s="7" t="inlineStr">
        <is>
          <t>mm</t>
        </is>
      </c>
      <c r="F11" s="10" t="inlineStr">
        <is>
          <t>伪标签</t>
        </is>
      </c>
      <c r="G11" s="7" t="inlineStr">
        <is>
          <t>模型预测</t>
        </is>
      </c>
      <c r="H11" s="7" t="inlineStr">
        <is>
          <t>0.31</t>
        </is>
      </c>
      <c r="I11" s="7" t="inlineStr">
        <is>
          <t>双涂双烘190+205℃*12min</t>
        </is>
      </c>
      <c r="J11" s="7" t="inlineStr">
        <is>
          <t>2026-08-06</t>
        </is>
      </c>
      <c r="K11" s="7" t="inlineStr"/>
    </row>
    <row r="12">
      <c r="A12" s="6" t="inlineStr">
        <is>
          <t>PES-0001</t>
        </is>
      </c>
      <c r="B12" s="6" t="inlineStr">
        <is>
          <t>聚酯</t>
        </is>
      </c>
      <c r="C12" s="6" t="inlineStr">
        <is>
          <t>T弯</t>
        </is>
      </c>
      <c r="D12" s="6" t="n"/>
      <c r="E12" s="6" t="inlineStr">
        <is>
          <t>mm</t>
        </is>
      </c>
      <c r="F12" s="6" t="inlineStr">
        <is>
          <t>人工复核</t>
        </is>
      </c>
      <c r="G12" s="6" t="inlineStr">
        <is>
          <t>模型预测</t>
        </is>
      </c>
      <c r="H12" s="6" t="inlineStr">
        <is>
          <t>0.68</t>
        </is>
      </c>
      <c r="I12" s="6" t="inlineStr">
        <is>
          <t>待定</t>
        </is>
      </c>
      <c r="J12" s="6" t="inlineStr">
        <is>
          <t>2026-08-06</t>
        </is>
      </c>
      <c r="K12" s="6" t="inlineStr"/>
    </row>
  </sheetData>
  <dataValidations count="3">
    <dataValidation sqref="B2:B10000" showDropDown="0" showInputMessage="0" showErrorMessage="0" allowBlank="1" type="list">
      <formula1>"环氧酚醛,有机,聚酯,聚氨酯,丙烯酸,环氧胺"</formula1>
    </dataValidation>
    <dataValidation sqref="C2:C10000" showDropDown="0" showInputMessage="0" showErrorMessage="0" allowBlank="1" type="list">
      <formula1>"T弯,MEK擦拭,水煮等级,附着力,硬度,光泽,冲击"</formula1>
    </dataValidation>
    <dataValidation sqref="F2:F10000" showDropDown="0" showInputMessage="0" showErrorMessage="0" allowBlank="1" type="list">
      <formula1>"实测,伪标签,推荐测试,人工复核"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2" customWidth="1" min="4" max="4"/>
    <col width="10" customWidth="1" min="5" max="5"/>
    <col width="10" customWidth="1" min="6" max="6"/>
    <col width="10" customWidth="1" min="7" max="7"/>
    <col width="8" customWidth="1" min="8" max="8"/>
    <col width="14" customWidth="1" min="9" max="9"/>
  </cols>
  <sheetData>
    <row r="1">
      <c r="A1" s="4" t="inlineStr">
        <is>
          <t>样本ID</t>
        </is>
      </c>
      <c r="B1" s="4" t="inlineStr">
        <is>
          <t>体系</t>
        </is>
      </c>
      <c r="C1" s="4" t="inlineStr">
        <is>
          <t>烘烤温度(℃)</t>
        </is>
      </c>
      <c r="D1" s="4" t="inlineStr">
        <is>
          <t>烘烤时间(min)</t>
        </is>
      </c>
      <c r="E1" s="4" t="inlineStr">
        <is>
          <t>膜厚(g/m²)</t>
        </is>
      </c>
      <c r="F1" s="4" t="inlineStr">
        <is>
          <t>基材</t>
        </is>
      </c>
      <c r="G1" s="4" t="inlineStr">
        <is>
          <t>批次</t>
        </is>
      </c>
      <c r="H1" s="4" t="inlineStr">
        <is>
          <t>线棒号</t>
        </is>
      </c>
      <c r="I1" s="4" t="inlineStr">
        <is>
          <t>备注</t>
        </is>
      </c>
    </row>
    <row r="2">
      <c r="A2" s="6" t="inlineStr">
        <is>
          <t>EP-0001</t>
        </is>
      </c>
      <c r="B2" s="6" t="inlineStr">
        <is>
          <t>环氧酚醛</t>
        </is>
      </c>
      <c r="C2" s="6" t="n">
        <v>205</v>
      </c>
      <c r="D2" s="6" t="n">
        <v>17</v>
      </c>
      <c r="E2" s="6" t="n"/>
      <c r="F2" s="6" t="inlineStr">
        <is>
          <t>镀铬铁</t>
        </is>
      </c>
      <c r="G2" s="6" t="inlineStr">
        <is>
          <t>8.6</t>
        </is>
      </c>
      <c r="H2" s="6" t="inlineStr">
        <is>
          <t>14#</t>
        </is>
      </c>
      <c r="I2" s="6" t="inlineStr"/>
    </row>
    <row r="3">
      <c r="A3" s="7" t="inlineStr">
        <is>
          <t>EP-0002</t>
        </is>
      </c>
      <c r="B3" s="7" t="inlineStr">
        <is>
          <t>环氧酚醛</t>
        </is>
      </c>
      <c r="C3" s="7" t="n">
        <v>205</v>
      </c>
      <c r="D3" s="7" t="n">
        <v>17</v>
      </c>
      <c r="E3" s="7" t="n"/>
      <c r="F3" s="7" t="inlineStr">
        <is>
          <t>镀铬铁</t>
        </is>
      </c>
      <c r="G3" s="7" t="inlineStr">
        <is>
          <t>8.6</t>
        </is>
      </c>
      <c r="H3" s="7" t="inlineStr">
        <is>
          <t>14#</t>
        </is>
      </c>
      <c r="I3" s="7" t="inlineStr"/>
    </row>
    <row r="4">
      <c r="A4" s="6" t="inlineStr">
        <is>
          <t>EP-0003</t>
        </is>
      </c>
      <c r="B4" s="6" t="inlineStr">
        <is>
          <t>环氧酚醛</t>
        </is>
      </c>
      <c r="C4" s="6" t="n">
        <v>205</v>
      </c>
      <c r="D4" s="6" t="n">
        <v>17</v>
      </c>
      <c r="E4" s="6" t="n"/>
      <c r="F4" s="6" t="inlineStr">
        <is>
          <t>镀铬铁</t>
        </is>
      </c>
      <c r="G4" s="6" t="inlineStr">
        <is>
          <t>8.6</t>
        </is>
      </c>
      <c r="H4" s="6" t="inlineStr">
        <is>
          <t>14#</t>
        </is>
      </c>
      <c r="I4" s="6" t="inlineStr"/>
    </row>
    <row r="5">
      <c r="A5" s="7" t="inlineStr">
        <is>
          <t>EP-0004</t>
        </is>
      </c>
      <c r="B5" s="7" t="inlineStr">
        <is>
          <t>环氧酚醛</t>
        </is>
      </c>
      <c r="C5" s="7" t="n">
        <v>205</v>
      </c>
      <c r="D5" s="7" t="n">
        <v>17</v>
      </c>
      <c r="E5" s="7" t="n"/>
      <c r="F5" s="7" t="inlineStr">
        <is>
          <t>镀铬铁</t>
        </is>
      </c>
      <c r="G5" s="7" t="inlineStr">
        <is>
          <t>8.6</t>
        </is>
      </c>
      <c r="H5" s="7" t="inlineStr">
        <is>
          <t>14#</t>
        </is>
      </c>
      <c r="I5" s="7" t="inlineStr"/>
    </row>
    <row r="6">
      <c r="A6" s="6" t="inlineStr">
        <is>
          <t>EP-0005</t>
        </is>
      </c>
      <c r="B6" s="6" t="inlineStr">
        <is>
          <t>环氧酚醛</t>
        </is>
      </c>
      <c r="C6" s="6" t="n">
        <v>205</v>
      </c>
      <c r="D6" s="6" t="n">
        <v>17</v>
      </c>
      <c r="E6" s="6" t="n"/>
      <c r="F6" s="6" t="inlineStr">
        <is>
          <t>镀铬铁</t>
        </is>
      </c>
      <c r="G6" s="6" t="inlineStr">
        <is>
          <t>8.6</t>
        </is>
      </c>
      <c r="H6" s="6" t="inlineStr">
        <is>
          <t>14#</t>
        </is>
      </c>
      <c r="I6" s="6" t="inlineStr"/>
    </row>
    <row r="7">
      <c r="A7" s="7" t="inlineStr">
        <is>
          <t>ORG-0001</t>
        </is>
      </c>
      <c r="B7" s="7" t="inlineStr">
        <is>
          <t>有机</t>
        </is>
      </c>
      <c r="C7" s="7" t="n">
        <v>205</v>
      </c>
      <c r="D7" s="7" t="n">
        <v>12</v>
      </c>
      <c r="E7" s="7" t="n"/>
      <c r="F7" s="7" t="inlineStr">
        <is>
          <t>镀铬铁</t>
        </is>
      </c>
      <c r="G7" s="7" t="inlineStr">
        <is>
          <t>25.8.28</t>
        </is>
      </c>
      <c r="H7" s="7" t="inlineStr"/>
      <c r="I7" s="7" t="inlineStr">
        <is>
          <t>双涂双烘190+205</t>
        </is>
      </c>
    </row>
    <row r="8">
      <c r="A8" s="6" t="inlineStr">
        <is>
          <t>ORG-0002</t>
        </is>
      </c>
      <c r="B8" s="6" t="inlineStr">
        <is>
          <t>有机</t>
        </is>
      </c>
      <c r="C8" s="6" t="n">
        <v>205</v>
      </c>
      <c r="D8" s="6" t="n">
        <v>12</v>
      </c>
      <c r="E8" s="6" t="n"/>
      <c r="F8" s="6" t="inlineStr">
        <is>
          <t>镀铬铁</t>
        </is>
      </c>
      <c r="G8" s="6" t="inlineStr">
        <is>
          <t>25.9.16</t>
        </is>
      </c>
      <c r="H8" s="6" t="inlineStr"/>
      <c r="I8" s="6" t="inlineStr"/>
    </row>
    <row r="9">
      <c r="A9" s="7" t="inlineStr">
        <is>
          <t>ORG-0003</t>
        </is>
      </c>
      <c r="B9" s="7" t="inlineStr">
        <is>
          <t>有机</t>
        </is>
      </c>
      <c r="C9" s="7" t="n">
        <v>205</v>
      </c>
      <c r="D9" s="7" t="n">
        <v>12</v>
      </c>
      <c r="E9" s="7" t="n"/>
      <c r="F9" s="7" t="inlineStr">
        <is>
          <t>镀铬铁</t>
        </is>
      </c>
      <c r="G9" s="7" t="inlineStr">
        <is>
          <t>25.9.18</t>
        </is>
      </c>
      <c r="H9" s="7" t="inlineStr"/>
      <c r="I9" s="7" t="inlineStr"/>
    </row>
    <row r="10">
      <c r="A10" s="6" t="inlineStr">
        <is>
          <t>PES-0001</t>
        </is>
      </c>
      <c r="B10" s="6" t="inlineStr">
        <is>
          <t>聚酯</t>
        </is>
      </c>
      <c r="C10" s="6" t="n"/>
      <c r="D10" s="6" t="n"/>
      <c r="E10" s="6" t="n"/>
      <c r="F10" s="6" t="inlineStr">
        <is>
          <t>镀铬铁</t>
        </is>
      </c>
      <c r="G10" s="6" t="inlineStr">
        <is>
          <t>25.8.20</t>
        </is>
      </c>
      <c r="H10" s="6" t="inlineStr"/>
      <c r="I10" s="6" t="inlineStr"/>
    </row>
    <row r="11">
      <c r="A11" s="7" t="inlineStr">
        <is>
          <t>PES-0002</t>
        </is>
      </c>
      <c r="B11" s="7" t="inlineStr">
        <is>
          <t>聚酯</t>
        </is>
      </c>
      <c r="C11" s="7" t="n"/>
      <c r="D11" s="7" t="n"/>
      <c r="E11" s="7" t="n"/>
      <c r="F11" s="7" t="inlineStr">
        <is>
          <t>镀铬铁</t>
        </is>
      </c>
      <c r="G11" s="7" t="inlineStr">
        <is>
          <t>25.8.28</t>
        </is>
      </c>
      <c r="H11" s="7" t="inlineStr"/>
      <c r="I11" s="7" t="inlineStr"/>
    </row>
    <row r="12">
      <c r="A12" s="6" t="inlineStr">
        <is>
          <t>PES-0003</t>
        </is>
      </c>
      <c r="B12" s="6" t="inlineStr">
        <is>
          <t>聚酯</t>
        </is>
      </c>
      <c r="C12" s="6" t="n"/>
      <c r="D12" s="6" t="n"/>
      <c r="E12" s="6" t="n"/>
      <c r="F12" s="6" t="inlineStr">
        <is>
          <t>镀铬铁</t>
        </is>
      </c>
      <c r="G12" s="6" t="inlineStr">
        <is>
          <t>25.9.18</t>
        </is>
      </c>
      <c r="H12" s="6" t="inlineStr"/>
      <c r="I12" s="6" t="inlineStr"/>
    </row>
  </sheetData>
  <dataValidations count="1">
    <dataValidation sqref="B2:B10000" showDropDown="0" showInputMessage="0" showErrorMessage="0" allowBlank="1" type="list">
      <formula1>"环氧酚醛,有机,聚酯,聚氨酯,丙烯酸,环氧胺"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W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11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1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</cols>
  <sheetData>
    <row r="1">
      <c r="A1" s="4" t="inlineStr">
        <is>
          <t>样本ID</t>
        </is>
      </c>
      <c r="B1" s="4" t="inlineStr">
        <is>
          <t>系列</t>
        </is>
      </c>
      <c r="C1" s="4" t="inlineStr">
        <is>
          <t>体系</t>
        </is>
      </c>
      <c r="D1" s="4" t="inlineStr">
        <is>
          <t>总用量(g)</t>
        </is>
      </c>
      <c r="E1" s="4" t="inlineStr">
        <is>
          <t>组分数量</t>
        </is>
      </c>
      <c r="F1" s="4" t="inlineStr">
        <is>
          <t>树脂占比</t>
        </is>
      </c>
      <c r="G1" s="4" t="inlineStr">
        <is>
          <t>固化剂占比</t>
        </is>
      </c>
      <c r="H1" s="4" t="inlineStr">
        <is>
          <t>溶剂占比</t>
        </is>
      </c>
      <c r="I1" s="4" t="inlineStr">
        <is>
          <t>助剂占比</t>
        </is>
      </c>
      <c r="J1" s="4" t="inlineStr">
        <is>
          <t>颜料占比</t>
        </is>
      </c>
      <c r="K1" s="4" t="inlineStr">
        <is>
          <t>固化剂/树脂比</t>
        </is>
      </c>
      <c r="L1" s="4" t="inlineStr">
        <is>
          <t>环氧树脂占比</t>
        </is>
      </c>
      <c r="M1" s="4" t="inlineStr">
        <is>
          <t>酚醛树脂占比</t>
        </is>
      </c>
      <c r="N1" s="4" t="inlineStr">
        <is>
          <t>聚酯树脂占比</t>
        </is>
      </c>
      <c r="O1" s="4" t="inlineStr">
        <is>
          <t>乙烯基树脂占比</t>
        </is>
      </c>
      <c r="P1" s="4" t="inlineStr">
        <is>
          <t>丙烯酸树脂占比</t>
        </is>
      </c>
      <c r="Q1" s="4" t="inlineStr">
        <is>
          <t>聚氨酯树脂占比</t>
        </is>
      </c>
      <c r="R1" s="4" t="inlineStr">
        <is>
          <t>加权固含(%)</t>
        </is>
      </c>
      <c r="S1" s="4" t="inlineStr">
        <is>
          <t>加权密度</t>
        </is>
      </c>
      <c r="T1" s="4" t="inlineStr">
        <is>
          <t>加权分子量</t>
        </is>
      </c>
      <c r="U1" s="4" t="inlineStr">
        <is>
          <t>加权EEW</t>
        </is>
      </c>
      <c r="V1" s="4" t="inlineStr">
        <is>
          <t>加权酸值</t>
        </is>
      </c>
      <c r="W1" s="4" t="inlineStr">
        <is>
          <t>加权羟值</t>
        </is>
      </c>
      <c r="X1" s="4" t="inlineStr">
        <is>
          <t>加权胺值</t>
        </is>
      </c>
      <c r="Y1" s="4" t="inlineStr">
        <is>
          <t>加权Tg</t>
        </is>
      </c>
      <c r="Z1" s="4" t="inlineStr">
        <is>
          <t>加权沸点</t>
        </is>
      </c>
      <c r="AA1" s="4" t="inlineStr">
        <is>
          <t>加权闪点</t>
        </is>
      </c>
      <c r="AB1" s="4" t="inlineStr">
        <is>
          <t>加权δD</t>
        </is>
      </c>
      <c r="AC1" s="4" t="inlineStr">
        <is>
          <t>加权δP</t>
        </is>
      </c>
      <c r="AD1" s="4" t="inlineStr">
        <is>
          <t>加权δH</t>
        </is>
      </c>
      <c r="AE1" s="4" t="inlineStr">
        <is>
          <t>加权极性</t>
        </is>
      </c>
      <c r="AF1" s="4" t="inlineStr">
        <is>
          <t>加权挥发速率</t>
        </is>
      </c>
      <c r="AG1" s="4" t="inlineStr">
        <is>
          <t>加权C(%)</t>
        </is>
      </c>
      <c r="AH1" s="4" t="inlineStr">
        <is>
          <t>加权H(%)</t>
        </is>
      </c>
      <c r="AI1" s="4" t="inlineStr">
        <is>
          <t>加权O(%)</t>
        </is>
      </c>
      <c r="AJ1" s="4" t="inlineStr">
        <is>
          <t>加权N(%)</t>
        </is>
      </c>
      <c r="AK1" s="4" t="inlineStr">
        <is>
          <t>加权S(%)</t>
        </is>
      </c>
      <c r="AL1" s="4" t="inlineStr">
        <is>
          <t>加权Cl(%)</t>
        </is>
      </c>
      <c r="AM1" s="4" t="inlineStr">
        <is>
          <t>环氧基密度(mol/100g)</t>
        </is>
      </c>
      <c r="AN1" s="4" t="inlineStr">
        <is>
          <t>羟基密度</t>
        </is>
      </c>
      <c r="AO1" s="4" t="inlineStr">
        <is>
          <t>羧基密度</t>
        </is>
      </c>
      <c r="AP1" s="4" t="inlineStr">
        <is>
          <t>酯基密度</t>
        </is>
      </c>
      <c r="AQ1" s="4" t="inlineStr">
        <is>
          <t>胺基密度</t>
        </is>
      </c>
      <c r="AR1" s="4" t="inlineStr">
        <is>
          <t>酰胺密度</t>
        </is>
      </c>
      <c r="AS1" s="4" t="inlineStr">
        <is>
          <t>芳香环密度</t>
        </is>
      </c>
      <c r="AT1" s="4" t="inlineStr">
        <is>
          <t>醚键密度</t>
        </is>
      </c>
      <c r="AU1" s="4" t="inlineStr">
        <is>
          <t>蜡含量(%)</t>
        </is>
      </c>
      <c r="AV1" s="4" t="inlineStr">
        <is>
          <t>颜料含量(%)</t>
        </is>
      </c>
    </row>
    <row r="2">
      <c r="A2" s="6" t="inlineStr">
        <is>
          <t>EP-0001</t>
        </is>
      </c>
      <c r="B2" s="6" t="inlineStr">
        <is>
          <t>EP-A</t>
        </is>
      </c>
      <c r="C2" s="6" t="inlineStr">
        <is>
          <t>环氧酚醛</t>
        </is>
      </c>
      <c r="D2" s="5">
        <f>SUMIF('配方明细'!$A$2:$A$93,$A2,'配方明细'!$E$2:$E$93)</f>
        <v/>
      </c>
      <c r="E2" s="6">
        <f>COUNTIF('配方明细'!$A$2:$A$93,$A2)</f>
        <v/>
      </c>
      <c r="F2" s="5">
        <f>IFERROR(SUMIFS('配方明细'!$E$2:$E$93,'配方明细'!$A$2:$A$93,$A2,'配方明细'!$F$2:$F$93,"树脂")/$C2,0)</f>
        <v/>
      </c>
      <c r="G2" s="5">
        <f>IFERROR(SUMIFS('配方明细'!$E$2:$E$93,'配方明细'!$A$2:$A$93,$A2,'配方明细'!$F$2:$F$93,"固化剂")/$C2,0)</f>
        <v/>
      </c>
      <c r="H2" s="6">
        <f>IFERROR(SUMIFS('配方明细'!$E$2:$E$93,'配方明细'!$A$2:$A$93,$A2,'配方明细'!$F$2:$F$93,"溶剂")/$C2,0)</f>
        <v/>
      </c>
      <c r="I2" s="6">
        <f>IFERROR(SUMIFS('配方明细'!$E$2:$E$93,'配方明细'!$A$2:$A$93,$A2,'配方明细'!$F$2:$F$93,"助剂")/$C2,0)</f>
        <v/>
      </c>
      <c r="J2" s="6">
        <f>IFERROR(SUMIFS('配方明细'!$E$2:$E$93,'配方明细'!$A$2:$A$93,$A2,'配方明细'!$F$2:$F$93,"颜料")/$C2,0)</f>
        <v/>
      </c>
      <c r="K2" s="6">
        <f>IF($F2&gt;0,$G2/$F2,0)</f>
        <v/>
      </c>
      <c r="L2" s="6">
        <f>IFERROR(SUMIFS('配方明细'!$E$2:$E$93,'配方明细'!$A$2:$A$93,$A2,'配方明细'!$G$2:$G$93,"环氧")/$C2,0)</f>
        <v/>
      </c>
      <c r="M2" s="6">
        <f>IFERROR(SUMIFS('配方明细'!$E$2:$E$93,'配方明细'!$A$2:$A$93,$A2,'配方明细'!$G$2:$G$93,"酚醛")/$C2,0)</f>
        <v/>
      </c>
      <c r="N2" s="6">
        <f>IFERROR(SUMIFS('配方明细'!$E$2:$E$93,'配方明细'!$A$2:$A$93,$A2,'配方明细'!$G$2:$G$93,"聚酯")/$C2,0)</f>
        <v/>
      </c>
      <c r="O2" s="6">
        <f>IFERROR(SUMIFS('配方明细'!$E$2:$E$93,'配方明细'!$A$2:$A$93,$A2,'配方明细'!$G$2:$G$93,"乙烯基")/$C2,0)</f>
        <v/>
      </c>
      <c r="P2" s="6">
        <f>IFERROR(SUMIFS('配方明细'!$E$2:$E$93,'配方明细'!$A$2:$A$93,$A2,'配方明细'!$G$2:$G$93,"丙烯酸")/$C2,0)</f>
        <v/>
      </c>
      <c r="Q2" s="6">
        <f>IFERROR(SUMIFS('配方明细'!$E$2:$E$93,'配方明细'!$A$2:$A$93,$A2,'配方明细'!$G$2:$G$93,"聚氨酯")/$C2,0)</f>
        <v/>
      </c>
      <c r="R2" s="5">
        <f>IFERROR(SUMPRODUCT(('配方明细'!$A$2:$A$93=$A2)*'配方明细'!$H$2:$H$93)/$C2,0)</f>
        <v/>
      </c>
      <c r="S2" s="6">
        <f>IFERROR(SUMPRODUCT(('配方明细'!$A$2:$A$93=$A2)*'配方明细'!$I$2:$I$93)/$C2,0)</f>
        <v/>
      </c>
      <c r="T2" s="6">
        <f>IFERROR(SUMPRODUCT(('配方明细'!$A$2:$A$93=$A2)*'配方明细'!$J$2:$J$93)/$C2,0)</f>
        <v/>
      </c>
      <c r="U2" s="5">
        <f>IFERROR(SUMPRODUCT(('配方明细'!$A$2:$A$93=$A2)*'配方明细'!$K$2:$K$93)/$C2,0)</f>
        <v/>
      </c>
      <c r="V2" s="5">
        <f>IFERROR(SUMPRODUCT(('配方明细'!$A$2:$A$93=$A2)*'配方明细'!$L$2:$L$93)/$C2,0)</f>
        <v/>
      </c>
      <c r="W2" s="5">
        <f>IFERROR(SUMPRODUCT(('配方明细'!$A$2:$A$93=$A2)*'配方明细'!$M$2:$M$93)/$C2,0)</f>
        <v/>
      </c>
      <c r="X2" s="6">
        <f>IFERROR(SUMPRODUCT(('配方明细'!$A$2:$A$93=$A2)*'配方明细'!$N$2:$N$93)/$C2,0)</f>
        <v/>
      </c>
      <c r="Y2" s="6">
        <f>IFERROR(SUMPRODUCT(('配方明细'!$A$2:$A$93=$A2)*'配方明细'!$O$2:$O$93)/$C2,0)</f>
        <v/>
      </c>
      <c r="Z2" s="6">
        <f>IFERROR(SUMPRODUCT(('配方明细'!$A$2:$A$93=$A2)*'配方明细'!$P$2:$P$93)/$C2,0)</f>
        <v/>
      </c>
      <c r="AA2" s="6">
        <f>IFERROR(SUMPRODUCT(('配方明细'!$A$2:$A$93=$A2)*'配方明细'!$Q$2:$Q$93)/$C2,0)</f>
        <v/>
      </c>
      <c r="AB2" s="6">
        <f>IFERROR(SUMPRODUCT(('配方明细'!$A$2:$A$93=$A2)*'配方明细'!$R$2:$R$93)/$C2,0)</f>
        <v/>
      </c>
      <c r="AC2" s="6">
        <f>IFERROR(SUMPRODUCT(('配方明细'!$A$2:$A$93=$A2)*'配方明细'!$S$2:$S$93)/$C2,0)</f>
        <v/>
      </c>
      <c r="AD2" s="6">
        <f>IFERROR(SUMPRODUCT(('配方明细'!$A$2:$A$93=$A2)*'配方明细'!$T$2:$T$93)/$C2,0)</f>
        <v/>
      </c>
      <c r="AE2" s="6">
        <f>IFERROR(SUMPRODUCT(('配方明细'!$A$2:$A$93=$A2)*'配方明细'!$U$2:$U$93)/$C2,0)</f>
        <v/>
      </c>
      <c r="AF2" s="6">
        <f>IFERROR(SUMPRODUCT(('配方明细'!$A$2:$A$93=$A2)*'配方明细'!$V$2:$V$93)/$C2,0)</f>
        <v/>
      </c>
      <c r="AG2" s="6">
        <f>IFERROR(SUMPRODUCT(('配方明细'!$A$2:$A$93=$A2)*'配方明细'!$W$2:$W$93)/$C2,0)</f>
        <v/>
      </c>
      <c r="AH2" s="6">
        <f>IFERROR(SUMPRODUCT(('配方明细'!$A$2:$A$93=$A2)*'配方明细'!$X$2:$X$93)/$C2,0)</f>
        <v/>
      </c>
      <c r="AI2" s="6">
        <f>IFERROR(SUMPRODUCT(('配方明细'!$A$2:$A$93=$A2)*'配方明细'!$Y$2:$Y$93)/$C2,0)</f>
        <v/>
      </c>
      <c r="AJ2" s="6">
        <f>IFERROR(SUMPRODUCT(('配方明细'!$A$2:$A$93=$A2)*'配方明细'!$Z$2:$Z$93)/$C2,0)</f>
        <v/>
      </c>
      <c r="AK2" s="6">
        <f>IFERROR(SUMPRODUCT(('配方明细'!$A$2:$A$93=$A2)*'配方明细'!$AA$2:$AA$93)/$C2,0)</f>
        <v/>
      </c>
      <c r="AL2" s="6">
        <f>IFERROR(SUMPRODUCT(('配方明细'!$A$2:$A$93=$A2)*'配方明细'!$AB$2:$AB$93)/$C2,0)</f>
        <v/>
      </c>
      <c r="AM2" s="5">
        <f>IFERROR(SUMPRODUCT(('配方明细'!$A$2:$A$93=$A2)*'配方明细'!$AC$2:$AC$93)/$C2,0)</f>
        <v/>
      </c>
      <c r="AN2" s="5">
        <f>IFERROR(SUMPRODUCT(('配方明细'!$A$2:$A$93=$A2)*'配方明细'!$AD$2:$AD$93)/100,0)</f>
        <v/>
      </c>
      <c r="AO2" s="5">
        <f>IFERROR(SUMPRODUCT(('配方明细'!$A$2:$A$93=$A2)*'配方明细'!$AE$2:$AE$93)/100,0)</f>
        <v/>
      </c>
      <c r="AP2" s="5">
        <f>IFERROR(SUMPRODUCT(('配方明细'!$A$2:$A$93=$A2)*'配方明细'!$AF$2:$AF$93)/100,0)</f>
        <v/>
      </c>
      <c r="AQ2" s="6">
        <f>IFERROR(SUMPRODUCT(('配方明细'!$A$2:$A$93=$A2)*'配方明细'!$AG$2:$AG$93)/100,0)</f>
        <v/>
      </c>
      <c r="AR2" s="6">
        <f>IFERROR(SUMPRODUCT(('配方明细'!$A$2:$A$93=$A2)*'配方明细'!$AH$2:$AH$93)/100,0)</f>
        <v/>
      </c>
      <c r="AS2" s="6">
        <f>IFERROR(SUMPRODUCT(('配方明细'!$A$2:$A$93=$A2)*'配方明细'!$AI$2:$AI$93)/100,0)</f>
        <v/>
      </c>
      <c r="AT2" s="6">
        <f>IFERROR(SUMPRODUCT(('配方明细'!$A$2:$A$93=$A2)*'配方明细'!$AJ$2:$AJ$93)/100,0)</f>
        <v/>
      </c>
      <c r="AU2" s="6">
        <f>IFERROR(SUMPRODUCT(('配方明细'!$A$2:$A$93=$A2)*'配方明细'!$AK$2:$AK$93)/100,0)</f>
        <v/>
      </c>
      <c r="AV2" s="6">
        <f>IFERROR(SUMPRODUCT(('配方明细'!$A$2:$A$93=$A2)*'配方明细'!$AL$2:$AL$93)/$C2,0)</f>
        <v/>
      </c>
      <c r="AW2">
        <f>IFERROR(SUMPRODUCT(('配方明细'!$A$2:$A$93=$A2)*'配方明细'!$AM$2:$AM$93)/$C2,0)</f>
        <v/>
      </c>
    </row>
    <row r="3">
      <c r="A3" s="7" t="inlineStr">
        <is>
          <t>EP-0002</t>
        </is>
      </c>
      <c r="B3" s="7" t="inlineStr">
        <is>
          <t>EP-A</t>
        </is>
      </c>
      <c r="C3" s="7" t="inlineStr">
        <is>
          <t>环氧酚醛</t>
        </is>
      </c>
      <c r="D3" s="5">
        <f>SUMIF('配方明细'!$A$2:$A$93,$A3,'配方明细'!$E$2:$E$93)</f>
        <v/>
      </c>
      <c r="E3" s="7">
        <f>COUNTIF('配方明细'!$A$2:$A$93,$A3)</f>
        <v/>
      </c>
      <c r="F3" s="5">
        <f>IFERROR(SUMIFS('配方明细'!$E$2:$E$93,'配方明细'!$A$2:$A$93,$A3,'配方明细'!$F$2:$F$93,"树脂")/$C3,0)</f>
        <v/>
      </c>
      <c r="G3" s="5">
        <f>IFERROR(SUMIFS('配方明细'!$E$2:$E$93,'配方明细'!$A$2:$A$93,$A3,'配方明细'!$F$2:$F$93,"固化剂")/$C3,0)</f>
        <v/>
      </c>
      <c r="H3" s="7">
        <f>IFERROR(SUMIFS('配方明细'!$E$2:$E$93,'配方明细'!$A$2:$A$93,$A3,'配方明细'!$F$2:$F$93,"溶剂")/$C3,0)</f>
        <v/>
      </c>
      <c r="I3" s="7">
        <f>IFERROR(SUMIFS('配方明细'!$E$2:$E$93,'配方明细'!$A$2:$A$93,$A3,'配方明细'!$F$2:$F$93,"助剂")/$C3,0)</f>
        <v/>
      </c>
      <c r="J3" s="7">
        <f>IFERROR(SUMIFS('配方明细'!$E$2:$E$93,'配方明细'!$A$2:$A$93,$A3,'配方明细'!$F$2:$F$93,"颜料")/$C3,0)</f>
        <v/>
      </c>
      <c r="K3" s="7">
        <f>IF($F3&gt;0,$G3/$F3,0)</f>
        <v/>
      </c>
      <c r="L3" s="7">
        <f>IFERROR(SUMIFS('配方明细'!$E$2:$E$93,'配方明细'!$A$2:$A$93,$A3,'配方明细'!$G$2:$G$93,"环氧")/$C3,0)</f>
        <v/>
      </c>
      <c r="M3" s="7">
        <f>IFERROR(SUMIFS('配方明细'!$E$2:$E$93,'配方明细'!$A$2:$A$93,$A3,'配方明细'!$G$2:$G$93,"酚醛")/$C3,0)</f>
        <v/>
      </c>
      <c r="N3" s="7">
        <f>IFERROR(SUMIFS('配方明细'!$E$2:$E$93,'配方明细'!$A$2:$A$93,$A3,'配方明细'!$G$2:$G$93,"聚酯")/$C3,0)</f>
        <v/>
      </c>
      <c r="O3" s="7">
        <f>IFERROR(SUMIFS('配方明细'!$E$2:$E$93,'配方明细'!$A$2:$A$93,$A3,'配方明细'!$G$2:$G$93,"乙烯基")/$C3,0)</f>
        <v/>
      </c>
      <c r="P3" s="7">
        <f>IFERROR(SUMIFS('配方明细'!$E$2:$E$93,'配方明细'!$A$2:$A$93,$A3,'配方明细'!$G$2:$G$93,"丙烯酸")/$C3,0)</f>
        <v/>
      </c>
      <c r="Q3" s="7">
        <f>IFERROR(SUMIFS('配方明细'!$E$2:$E$93,'配方明细'!$A$2:$A$93,$A3,'配方明细'!$G$2:$G$93,"聚氨酯")/$C3,0)</f>
        <v/>
      </c>
      <c r="R3" s="5">
        <f>IFERROR(SUMPRODUCT(('配方明细'!$A$2:$A$93=$A3)*'配方明细'!$H$2:$H$93)/$C3,0)</f>
        <v/>
      </c>
      <c r="S3" s="7">
        <f>IFERROR(SUMPRODUCT(('配方明细'!$A$2:$A$93=$A3)*'配方明细'!$I$2:$I$93)/$C3,0)</f>
        <v/>
      </c>
      <c r="T3" s="7">
        <f>IFERROR(SUMPRODUCT(('配方明细'!$A$2:$A$93=$A3)*'配方明细'!$J$2:$J$93)/$C3,0)</f>
        <v/>
      </c>
      <c r="U3" s="5">
        <f>IFERROR(SUMPRODUCT(('配方明细'!$A$2:$A$93=$A3)*'配方明细'!$K$2:$K$93)/$C3,0)</f>
        <v/>
      </c>
      <c r="V3" s="5">
        <f>IFERROR(SUMPRODUCT(('配方明细'!$A$2:$A$93=$A3)*'配方明细'!$L$2:$L$93)/$C3,0)</f>
        <v/>
      </c>
      <c r="W3" s="5">
        <f>IFERROR(SUMPRODUCT(('配方明细'!$A$2:$A$93=$A3)*'配方明细'!$M$2:$M$93)/$C3,0)</f>
        <v/>
      </c>
      <c r="X3" s="7">
        <f>IFERROR(SUMPRODUCT(('配方明细'!$A$2:$A$93=$A3)*'配方明细'!$N$2:$N$93)/$C3,0)</f>
        <v/>
      </c>
      <c r="Y3" s="7">
        <f>IFERROR(SUMPRODUCT(('配方明细'!$A$2:$A$93=$A3)*'配方明细'!$O$2:$O$93)/$C3,0)</f>
        <v/>
      </c>
      <c r="Z3" s="7">
        <f>IFERROR(SUMPRODUCT(('配方明细'!$A$2:$A$93=$A3)*'配方明细'!$P$2:$P$93)/$C3,0)</f>
        <v/>
      </c>
      <c r="AA3" s="7">
        <f>IFERROR(SUMPRODUCT(('配方明细'!$A$2:$A$93=$A3)*'配方明细'!$Q$2:$Q$93)/$C3,0)</f>
        <v/>
      </c>
      <c r="AB3" s="7">
        <f>IFERROR(SUMPRODUCT(('配方明细'!$A$2:$A$93=$A3)*'配方明细'!$R$2:$R$93)/$C3,0)</f>
        <v/>
      </c>
      <c r="AC3" s="7">
        <f>IFERROR(SUMPRODUCT(('配方明细'!$A$2:$A$93=$A3)*'配方明细'!$S$2:$S$93)/$C3,0)</f>
        <v/>
      </c>
      <c r="AD3" s="7">
        <f>IFERROR(SUMPRODUCT(('配方明细'!$A$2:$A$93=$A3)*'配方明细'!$T$2:$T$93)/$C3,0)</f>
        <v/>
      </c>
      <c r="AE3" s="7">
        <f>IFERROR(SUMPRODUCT(('配方明细'!$A$2:$A$93=$A3)*'配方明细'!$U$2:$U$93)/$C3,0)</f>
        <v/>
      </c>
      <c r="AF3" s="7">
        <f>IFERROR(SUMPRODUCT(('配方明细'!$A$2:$A$93=$A3)*'配方明细'!$V$2:$V$93)/$C3,0)</f>
        <v/>
      </c>
      <c r="AG3" s="7">
        <f>IFERROR(SUMPRODUCT(('配方明细'!$A$2:$A$93=$A3)*'配方明细'!$W$2:$W$93)/$C3,0)</f>
        <v/>
      </c>
      <c r="AH3" s="7">
        <f>IFERROR(SUMPRODUCT(('配方明细'!$A$2:$A$93=$A3)*'配方明细'!$X$2:$X$93)/$C3,0)</f>
        <v/>
      </c>
      <c r="AI3" s="7">
        <f>IFERROR(SUMPRODUCT(('配方明细'!$A$2:$A$93=$A3)*'配方明细'!$Y$2:$Y$93)/$C3,0)</f>
        <v/>
      </c>
      <c r="AJ3" s="7">
        <f>IFERROR(SUMPRODUCT(('配方明细'!$A$2:$A$93=$A3)*'配方明细'!$Z$2:$Z$93)/$C3,0)</f>
        <v/>
      </c>
      <c r="AK3" s="7">
        <f>IFERROR(SUMPRODUCT(('配方明细'!$A$2:$A$93=$A3)*'配方明细'!$AA$2:$AA$93)/$C3,0)</f>
        <v/>
      </c>
      <c r="AL3" s="7">
        <f>IFERROR(SUMPRODUCT(('配方明细'!$A$2:$A$93=$A3)*'配方明细'!$AB$2:$AB$93)/$C3,0)</f>
        <v/>
      </c>
      <c r="AM3" s="5">
        <f>IFERROR(SUMPRODUCT(('配方明细'!$A$2:$A$93=$A3)*'配方明细'!$AC$2:$AC$93)/$C3,0)</f>
        <v/>
      </c>
      <c r="AN3" s="5">
        <f>IFERROR(SUMPRODUCT(('配方明细'!$A$2:$A$93=$A3)*'配方明细'!$AD$2:$AD$93)/100,0)</f>
        <v/>
      </c>
      <c r="AO3" s="5">
        <f>IFERROR(SUMPRODUCT(('配方明细'!$A$2:$A$93=$A3)*'配方明细'!$AE$2:$AE$93)/100,0)</f>
        <v/>
      </c>
      <c r="AP3" s="5">
        <f>IFERROR(SUMPRODUCT(('配方明细'!$A$2:$A$93=$A3)*'配方明细'!$AF$2:$AF$93)/100,0)</f>
        <v/>
      </c>
      <c r="AQ3" s="7">
        <f>IFERROR(SUMPRODUCT(('配方明细'!$A$2:$A$93=$A3)*'配方明细'!$AG$2:$AG$93)/100,0)</f>
        <v/>
      </c>
      <c r="AR3" s="7">
        <f>IFERROR(SUMPRODUCT(('配方明细'!$A$2:$A$93=$A3)*'配方明细'!$AH$2:$AH$93)/100,0)</f>
        <v/>
      </c>
      <c r="AS3" s="7">
        <f>IFERROR(SUMPRODUCT(('配方明细'!$A$2:$A$93=$A3)*'配方明细'!$AI$2:$AI$93)/100,0)</f>
        <v/>
      </c>
      <c r="AT3" s="7">
        <f>IFERROR(SUMPRODUCT(('配方明细'!$A$2:$A$93=$A3)*'配方明细'!$AJ$2:$AJ$93)/100,0)</f>
        <v/>
      </c>
      <c r="AU3" s="7">
        <f>IFERROR(SUMPRODUCT(('配方明细'!$A$2:$A$93=$A3)*'配方明细'!$AK$2:$AK$93)/100,0)</f>
        <v/>
      </c>
      <c r="AV3" s="7">
        <f>IFERROR(SUMPRODUCT(('配方明细'!$A$2:$A$93=$A3)*'配方明细'!$AL$2:$AL$93)/$C3,0)</f>
        <v/>
      </c>
      <c r="AW3">
        <f>IFERROR(SUMPRODUCT(('配方明细'!$A$2:$A$93=$A3)*'配方明细'!$AM$2:$AM$93)/$C3,0)</f>
        <v/>
      </c>
    </row>
    <row r="4">
      <c r="A4" s="6" t="inlineStr">
        <is>
          <t>EP-0003</t>
        </is>
      </c>
      <c r="B4" s="6" t="inlineStr">
        <is>
          <t>EP-B</t>
        </is>
      </c>
      <c r="C4" s="6" t="inlineStr">
        <is>
          <t>环氧酚醛</t>
        </is>
      </c>
      <c r="D4" s="5">
        <f>SUMIF('配方明细'!$A$2:$A$93,$A4,'配方明细'!$E$2:$E$93)</f>
        <v/>
      </c>
      <c r="E4" s="6">
        <f>COUNTIF('配方明细'!$A$2:$A$93,$A4)</f>
        <v/>
      </c>
      <c r="F4" s="5">
        <f>IFERROR(SUMIFS('配方明细'!$E$2:$E$93,'配方明细'!$A$2:$A$93,$A4,'配方明细'!$F$2:$F$93,"树脂")/$C4,0)</f>
        <v/>
      </c>
      <c r="G4" s="5">
        <f>IFERROR(SUMIFS('配方明细'!$E$2:$E$93,'配方明细'!$A$2:$A$93,$A4,'配方明细'!$F$2:$F$93,"固化剂")/$C4,0)</f>
        <v/>
      </c>
      <c r="H4" s="6">
        <f>IFERROR(SUMIFS('配方明细'!$E$2:$E$93,'配方明细'!$A$2:$A$93,$A4,'配方明细'!$F$2:$F$93,"溶剂")/$C4,0)</f>
        <v/>
      </c>
      <c r="I4" s="6">
        <f>IFERROR(SUMIFS('配方明细'!$E$2:$E$93,'配方明细'!$A$2:$A$93,$A4,'配方明细'!$F$2:$F$93,"助剂")/$C4,0)</f>
        <v/>
      </c>
      <c r="J4" s="6">
        <f>IFERROR(SUMIFS('配方明细'!$E$2:$E$93,'配方明细'!$A$2:$A$93,$A4,'配方明细'!$F$2:$F$93,"颜料")/$C4,0)</f>
        <v/>
      </c>
      <c r="K4" s="6">
        <f>IF($F4&gt;0,$G4/$F4,0)</f>
        <v/>
      </c>
      <c r="L4" s="6">
        <f>IFERROR(SUMIFS('配方明细'!$E$2:$E$93,'配方明细'!$A$2:$A$93,$A4,'配方明细'!$G$2:$G$93,"环氧")/$C4,0)</f>
        <v/>
      </c>
      <c r="M4" s="6">
        <f>IFERROR(SUMIFS('配方明细'!$E$2:$E$93,'配方明细'!$A$2:$A$93,$A4,'配方明细'!$G$2:$G$93,"酚醛")/$C4,0)</f>
        <v/>
      </c>
      <c r="N4" s="6">
        <f>IFERROR(SUMIFS('配方明细'!$E$2:$E$93,'配方明细'!$A$2:$A$93,$A4,'配方明细'!$G$2:$G$93,"聚酯")/$C4,0)</f>
        <v/>
      </c>
      <c r="O4" s="6">
        <f>IFERROR(SUMIFS('配方明细'!$E$2:$E$93,'配方明细'!$A$2:$A$93,$A4,'配方明细'!$G$2:$G$93,"乙烯基")/$C4,0)</f>
        <v/>
      </c>
      <c r="P4" s="6">
        <f>IFERROR(SUMIFS('配方明细'!$E$2:$E$93,'配方明细'!$A$2:$A$93,$A4,'配方明细'!$G$2:$G$93,"丙烯酸")/$C4,0)</f>
        <v/>
      </c>
      <c r="Q4" s="6">
        <f>IFERROR(SUMIFS('配方明细'!$E$2:$E$93,'配方明细'!$A$2:$A$93,$A4,'配方明细'!$G$2:$G$93,"聚氨酯")/$C4,0)</f>
        <v/>
      </c>
      <c r="R4" s="5">
        <f>IFERROR(SUMPRODUCT(('配方明细'!$A$2:$A$93=$A4)*'配方明细'!$H$2:$H$93)/$C4,0)</f>
        <v/>
      </c>
      <c r="S4" s="6">
        <f>IFERROR(SUMPRODUCT(('配方明细'!$A$2:$A$93=$A4)*'配方明细'!$I$2:$I$93)/$C4,0)</f>
        <v/>
      </c>
      <c r="T4" s="6">
        <f>IFERROR(SUMPRODUCT(('配方明细'!$A$2:$A$93=$A4)*'配方明细'!$J$2:$J$93)/$C4,0)</f>
        <v/>
      </c>
      <c r="U4" s="5">
        <f>IFERROR(SUMPRODUCT(('配方明细'!$A$2:$A$93=$A4)*'配方明细'!$K$2:$K$93)/$C4,0)</f>
        <v/>
      </c>
      <c r="V4" s="5">
        <f>IFERROR(SUMPRODUCT(('配方明细'!$A$2:$A$93=$A4)*'配方明细'!$L$2:$L$93)/$C4,0)</f>
        <v/>
      </c>
      <c r="W4" s="5">
        <f>IFERROR(SUMPRODUCT(('配方明细'!$A$2:$A$93=$A4)*'配方明细'!$M$2:$M$93)/$C4,0)</f>
        <v/>
      </c>
      <c r="X4" s="6">
        <f>IFERROR(SUMPRODUCT(('配方明细'!$A$2:$A$93=$A4)*'配方明细'!$N$2:$N$93)/$C4,0)</f>
        <v/>
      </c>
      <c r="Y4" s="6">
        <f>IFERROR(SUMPRODUCT(('配方明细'!$A$2:$A$93=$A4)*'配方明细'!$O$2:$O$93)/$C4,0)</f>
        <v/>
      </c>
      <c r="Z4" s="6">
        <f>IFERROR(SUMPRODUCT(('配方明细'!$A$2:$A$93=$A4)*'配方明细'!$P$2:$P$93)/$C4,0)</f>
        <v/>
      </c>
      <c r="AA4" s="6">
        <f>IFERROR(SUMPRODUCT(('配方明细'!$A$2:$A$93=$A4)*'配方明细'!$Q$2:$Q$93)/$C4,0)</f>
        <v/>
      </c>
      <c r="AB4" s="6">
        <f>IFERROR(SUMPRODUCT(('配方明细'!$A$2:$A$93=$A4)*'配方明细'!$R$2:$R$93)/$C4,0)</f>
        <v/>
      </c>
      <c r="AC4" s="6">
        <f>IFERROR(SUMPRODUCT(('配方明细'!$A$2:$A$93=$A4)*'配方明细'!$S$2:$S$93)/$C4,0)</f>
        <v/>
      </c>
      <c r="AD4" s="6">
        <f>IFERROR(SUMPRODUCT(('配方明细'!$A$2:$A$93=$A4)*'配方明细'!$T$2:$T$93)/$C4,0)</f>
        <v/>
      </c>
      <c r="AE4" s="6">
        <f>IFERROR(SUMPRODUCT(('配方明细'!$A$2:$A$93=$A4)*'配方明细'!$U$2:$U$93)/$C4,0)</f>
        <v/>
      </c>
      <c r="AF4" s="6">
        <f>IFERROR(SUMPRODUCT(('配方明细'!$A$2:$A$93=$A4)*'配方明细'!$V$2:$V$93)/$C4,0)</f>
        <v/>
      </c>
      <c r="AG4" s="6">
        <f>IFERROR(SUMPRODUCT(('配方明细'!$A$2:$A$93=$A4)*'配方明细'!$W$2:$W$93)/$C4,0)</f>
        <v/>
      </c>
      <c r="AH4" s="6">
        <f>IFERROR(SUMPRODUCT(('配方明细'!$A$2:$A$93=$A4)*'配方明细'!$X$2:$X$93)/$C4,0)</f>
        <v/>
      </c>
      <c r="AI4" s="6">
        <f>IFERROR(SUMPRODUCT(('配方明细'!$A$2:$A$93=$A4)*'配方明细'!$Y$2:$Y$93)/$C4,0)</f>
        <v/>
      </c>
      <c r="AJ4" s="6">
        <f>IFERROR(SUMPRODUCT(('配方明细'!$A$2:$A$93=$A4)*'配方明细'!$Z$2:$Z$93)/$C4,0)</f>
        <v/>
      </c>
      <c r="AK4" s="6">
        <f>IFERROR(SUMPRODUCT(('配方明细'!$A$2:$A$93=$A4)*'配方明细'!$AA$2:$AA$93)/$C4,0)</f>
        <v/>
      </c>
      <c r="AL4" s="6">
        <f>IFERROR(SUMPRODUCT(('配方明细'!$A$2:$A$93=$A4)*'配方明细'!$AB$2:$AB$93)/$C4,0)</f>
        <v/>
      </c>
      <c r="AM4" s="5">
        <f>IFERROR(SUMPRODUCT(('配方明细'!$A$2:$A$93=$A4)*'配方明细'!$AC$2:$AC$93)/$C4,0)</f>
        <v/>
      </c>
      <c r="AN4" s="5">
        <f>IFERROR(SUMPRODUCT(('配方明细'!$A$2:$A$93=$A4)*'配方明细'!$AD$2:$AD$93)/100,0)</f>
        <v/>
      </c>
      <c r="AO4" s="5">
        <f>IFERROR(SUMPRODUCT(('配方明细'!$A$2:$A$93=$A4)*'配方明细'!$AE$2:$AE$93)/100,0)</f>
        <v/>
      </c>
      <c r="AP4" s="5">
        <f>IFERROR(SUMPRODUCT(('配方明细'!$A$2:$A$93=$A4)*'配方明细'!$AF$2:$AF$93)/100,0)</f>
        <v/>
      </c>
      <c r="AQ4" s="6">
        <f>IFERROR(SUMPRODUCT(('配方明细'!$A$2:$A$93=$A4)*'配方明细'!$AG$2:$AG$93)/100,0)</f>
        <v/>
      </c>
      <c r="AR4" s="6">
        <f>IFERROR(SUMPRODUCT(('配方明细'!$A$2:$A$93=$A4)*'配方明细'!$AH$2:$AH$93)/100,0)</f>
        <v/>
      </c>
      <c r="AS4" s="6">
        <f>IFERROR(SUMPRODUCT(('配方明细'!$A$2:$A$93=$A4)*'配方明细'!$AI$2:$AI$93)/100,0)</f>
        <v/>
      </c>
      <c r="AT4" s="6">
        <f>IFERROR(SUMPRODUCT(('配方明细'!$A$2:$A$93=$A4)*'配方明细'!$AJ$2:$AJ$93)/100,0)</f>
        <v/>
      </c>
      <c r="AU4" s="6">
        <f>IFERROR(SUMPRODUCT(('配方明细'!$A$2:$A$93=$A4)*'配方明细'!$AK$2:$AK$93)/100,0)</f>
        <v/>
      </c>
      <c r="AV4" s="6">
        <f>IFERROR(SUMPRODUCT(('配方明细'!$A$2:$A$93=$A4)*'配方明细'!$AL$2:$AL$93)/$C4,0)</f>
        <v/>
      </c>
      <c r="AW4">
        <f>IFERROR(SUMPRODUCT(('配方明细'!$A$2:$A$93=$A4)*'配方明细'!$AM$2:$AM$93)/$C4,0)</f>
        <v/>
      </c>
    </row>
    <row r="5">
      <c r="A5" s="7" t="inlineStr">
        <is>
          <t>EP-0004</t>
        </is>
      </c>
      <c r="B5" s="7" t="inlineStr">
        <is>
          <t>EP-B</t>
        </is>
      </c>
      <c r="C5" s="7" t="inlineStr">
        <is>
          <t>环氧酚醛</t>
        </is>
      </c>
      <c r="D5" s="5">
        <f>SUMIF('配方明细'!$A$2:$A$93,$A5,'配方明细'!$E$2:$E$93)</f>
        <v/>
      </c>
      <c r="E5" s="7">
        <f>COUNTIF('配方明细'!$A$2:$A$93,$A5)</f>
        <v/>
      </c>
      <c r="F5" s="5">
        <f>IFERROR(SUMIFS('配方明细'!$E$2:$E$93,'配方明细'!$A$2:$A$93,$A5,'配方明细'!$F$2:$F$93,"树脂")/$C5,0)</f>
        <v/>
      </c>
      <c r="G5" s="5">
        <f>IFERROR(SUMIFS('配方明细'!$E$2:$E$93,'配方明细'!$A$2:$A$93,$A5,'配方明细'!$F$2:$F$93,"固化剂")/$C5,0)</f>
        <v/>
      </c>
      <c r="H5" s="7">
        <f>IFERROR(SUMIFS('配方明细'!$E$2:$E$93,'配方明细'!$A$2:$A$93,$A5,'配方明细'!$F$2:$F$93,"溶剂")/$C5,0)</f>
        <v/>
      </c>
      <c r="I5" s="7">
        <f>IFERROR(SUMIFS('配方明细'!$E$2:$E$93,'配方明细'!$A$2:$A$93,$A5,'配方明细'!$F$2:$F$93,"助剂")/$C5,0)</f>
        <v/>
      </c>
      <c r="J5" s="7">
        <f>IFERROR(SUMIFS('配方明细'!$E$2:$E$93,'配方明细'!$A$2:$A$93,$A5,'配方明细'!$F$2:$F$93,"颜料")/$C5,0)</f>
        <v/>
      </c>
      <c r="K5" s="7">
        <f>IF($F5&gt;0,$G5/$F5,0)</f>
        <v/>
      </c>
      <c r="L5" s="7">
        <f>IFERROR(SUMIFS('配方明细'!$E$2:$E$93,'配方明细'!$A$2:$A$93,$A5,'配方明细'!$G$2:$G$93,"环氧")/$C5,0)</f>
        <v/>
      </c>
      <c r="M5" s="7">
        <f>IFERROR(SUMIFS('配方明细'!$E$2:$E$93,'配方明细'!$A$2:$A$93,$A5,'配方明细'!$G$2:$G$93,"酚醛")/$C5,0)</f>
        <v/>
      </c>
      <c r="N5" s="7">
        <f>IFERROR(SUMIFS('配方明细'!$E$2:$E$93,'配方明细'!$A$2:$A$93,$A5,'配方明细'!$G$2:$G$93,"聚酯")/$C5,0)</f>
        <v/>
      </c>
      <c r="O5" s="7">
        <f>IFERROR(SUMIFS('配方明细'!$E$2:$E$93,'配方明细'!$A$2:$A$93,$A5,'配方明细'!$G$2:$G$93,"乙烯基")/$C5,0)</f>
        <v/>
      </c>
      <c r="P5" s="7">
        <f>IFERROR(SUMIFS('配方明细'!$E$2:$E$93,'配方明细'!$A$2:$A$93,$A5,'配方明细'!$G$2:$G$93,"丙烯酸")/$C5,0)</f>
        <v/>
      </c>
      <c r="Q5" s="7">
        <f>IFERROR(SUMIFS('配方明细'!$E$2:$E$93,'配方明细'!$A$2:$A$93,$A5,'配方明细'!$G$2:$G$93,"聚氨酯")/$C5,0)</f>
        <v/>
      </c>
      <c r="R5" s="5">
        <f>IFERROR(SUMPRODUCT(('配方明细'!$A$2:$A$93=$A5)*'配方明细'!$H$2:$H$93)/$C5,0)</f>
        <v/>
      </c>
      <c r="S5" s="7">
        <f>IFERROR(SUMPRODUCT(('配方明细'!$A$2:$A$93=$A5)*'配方明细'!$I$2:$I$93)/$C5,0)</f>
        <v/>
      </c>
      <c r="T5" s="7">
        <f>IFERROR(SUMPRODUCT(('配方明细'!$A$2:$A$93=$A5)*'配方明细'!$J$2:$J$93)/$C5,0)</f>
        <v/>
      </c>
      <c r="U5" s="5">
        <f>IFERROR(SUMPRODUCT(('配方明细'!$A$2:$A$93=$A5)*'配方明细'!$K$2:$K$93)/$C5,0)</f>
        <v/>
      </c>
      <c r="V5" s="5">
        <f>IFERROR(SUMPRODUCT(('配方明细'!$A$2:$A$93=$A5)*'配方明细'!$L$2:$L$93)/$C5,0)</f>
        <v/>
      </c>
      <c r="W5" s="5">
        <f>IFERROR(SUMPRODUCT(('配方明细'!$A$2:$A$93=$A5)*'配方明细'!$M$2:$M$93)/$C5,0)</f>
        <v/>
      </c>
      <c r="X5" s="7">
        <f>IFERROR(SUMPRODUCT(('配方明细'!$A$2:$A$93=$A5)*'配方明细'!$N$2:$N$93)/$C5,0)</f>
        <v/>
      </c>
      <c r="Y5" s="7">
        <f>IFERROR(SUMPRODUCT(('配方明细'!$A$2:$A$93=$A5)*'配方明细'!$O$2:$O$93)/$C5,0)</f>
        <v/>
      </c>
      <c r="Z5" s="7">
        <f>IFERROR(SUMPRODUCT(('配方明细'!$A$2:$A$93=$A5)*'配方明细'!$P$2:$P$93)/$C5,0)</f>
        <v/>
      </c>
      <c r="AA5" s="7">
        <f>IFERROR(SUMPRODUCT(('配方明细'!$A$2:$A$93=$A5)*'配方明细'!$Q$2:$Q$93)/$C5,0)</f>
        <v/>
      </c>
      <c r="AB5" s="7">
        <f>IFERROR(SUMPRODUCT(('配方明细'!$A$2:$A$93=$A5)*'配方明细'!$R$2:$R$93)/$C5,0)</f>
        <v/>
      </c>
      <c r="AC5" s="7">
        <f>IFERROR(SUMPRODUCT(('配方明细'!$A$2:$A$93=$A5)*'配方明细'!$S$2:$S$93)/$C5,0)</f>
        <v/>
      </c>
      <c r="AD5" s="7">
        <f>IFERROR(SUMPRODUCT(('配方明细'!$A$2:$A$93=$A5)*'配方明细'!$T$2:$T$93)/$C5,0)</f>
        <v/>
      </c>
      <c r="AE5" s="7">
        <f>IFERROR(SUMPRODUCT(('配方明细'!$A$2:$A$93=$A5)*'配方明细'!$U$2:$U$93)/$C5,0)</f>
        <v/>
      </c>
      <c r="AF5" s="7">
        <f>IFERROR(SUMPRODUCT(('配方明细'!$A$2:$A$93=$A5)*'配方明细'!$V$2:$V$93)/$C5,0)</f>
        <v/>
      </c>
      <c r="AG5" s="7">
        <f>IFERROR(SUMPRODUCT(('配方明细'!$A$2:$A$93=$A5)*'配方明细'!$W$2:$W$93)/$C5,0)</f>
        <v/>
      </c>
      <c r="AH5" s="7">
        <f>IFERROR(SUMPRODUCT(('配方明细'!$A$2:$A$93=$A5)*'配方明细'!$X$2:$X$93)/$C5,0)</f>
        <v/>
      </c>
      <c r="AI5" s="7">
        <f>IFERROR(SUMPRODUCT(('配方明细'!$A$2:$A$93=$A5)*'配方明细'!$Y$2:$Y$93)/$C5,0)</f>
        <v/>
      </c>
      <c r="AJ5" s="7">
        <f>IFERROR(SUMPRODUCT(('配方明细'!$A$2:$A$93=$A5)*'配方明细'!$Z$2:$Z$93)/$C5,0)</f>
        <v/>
      </c>
      <c r="AK5" s="7">
        <f>IFERROR(SUMPRODUCT(('配方明细'!$A$2:$A$93=$A5)*'配方明细'!$AA$2:$AA$93)/$C5,0)</f>
        <v/>
      </c>
      <c r="AL5" s="7">
        <f>IFERROR(SUMPRODUCT(('配方明细'!$A$2:$A$93=$A5)*'配方明细'!$AB$2:$AB$93)/$C5,0)</f>
        <v/>
      </c>
      <c r="AM5" s="5">
        <f>IFERROR(SUMPRODUCT(('配方明细'!$A$2:$A$93=$A5)*'配方明细'!$AC$2:$AC$93)/$C5,0)</f>
        <v/>
      </c>
      <c r="AN5" s="5">
        <f>IFERROR(SUMPRODUCT(('配方明细'!$A$2:$A$93=$A5)*'配方明细'!$AD$2:$AD$93)/100,0)</f>
        <v/>
      </c>
      <c r="AO5" s="5">
        <f>IFERROR(SUMPRODUCT(('配方明细'!$A$2:$A$93=$A5)*'配方明细'!$AE$2:$AE$93)/100,0)</f>
        <v/>
      </c>
      <c r="AP5" s="5">
        <f>IFERROR(SUMPRODUCT(('配方明细'!$A$2:$A$93=$A5)*'配方明细'!$AF$2:$AF$93)/100,0)</f>
        <v/>
      </c>
      <c r="AQ5" s="7">
        <f>IFERROR(SUMPRODUCT(('配方明细'!$A$2:$A$93=$A5)*'配方明细'!$AG$2:$AG$93)/100,0)</f>
        <v/>
      </c>
      <c r="AR5" s="7">
        <f>IFERROR(SUMPRODUCT(('配方明细'!$A$2:$A$93=$A5)*'配方明细'!$AH$2:$AH$93)/100,0)</f>
        <v/>
      </c>
      <c r="AS5" s="7">
        <f>IFERROR(SUMPRODUCT(('配方明细'!$A$2:$A$93=$A5)*'配方明细'!$AI$2:$AI$93)/100,0)</f>
        <v/>
      </c>
      <c r="AT5" s="7">
        <f>IFERROR(SUMPRODUCT(('配方明细'!$A$2:$A$93=$A5)*'配方明细'!$AJ$2:$AJ$93)/100,0)</f>
        <v/>
      </c>
      <c r="AU5" s="7">
        <f>IFERROR(SUMPRODUCT(('配方明细'!$A$2:$A$93=$A5)*'配方明细'!$AK$2:$AK$93)/100,0)</f>
        <v/>
      </c>
      <c r="AV5" s="7">
        <f>IFERROR(SUMPRODUCT(('配方明细'!$A$2:$A$93=$A5)*'配方明细'!$AL$2:$AL$93)/$C5,0)</f>
        <v/>
      </c>
      <c r="AW5">
        <f>IFERROR(SUMPRODUCT(('配方明细'!$A$2:$A$93=$A5)*'配方明细'!$AM$2:$AM$93)/$C5,0)</f>
        <v/>
      </c>
    </row>
    <row r="6">
      <c r="A6" s="6" t="inlineStr">
        <is>
          <t>EP-0005</t>
        </is>
      </c>
      <c r="B6" s="6" t="inlineStr">
        <is>
          <t>EP-C</t>
        </is>
      </c>
      <c r="C6" s="6" t="inlineStr">
        <is>
          <t>环氧酚醛</t>
        </is>
      </c>
      <c r="D6" s="5">
        <f>SUMIF('配方明细'!$A$2:$A$93,$A6,'配方明细'!$E$2:$E$93)</f>
        <v/>
      </c>
      <c r="E6" s="6">
        <f>COUNTIF('配方明细'!$A$2:$A$93,$A6)</f>
        <v/>
      </c>
      <c r="F6" s="5">
        <f>IFERROR(SUMIFS('配方明细'!$E$2:$E$93,'配方明细'!$A$2:$A$93,$A6,'配方明细'!$F$2:$F$93,"树脂")/$C6,0)</f>
        <v/>
      </c>
      <c r="G6" s="5">
        <f>IFERROR(SUMIFS('配方明细'!$E$2:$E$93,'配方明细'!$A$2:$A$93,$A6,'配方明细'!$F$2:$F$93,"固化剂")/$C6,0)</f>
        <v/>
      </c>
      <c r="H6" s="6">
        <f>IFERROR(SUMIFS('配方明细'!$E$2:$E$93,'配方明细'!$A$2:$A$93,$A6,'配方明细'!$F$2:$F$93,"溶剂")/$C6,0)</f>
        <v/>
      </c>
      <c r="I6" s="6">
        <f>IFERROR(SUMIFS('配方明细'!$E$2:$E$93,'配方明细'!$A$2:$A$93,$A6,'配方明细'!$F$2:$F$93,"助剂")/$C6,0)</f>
        <v/>
      </c>
      <c r="J6" s="6">
        <f>IFERROR(SUMIFS('配方明细'!$E$2:$E$93,'配方明细'!$A$2:$A$93,$A6,'配方明细'!$F$2:$F$93,"颜料")/$C6,0)</f>
        <v/>
      </c>
      <c r="K6" s="6">
        <f>IF($F6&gt;0,$G6/$F6,0)</f>
        <v/>
      </c>
      <c r="L6" s="6">
        <f>IFERROR(SUMIFS('配方明细'!$E$2:$E$93,'配方明细'!$A$2:$A$93,$A6,'配方明细'!$G$2:$G$93,"环氧")/$C6,0)</f>
        <v/>
      </c>
      <c r="M6" s="6">
        <f>IFERROR(SUMIFS('配方明细'!$E$2:$E$93,'配方明细'!$A$2:$A$93,$A6,'配方明细'!$G$2:$G$93,"酚醛")/$C6,0)</f>
        <v/>
      </c>
      <c r="N6" s="6">
        <f>IFERROR(SUMIFS('配方明细'!$E$2:$E$93,'配方明细'!$A$2:$A$93,$A6,'配方明细'!$G$2:$G$93,"聚酯")/$C6,0)</f>
        <v/>
      </c>
      <c r="O6" s="6">
        <f>IFERROR(SUMIFS('配方明细'!$E$2:$E$93,'配方明细'!$A$2:$A$93,$A6,'配方明细'!$G$2:$G$93,"乙烯基")/$C6,0)</f>
        <v/>
      </c>
      <c r="P6" s="6">
        <f>IFERROR(SUMIFS('配方明细'!$E$2:$E$93,'配方明细'!$A$2:$A$93,$A6,'配方明细'!$G$2:$G$93,"丙烯酸")/$C6,0)</f>
        <v/>
      </c>
      <c r="Q6" s="6">
        <f>IFERROR(SUMIFS('配方明细'!$E$2:$E$93,'配方明细'!$A$2:$A$93,$A6,'配方明细'!$G$2:$G$93,"聚氨酯")/$C6,0)</f>
        <v/>
      </c>
      <c r="R6" s="5">
        <f>IFERROR(SUMPRODUCT(('配方明细'!$A$2:$A$93=$A6)*'配方明细'!$H$2:$H$93)/$C6,0)</f>
        <v/>
      </c>
      <c r="S6" s="6">
        <f>IFERROR(SUMPRODUCT(('配方明细'!$A$2:$A$93=$A6)*'配方明细'!$I$2:$I$93)/$C6,0)</f>
        <v/>
      </c>
      <c r="T6" s="6">
        <f>IFERROR(SUMPRODUCT(('配方明细'!$A$2:$A$93=$A6)*'配方明细'!$J$2:$J$93)/$C6,0)</f>
        <v/>
      </c>
      <c r="U6" s="5">
        <f>IFERROR(SUMPRODUCT(('配方明细'!$A$2:$A$93=$A6)*'配方明细'!$K$2:$K$93)/$C6,0)</f>
        <v/>
      </c>
      <c r="V6" s="5">
        <f>IFERROR(SUMPRODUCT(('配方明细'!$A$2:$A$93=$A6)*'配方明细'!$L$2:$L$93)/$C6,0)</f>
        <v/>
      </c>
      <c r="W6" s="5">
        <f>IFERROR(SUMPRODUCT(('配方明细'!$A$2:$A$93=$A6)*'配方明细'!$M$2:$M$93)/$C6,0)</f>
        <v/>
      </c>
      <c r="X6" s="6">
        <f>IFERROR(SUMPRODUCT(('配方明细'!$A$2:$A$93=$A6)*'配方明细'!$N$2:$N$93)/$C6,0)</f>
        <v/>
      </c>
      <c r="Y6" s="6">
        <f>IFERROR(SUMPRODUCT(('配方明细'!$A$2:$A$93=$A6)*'配方明细'!$O$2:$O$93)/$C6,0)</f>
        <v/>
      </c>
      <c r="Z6" s="6">
        <f>IFERROR(SUMPRODUCT(('配方明细'!$A$2:$A$93=$A6)*'配方明细'!$P$2:$P$93)/$C6,0)</f>
        <v/>
      </c>
      <c r="AA6" s="6">
        <f>IFERROR(SUMPRODUCT(('配方明细'!$A$2:$A$93=$A6)*'配方明细'!$Q$2:$Q$93)/$C6,0)</f>
        <v/>
      </c>
      <c r="AB6" s="6">
        <f>IFERROR(SUMPRODUCT(('配方明细'!$A$2:$A$93=$A6)*'配方明细'!$R$2:$R$93)/$C6,0)</f>
        <v/>
      </c>
      <c r="AC6" s="6">
        <f>IFERROR(SUMPRODUCT(('配方明细'!$A$2:$A$93=$A6)*'配方明细'!$S$2:$S$93)/$C6,0)</f>
        <v/>
      </c>
      <c r="AD6" s="6">
        <f>IFERROR(SUMPRODUCT(('配方明细'!$A$2:$A$93=$A6)*'配方明细'!$T$2:$T$93)/$C6,0)</f>
        <v/>
      </c>
      <c r="AE6" s="6">
        <f>IFERROR(SUMPRODUCT(('配方明细'!$A$2:$A$93=$A6)*'配方明细'!$U$2:$U$93)/$C6,0)</f>
        <v/>
      </c>
      <c r="AF6" s="6">
        <f>IFERROR(SUMPRODUCT(('配方明细'!$A$2:$A$93=$A6)*'配方明细'!$V$2:$V$93)/$C6,0)</f>
        <v/>
      </c>
      <c r="AG6" s="6">
        <f>IFERROR(SUMPRODUCT(('配方明细'!$A$2:$A$93=$A6)*'配方明细'!$W$2:$W$93)/$C6,0)</f>
        <v/>
      </c>
      <c r="AH6" s="6">
        <f>IFERROR(SUMPRODUCT(('配方明细'!$A$2:$A$93=$A6)*'配方明细'!$X$2:$X$93)/$C6,0)</f>
        <v/>
      </c>
      <c r="AI6" s="6">
        <f>IFERROR(SUMPRODUCT(('配方明细'!$A$2:$A$93=$A6)*'配方明细'!$Y$2:$Y$93)/$C6,0)</f>
        <v/>
      </c>
      <c r="AJ6" s="6">
        <f>IFERROR(SUMPRODUCT(('配方明细'!$A$2:$A$93=$A6)*'配方明细'!$Z$2:$Z$93)/$C6,0)</f>
        <v/>
      </c>
      <c r="AK6" s="6">
        <f>IFERROR(SUMPRODUCT(('配方明细'!$A$2:$A$93=$A6)*'配方明细'!$AA$2:$AA$93)/$C6,0)</f>
        <v/>
      </c>
      <c r="AL6" s="6">
        <f>IFERROR(SUMPRODUCT(('配方明细'!$A$2:$A$93=$A6)*'配方明细'!$AB$2:$AB$93)/$C6,0)</f>
        <v/>
      </c>
      <c r="AM6" s="5">
        <f>IFERROR(SUMPRODUCT(('配方明细'!$A$2:$A$93=$A6)*'配方明细'!$AC$2:$AC$93)/$C6,0)</f>
        <v/>
      </c>
      <c r="AN6" s="5">
        <f>IFERROR(SUMPRODUCT(('配方明细'!$A$2:$A$93=$A6)*'配方明细'!$AD$2:$AD$93)/100,0)</f>
        <v/>
      </c>
      <c r="AO6" s="5">
        <f>IFERROR(SUMPRODUCT(('配方明细'!$A$2:$A$93=$A6)*'配方明细'!$AE$2:$AE$93)/100,0)</f>
        <v/>
      </c>
      <c r="AP6" s="5">
        <f>IFERROR(SUMPRODUCT(('配方明细'!$A$2:$A$93=$A6)*'配方明细'!$AF$2:$AF$93)/100,0)</f>
        <v/>
      </c>
      <c r="AQ6" s="6">
        <f>IFERROR(SUMPRODUCT(('配方明细'!$A$2:$A$93=$A6)*'配方明细'!$AG$2:$AG$93)/100,0)</f>
        <v/>
      </c>
      <c r="AR6" s="6">
        <f>IFERROR(SUMPRODUCT(('配方明细'!$A$2:$A$93=$A6)*'配方明细'!$AH$2:$AH$93)/100,0)</f>
        <v/>
      </c>
      <c r="AS6" s="6">
        <f>IFERROR(SUMPRODUCT(('配方明细'!$A$2:$A$93=$A6)*'配方明细'!$AI$2:$AI$93)/100,0)</f>
        <v/>
      </c>
      <c r="AT6" s="6">
        <f>IFERROR(SUMPRODUCT(('配方明细'!$A$2:$A$93=$A6)*'配方明细'!$AJ$2:$AJ$93)/100,0)</f>
        <v/>
      </c>
      <c r="AU6" s="6">
        <f>IFERROR(SUMPRODUCT(('配方明细'!$A$2:$A$93=$A6)*'配方明细'!$AK$2:$AK$93)/100,0)</f>
        <v/>
      </c>
      <c r="AV6" s="6">
        <f>IFERROR(SUMPRODUCT(('配方明细'!$A$2:$A$93=$A6)*'配方明细'!$AL$2:$AL$93)/$C6,0)</f>
        <v/>
      </c>
      <c r="AW6">
        <f>IFERROR(SUMPRODUCT(('配方明细'!$A$2:$A$93=$A6)*'配方明细'!$AM$2:$AM$93)/$C6,0)</f>
        <v/>
      </c>
    </row>
    <row r="7">
      <c r="A7" s="7" t="inlineStr">
        <is>
          <t>ORG-0001</t>
        </is>
      </c>
      <c r="B7" s="7" t="inlineStr">
        <is>
          <t>ORG-A</t>
        </is>
      </c>
      <c r="C7" s="7" t="inlineStr">
        <is>
          <t>有机</t>
        </is>
      </c>
      <c r="D7" s="5">
        <f>SUMIF('配方明细'!$A$2:$A$93,$A7,'配方明细'!$E$2:$E$93)</f>
        <v/>
      </c>
      <c r="E7" s="7">
        <f>COUNTIF('配方明细'!$A$2:$A$93,$A7)</f>
        <v/>
      </c>
      <c r="F7" s="5">
        <f>IFERROR(SUMIFS('配方明细'!$E$2:$E$93,'配方明细'!$A$2:$A$93,$A7,'配方明细'!$F$2:$F$93,"树脂")/$C7,0)</f>
        <v/>
      </c>
      <c r="G7" s="5">
        <f>IFERROR(SUMIFS('配方明细'!$E$2:$E$93,'配方明细'!$A$2:$A$93,$A7,'配方明细'!$F$2:$F$93,"固化剂")/$C7,0)</f>
        <v/>
      </c>
      <c r="H7" s="7">
        <f>IFERROR(SUMIFS('配方明细'!$E$2:$E$93,'配方明细'!$A$2:$A$93,$A7,'配方明细'!$F$2:$F$93,"溶剂")/$C7,0)</f>
        <v/>
      </c>
      <c r="I7" s="7">
        <f>IFERROR(SUMIFS('配方明细'!$E$2:$E$93,'配方明细'!$A$2:$A$93,$A7,'配方明细'!$F$2:$F$93,"助剂")/$C7,0)</f>
        <v/>
      </c>
      <c r="J7" s="7">
        <f>IFERROR(SUMIFS('配方明细'!$E$2:$E$93,'配方明细'!$A$2:$A$93,$A7,'配方明细'!$F$2:$F$93,"颜料")/$C7,0)</f>
        <v/>
      </c>
      <c r="K7" s="7">
        <f>IF($F7&gt;0,$G7/$F7,0)</f>
        <v/>
      </c>
      <c r="L7" s="7">
        <f>IFERROR(SUMIFS('配方明细'!$E$2:$E$93,'配方明细'!$A$2:$A$93,$A7,'配方明细'!$G$2:$G$93,"环氧")/$C7,0)</f>
        <v/>
      </c>
      <c r="M7" s="7">
        <f>IFERROR(SUMIFS('配方明细'!$E$2:$E$93,'配方明细'!$A$2:$A$93,$A7,'配方明细'!$G$2:$G$93,"酚醛")/$C7,0)</f>
        <v/>
      </c>
      <c r="N7" s="7">
        <f>IFERROR(SUMIFS('配方明细'!$E$2:$E$93,'配方明细'!$A$2:$A$93,$A7,'配方明细'!$G$2:$G$93,"聚酯")/$C7,0)</f>
        <v/>
      </c>
      <c r="O7" s="7">
        <f>IFERROR(SUMIFS('配方明细'!$E$2:$E$93,'配方明细'!$A$2:$A$93,$A7,'配方明细'!$G$2:$G$93,"乙烯基")/$C7,0)</f>
        <v/>
      </c>
      <c r="P7" s="7">
        <f>IFERROR(SUMIFS('配方明细'!$E$2:$E$93,'配方明细'!$A$2:$A$93,$A7,'配方明细'!$G$2:$G$93,"丙烯酸")/$C7,0)</f>
        <v/>
      </c>
      <c r="Q7" s="7">
        <f>IFERROR(SUMIFS('配方明细'!$E$2:$E$93,'配方明细'!$A$2:$A$93,$A7,'配方明细'!$G$2:$G$93,"聚氨酯")/$C7,0)</f>
        <v/>
      </c>
      <c r="R7" s="5">
        <f>IFERROR(SUMPRODUCT(('配方明细'!$A$2:$A$93=$A7)*'配方明细'!$H$2:$H$93)/$C7,0)</f>
        <v/>
      </c>
      <c r="S7" s="7">
        <f>IFERROR(SUMPRODUCT(('配方明细'!$A$2:$A$93=$A7)*'配方明细'!$I$2:$I$93)/$C7,0)</f>
        <v/>
      </c>
      <c r="T7" s="7">
        <f>IFERROR(SUMPRODUCT(('配方明细'!$A$2:$A$93=$A7)*'配方明细'!$J$2:$J$93)/$C7,0)</f>
        <v/>
      </c>
      <c r="U7" s="5">
        <f>IFERROR(SUMPRODUCT(('配方明细'!$A$2:$A$93=$A7)*'配方明细'!$K$2:$K$93)/$C7,0)</f>
        <v/>
      </c>
      <c r="V7" s="5">
        <f>IFERROR(SUMPRODUCT(('配方明细'!$A$2:$A$93=$A7)*'配方明细'!$L$2:$L$93)/$C7,0)</f>
        <v/>
      </c>
      <c r="W7" s="5">
        <f>IFERROR(SUMPRODUCT(('配方明细'!$A$2:$A$93=$A7)*'配方明细'!$M$2:$M$93)/$C7,0)</f>
        <v/>
      </c>
      <c r="X7" s="7">
        <f>IFERROR(SUMPRODUCT(('配方明细'!$A$2:$A$93=$A7)*'配方明细'!$N$2:$N$93)/$C7,0)</f>
        <v/>
      </c>
      <c r="Y7" s="7">
        <f>IFERROR(SUMPRODUCT(('配方明细'!$A$2:$A$93=$A7)*'配方明细'!$O$2:$O$93)/$C7,0)</f>
        <v/>
      </c>
      <c r="Z7" s="7">
        <f>IFERROR(SUMPRODUCT(('配方明细'!$A$2:$A$93=$A7)*'配方明细'!$P$2:$P$93)/$C7,0)</f>
        <v/>
      </c>
      <c r="AA7" s="7">
        <f>IFERROR(SUMPRODUCT(('配方明细'!$A$2:$A$93=$A7)*'配方明细'!$Q$2:$Q$93)/$C7,0)</f>
        <v/>
      </c>
      <c r="AB7" s="7">
        <f>IFERROR(SUMPRODUCT(('配方明细'!$A$2:$A$93=$A7)*'配方明细'!$R$2:$R$93)/$C7,0)</f>
        <v/>
      </c>
      <c r="AC7" s="7">
        <f>IFERROR(SUMPRODUCT(('配方明细'!$A$2:$A$93=$A7)*'配方明细'!$S$2:$S$93)/$C7,0)</f>
        <v/>
      </c>
      <c r="AD7" s="7">
        <f>IFERROR(SUMPRODUCT(('配方明细'!$A$2:$A$93=$A7)*'配方明细'!$T$2:$T$93)/$C7,0)</f>
        <v/>
      </c>
      <c r="AE7" s="7">
        <f>IFERROR(SUMPRODUCT(('配方明细'!$A$2:$A$93=$A7)*'配方明细'!$U$2:$U$93)/$C7,0)</f>
        <v/>
      </c>
      <c r="AF7" s="7">
        <f>IFERROR(SUMPRODUCT(('配方明细'!$A$2:$A$93=$A7)*'配方明细'!$V$2:$V$93)/$C7,0)</f>
        <v/>
      </c>
      <c r="AG7" s="7">
        <f>IFERROR(SUMPRODUCT(('配方明细'!$A$2:$A$93=$A7)*'配方明细'!$W$2:$W$93)/$C7,0)</f>
        <v/>
      </c>
      <c r="AH7" s="7">
        <f>IFERROR(SUMPRODUCT(('配方明细'!$A$2:$A$93=$A7)*'配方明细'!$X$2:$X$93)/$C7,0)</f>
        <v/>
      </c>
      <c r="AI7" s="7">
        <f>IFERROR(SUMPRODUCT(('配方明细'!$A$2:$A$93=$A7)*'配方明细'!$Y$2:$Y$93)/$C7,0)</f>
        <v/>
      </c>
      <c r="AJ7" s="7">
        <f>IFERROR(SUMPRODUCT(('配方明细'!$A$2:$A$93=$A7)*'配方明细'!$Z$2:$Z$93)/$C7,0)</f>
        <v/>
      </c>
      <c r="AK7" s="7">
        <f>IFERROR(SUMPRODUCT(('配方明细'!$A$2:$A$93=$A7)*'配方明细'!$AA$2:$AA$93)/$C7,0)</f>
        <v/>
      </c>
      <c r="AL7" s="7">
        <f>IFERROR(SUMPRODUCT(('配方明细'!$A$2:$A$93=$A7)*'配方明细'!$AB$2:$AB$93)/$C7,0)</f>
        <v/>
      </c>
      <c r="AM7" s="5">
        <f>IFERROR(SUMPRODUCT(('配方明细'!$A$2:$A$93=$A7)*'配方明细'!$AC$2:$AC$93)/$C7,0)</f>
        <v/>
      </c>
      <c r="AN7" s="5">
        <f>IFERROR(SUMPRODUCT(('配方明细'!$A$2:$A$93=$A7)*'配方明细'!$AD$2:$AD$93)/100,0)</f>
        <v/>
      </c>
      <c r="AO7" s="5">
        <f>IFERROR(SUMPRODUCT(('配方明细'!$A$2:$A$93=$A7)*'配方明细'!$AE$2:$AE$93)/100,0)</f>
        <v/>
      </c>
      <c r="AP7" s="5">
        <f>IFERROR(SUMPRODUCT(('配方明细'!$A$2:$A$93=$A7)*'配方明细'!$AF$2:$AF$93)/100,0)</f>
        <v/>
      </c>
      <c r="AQ7" s="7">
        <f>IFERROR(SUMPRODUCT(('配方明细'!$A$2:$A$93=$A7)*'配方明细'!$AG$2:$AG$93)/100,0)</f>
        <v/>
      </c>
      <c r="AR7" s="7">
        <f>IFERROR(SUMPRODUCT(('配方明细'!$A$2:$A$93=$A7)*'配方明细'!$AH$2:$AH$93)/100,0)</f>
        <v/>
      </c>
      <c r="AS7" s="7">
        <f>IFERROR(SUMPRODUCT(('配方明细'!$A$2:$A$93=$A7)*'配方明细'!$AI$2:$AI$93)/100,0)</f>
        <v/>
      </c>
      <c r="AT7" s="7">
        <f>IFERROR(SUMPRODUCT(('配方明细'!$A$2:$A$93=$A7)*'配方明细'!$AJ$2:$AJ$93)/100,0)</f>
        <v/>
      </c>
      <c r="AU7" s="7">
        <f>IFERROR(SUMPRODUCT(('配方明细'!$A$2:$A$93=$A7)*'配方明细'!$AK$2:$AK$93)/100,0)</f>
        <v/>
      </c>
      <c r="AV7" s="7">
        <f>IFERROR(SUMPRODUCT(('配方明细'!$A$2:$A$93=$A7)*'配方明细'!$AL$2:$AL$93)/$C7,0)</f>
        <v/>
      </c>
      <c r="AW7">
        <f>IFERROR(SUMPRODUCT(('配方明细'!$A$2:$A$93=$A7)*'配方明细'!$AM$2:$AM$93)/$C7,0)</f>
        <v/>
      </c>
    </row>
    <row r="8">
      <c r="A8" s="6" t="inlineStr">
        <is>
          <t>ORG-0002</t>
        </is>
      </c>
      <c r="B8" s="6" t="inlineStr">
        <is>
          <t>ORG-A</t>
        </is>
      </c>
      <c r="C8" s="6" t="inlineStr">
        <is>
          <t>有机</t>
        </is>
      </c>
      <c r="D8" s="5">
        <f>SUMIF('配方明细'!$A$2:$A$93,$A8,'配方明细'!$E$2:$E$93)</f>
        <v/>
      </c>
      <c r="E8" s="6">
        <f>COUNTIF('配方明细'!$A$2:$A$93,$A8)</f>
        <v/>
      </c>
      <c r="F8" s="5">
        <f>IFERROR(SUMIFS('配方明细'!$E$2:$E$93,'配方明细'!$A$2:$A$93,$A8,'配方明细'!$F$2:$F$93,"树脂")/$C8,0)</f>
        <v/>
      </c>
      <c r="G8" s="5">
        <f>IFERROR(SUMIFS('配方明细'!$E$2:$E$93,'配方明细'!$A$2:$A$93,$A8,'配方明细'!$F$2:$F$93,"固化剂")/$C8,0)</f>
        <v/>
      </c>
      <c r="H8" s="6">
        <f>IFERROR(SUMIFS('配方明细'!$E$2:$E$93,'配方明细'!$A$2:$A$93,$A8,'配方明细'!$F$2:$F$93,"溶剂")/$C8,0)</f>
        <v/>
      </c>
      <c r="I8" s="6">
        <f>IFERROR(SUMIFS('配方明细'!$E$2:$E$93,'配方明细'!$A$2:$A$93,$A8,'配方明细'!$F$2:$F$93,"助剂")/$C8,0)</f>
        <v/>
      </c>
      <c r="J8" s="6">
        <f>IFERROR(SUMIFS('配方明细'!$E$2:$E$93,'配方明细'!$A$2:$A$93,$A8,'配方明细'!$F$2:$F$93,"颜料")/$C8,0)</f>
        <v/>
      </c>
      <c r="K8" s="6">
        <f>IF($F8&gt;0,$G8/$F8,0)</f>
        <v/>
      </c>
      <c r="L8" s="6">
        <f>IFERROR(SUMIFS('配方明细'!$E$2:$E$93,'配方明细'!$A$2:$A$93,$A8,'配方明细'!$G$2:$G$93,"环氧")/$C8,0)</f>
        <v/>
      </c>
      <c r="M8" s="6">
        <f>IFERROR(SUMIFS('配方明细'!$E$2:$E$93,'配方明细'!$A$2:$A$93,$A8,'配方明细'!$G$2:$G$93,"酚醛")/$C8,0)</f>
        <v/>
      </c>
      <c r="N8" s="6">
        <f>IFERROR(SUMIFS('配方明细'!$E$2:$E$93,'配方明细'!$A$2:$A$93,$A8,'配方明细'!$G$2:$G$93,"聚酯")/$C8,0)</f>
        <v/>
      </c>
      <c r="O8" s="6">
        <f>IFERROR(SUMIFS('配方明细'!$E$2:$E$93,'配方明细'!$A$2:$A$93,$A8,'配方明细'!$G$2:$G$93,"乙烯基")/$C8,0)</f>
        <v/>
      </c>
      <c r="P8" s="6">
        <f>IFERROR(SUMIFS('配方明细'!$E$2:$E$93,'配方明细'!$A$2:$A$93,$A8,'配方明细'!$G$2:$G$93,"丙烯酸")/$C8,0)</f>
        <v/>
      </c>
      <c r="Q8" s="6">
        <f>IFERROR(SUMIFS('配方明细'!$E$2:$E$93,'配方明细'!$A$2:$A$93,$A8,'配方明细'!$G$2:$G$93,"聚氨酯")/$C8,0)</f>
        <v/>
      </c>
      <c r="R8" s="5">
        <f>IFERROR(SUMPRODUCT(('配方明细'!$A$2:$A$93=$A8)*'配方明细'!$H$2:$H$93)/$C8,0)</f>
        <v/>
      </c>
      <c r="S8" s="6">
        <f>IFERROR(SUMPRODUCT(('配方明细'!$A$2:$A$93=$A8)*'配方明细'!$I$2:$I$93)/$C8,0)</f>
        <v/>
      </c>
      <c r="T8" s="6">
        <f>IFERROR(SUMPRODUCT(('配方明细'!$A$2:$A$93=$A8)*'配方明细'!$J$2:$J$93)/$C8,0)</f>
        <v/>
      </c>
      <c r="U8" s="5">
        <f>IFERROR(SUMPRODUCT(('配方明细'!$A$2:$A$93=$A8)*'配方明细'!$K$2:$K$93)/$C8,0)</f>
        <v/>
      </c>
      <c r="V8" s="5">
        <f>IFERROR(SUMPRODUCT(('配方明细'!$A$2:$A$93=$A8)*'配方明细'!$L$2:$L$93)/$C8,0)</f>
        <v/>
      </c>
      <c r="W8" s="5">
        <f>IFERROR(SUMPRODUCT(('配方明细'!$A$2:$A$93=$A8)*'配方明细'!$M$2:$M$93)/$C8,0)</f>
        <v/>
      </c>
      <c r="X8" s="6">
        <f>IFERROR(SUMPRODUCT(('配方明细'!$A$2:$A$93=$A8)*'配方明细'!$N$2:$N$93)/$C8,0)</f>
        <v/>
      </c>
      <c r="Y8" s="6">
        <f>IFERROR(SUMPRODUCT(('配方明细'!$A$2:$A$93=$A8)*'配方明细'!$O$2:$O$93)/$C8,0)</f>
        <v/>
      </c>
      <c r="Z8" s="6">
        <f>IFERROR(SUMPRODUCT(('配方明细'!$A$2:$A$93=$A8)*'配方明细'!$P$2:$P$93)/$C8,0)</f>
        <v/>
      </c>
      <c r="AA8" s="6">
        <f>IFERROR(SUMPRODUCT(('配方明细'!$A$2:$A$93=$A8)*'配方明细'!$Q$2:$Q$93)/$C8,0)</f>
        <v/>
      </c>
      <c r="AB8" s="6">
        <f>IFERROR(SUMPRODUCT(('配方明细'!$A$2:$A$93=$A8)*'配方明细'!$R$2:$R$93)/$C8,0)</f>
        <v/>
      </c>
      <c r="AC8" s="6">
        <f>IFERROR(SUMPRODUCT(('配方明细'!$A$2:$A$93=$A8)*'配方明细'!$S$2:$S$93)/$C8,0)</f>
        <v/>
      </c>
      <c r="AD8" s="6">
        <f>IFERROR(SUMPRODUCT(('配方明细'!$A$2:$A$93=$A8)*'配方明细'!$T$2:$T$93)/$C8,0)</f>
        <v/>
      </c>
      <c r="AE8" s="6">
        <f>IFERROR(SUMPRODUCT(('配方明细'!$A$2:$A$93=$A8)*'配方明细'!$U$2:$U$93)/$C8,0)</f>
        <v/>
      </c>
      <c r="AF8" s="6">
        <f>IFERROR(SUMPRODUCT(('配方明细'!$A$2:$A$93=$A8)*'配方明细'!$V$2:$V$93)/$C8,0)</f>
        <v/>
      </c>
      <c r="AG8" s="6">
        <f>IFERROR(SUMPRODUCT(('配方明细'!$A$2:$A$93=$A8)*'配方明细'!$W$2:$W$93)/$C8,0)</f>
        <v/>
      </c>
      <c r="AH8" s="6">
        <f>IFERROR(SUMPRODUCT(('配方明细'!$A$2:$A$93=$A8)*'配方明细'!$X$2:$X$93)/$C8,0)</f>
        <v/>
      </c>
      <c r="AI8" s="6">
        <f>IFERROR(SUMPRODUCT(('配方明细'!$A$2:$A$93=$A8)*'配方明细'!$Y$2:$Y$93)/$C8,0)</f>
        <v/>
      </c>
      <c r="AJ8" s="6">
        <f>IFERROR(SUMPRODUCT(('配方明细'!$A$2:$A$93=$A8)*'配方明细'!$Z$2:$Z$93)/$C8,0)</f>
        <v/>
      </c>
      <c r="AK8" s="6">
        <f>IFERROR(SUMPRODUCT(('配方明细'!$A$2:$A$93=$A8)*'配方明细'!$AA$2:$AA$93)/$C8,0)</f>
        <v/>
      </c>
      <c r="AL8" s="6">
        <f>IFERROR(SUMPRODUCT(('配方明细'!$A$2:$A$93=$A8)*'配方明细'!$AB$2:$AB$93)/$C8,0)</f>
        <v/>
      </c>
      <c r="AM8" s="5">
        <f>IFERROR(SUMPRODUCT(('配方明细'!$A$2:$A$93=$A8)*'配方明细'!$AC$2:$AC$93)/$C8,0)</f>
        <v/>
      </c>
      <c r="AN8" s="5">
        <f>IFERROR(SUMPRODUCT(('配方明细'!$A$2:$A$93=$A8)*'配方明细'!$AD$2:$AD$93)/100,0)</f>
        <v/>
      </c>
      <c r="AO8" s="5">
        <f>IFERROR(SUMPRODUCT(('配方明细'!$A$2:$A$93=$A8)*'配方明细'!$AE$2:$AE$93)/100,0)</f>
        <v/>
      </c>
      <c r="AP8" s="5">
        <f>IFERROR(SUMPRODUCT(('配方明细'!$A$2:$A$93=$A8)*'配方明细'!$AF$2:$AF$93)/100,0)</f>
        <v/>
      </c>
      <c r="AQ8" s="6">
        <f>IFERROR(SUMPRODUCT(('配方明细'!$A$2:$A$93=$A8)*'配方明细'!$AG$2:$AG$93)/100,0)</f>
        <v/>
      </c>
      <c r="AR8" s="6">
        <f>IFERROR(SUMPRODUCT(('配方明细'!$A$2:$A$93=$A8)*'配方明细'!$AH$2:$AH$93)/100,0)</f>
        <v/>
      </c>
      <c r="AS8" s="6">
        <f>IFERROR(SUMPRODUCT(('配方明细'!$A$2:$A$93=$A8)*'配方明细'!$AI$2:$AI$93)/100,0)</f>
        <v/>
      </c>
      <c r="AT8" s="6">
        <f>IFERROR(SUMPRODUCT(('配方明细'!$A$2:$A$93=$A8)*'配方明细'!$AJ$2:$AJ$93)/100,0)</f>
        <v/>
      </c>
      <c r="AU8" s="6">
        <f>IFERROR(SUMPRODUCT(('配方明细'!$A$2:$A$93=$A8)*'配方明细'!$AK$2:$AK$93)/100,0)</f>
        <v/>
      </c>
      <c r="AV8" s="6">
        <f>IFERROR(SUMPRODUCT(('配方明细'!$A$2:$A$93=$A8)*'配方明细'!$AL$2:$AL$93)/$C8,0)</f>
        <v/>
      </c>
      <c r="AW8">
        <f>IFERROR(SUMPRODUCT(('配方明细'!$A$2:$A$93=$A8)*'配方明细'!$AM$2:$AM$93)/$C8,0)</f>
        <v/>
      </c>
    </row>
    <row r="9">
      <c r="A9" s="7" t="inlineStr">
        <is>
          <t>ORG-0003</t>
        </is>
      </c>
      <c r="B9" s="7" t="inlineStr">
        <is>
          <t>ORG-B</t>
        </is>
      </c>
      <c r="C9" s="7" t="inlineStr">
        <is>
          <t>有机</t>
        </is>
      </c>
      <c r="D9" s="5">
        <f>SUMIF('配方明细'!$A$2:$A$93,$A9,'配方明细'!$E$2:$E$93)</f>
        <v/>
      </c>
      <c r="E9" s="7">
        <f>COUNTIF('配方明细'!$A$2:$A$93,$A9)</f>
        <v/>
      </c>
      <c r="F9" s="5">
        <f>IFERROR(SUMIFS('配方明细'!$E$2:$E$93,'配方明细'!$A$2:$A$93,$A9,'配方明细'!$F$2:$F$93,"树脂")/$C9,0)</f>
        <v/>
      </c>
      <c r="G9" s="5">
        <f>IFERROR(SUMIFS('配方明细'!$E$2:$E$93,'配方明细'!$A$2:$A$93,$A9,'配方明细'!$F$2:$F$93,"固化剂")/$C9,0)</f>
        <v/>
      </c>
      <c r="H9" s="7">
        <f>IFERROR(SUMIFS('配方明细'!$E$2:$E$93,'配方明细'!$A$2:$A$93,$A9,'配方明细'!$F$2:$F$93,"溶剂")/$C9,0)</f>
        <v/>
      </c>
      <c r="I9" s="7">
        <f>IFERROR(SUMIFS('配方明细'!$E$2:$E$93,'配方明细'!$A$2:$A$93,$A9,'配方明细'!$F$2:$F$93,"助剂")/$C9,0)</f>
        <v/>
      </c>
      <c r="J9" s="7">
        <f>IFERROR(SUMIFS('配方明细'!$E$2:$E$93,'配方明细'!$A$2:$A$93,$A9,'配方明细'!$F$2:$F$93,"颜料")/$C9,0)</f>
        <v/>
      </c>
      <c r="K9" s="7">
        <f>IF($F9&gt;0,$G9/$F9,0)</f>
        <v/>
      </c>
      <c r="L9" s="7">
        <f>IFERROR(SUMIFS('配方明细'!$E$2:$E$93,'配方明细'!$A$2:$A$93,$A9,'配方明细'!$G$2:$G$93,"环氧")/$C9,0)</f>
        <v/>
      </c>
      <c r="M9" s="7">
        <f>IFERROR(SUMIFS('配方明细'!$E$2:$E$93,'配方明细'!$A$2:$A$93,$A9,'配方明细'!$G$2:$G$93,"酚醛")/$C9,0)</f>
        <v/>
      </c>
      <c r="N9" s="7">
        <f>IFERROR(SUMIFS('配方明细'!$E$2:$E$93,'配方明细'!$A$2:$A$93,$A9,'配方明细'!$G$2:$G$93,"聚酯")/$C9,0)</f>
        <v/>
      </c>
      <c r="O9" s="7">
        <f>IFERROR(SUMIFS('配方明细'!$E$2:$E$93,'配方明细'!$A$2:$A$93,$A9,'配方明细'!$G$2:$G$93,"乙烯基")/$C9,0)</f>
        <v/>
      </c>
      <c r="P9" s="7">
        <f>IFERROR(SUMIFS('配方明细'!$E$2:$E$93,'配方明细'!$A$2:$A$93,$A9,'配方明细'!$G$2:$G$93,"丙烯酸")/$C9,0)</f>
        <v/>
      </c>
      <c r="Q9" s="7">
        <f>IFERROR(SUMIFS('配方明细'!$E$2:$E$93,'配方明细'!$A$2:$A$93,$A9,'配方明细'!$G$2:$G$93,"聚氨酯")/$C9,0)</f>
        <v/>
      </c>
      <c r="R9" s="5">
        <f>IFERROR(SUMPRODUCT(('配方明细'!$A$2:$A$93=$A9)*'配方明细'!$H$2:$H$93)/$C9,0)</f>
        <v/>
      </c>
      <c r="S9" s="7">
        <f>IFERROR(SUMPRODUCT(('配方明细'!$A$2:$A$93=$A9)*'配方明细'!$I$2:$I$93)/$C9,0)</f>
        <v/>
      </c>
      <c r="T9" s="7">
        <f>IFERROR(SUMPRODUCT(('配方明细'!$A$2:$A$93=$A9)*'配方明细'!$J$2:$J$93)/$C9,0)</f>
        <v/>
      </c>
      <c r="U9" s="5">
        <f>IFERROR(SUMPRODUCT(('配方明细'!$A$2:$A$93=$A9)*'配方明细'!$K$2:$K$93)/$C9,0)</f>
        <v/>
      </c>
      <c r="V9" s="5">
        <f>IFERROR(SUMPRODUCT(('配方明细'!$A$2:$A$93=$A9)*'配方明细'!$L$2:$L$93)/$C9,0)</f>
        <v/>
      </c>
      <c r="W9" s="5">
        <f>IFERROR(SUMPRODUCT(('配方明细'!$A$2:$A$93=$A9)*'配方明细'!$M$2:$M$93)/$C9,0)</f>
        <v/>
      </c>
      <c r="X9" s="7">
        <f>IFERROR(SUMPRODUCT(('配方明细'!$A$2:$A$93=$A9)*'配方明细'!$N$2:$N$93)/$C9,0)</f>
        <v/>
      </c>
      <c r="Y9" s="7">
        <f>IFERROR(SUMPRODUCT(('配方明细'!$A$2:$A$93=$A9)*'配方明细'!$O$2:$O$93)/$C9,0)</f>
        <v/>
      </c>
      <c r="Z9" s="7">
        <f>IFERROR(SUMPRODUCT(('配方明细'!$A$2:$A$93=$A9)*'配方明细'!$P$2:$P$93)/$C9,0)</f>
        <v/>
      </c>
      <c r="AA9" s="7">
        <f>IFERROR(SUMPRODUCT(('配方明细'!$A$2:$A$93=$A9)*'配方明细'!$Q$2:$Q$93)/$C9,0)</f>
        <v/>
      </c>
      <c r="AB9" s="7">
        <f>IFERROR(SUMPRODUCT(('配方明细'!$A$2:$A$93=$A9)*'配方明细'!$R$2:$R$93)/$C9,0)</f>
        <v/>
      </c>
      <c r="AC9" s="7">
        <f>IFERROR(SUMPRODUCT(('配方明细'!$A$2:$A$93=$A9)*'配方明细'!$S$2:$S$93)/$C9,0)</f>
        <v/>
      </c>
      <c r="AD9" s="7">
        <f>IFERROR(SUMPRODUCT(('配方明细'!$A$2:$A$93=$A9)*'配方明细'!$T$2:$T$93)/$C9,0)</f>
        <v/>
      </c>
      <c r="AE9" s="7">
        <f>IFERROR(SUMPRODUCT(('配方明细'!$A$2:$A$93=$A9)*'配方明细'!$U$2:$U$93)/$C9,0)</f>
        <v/>
      </c>
      <c r="AF9" s="7">
        <f>IFERROR(SUMPRODUCT(('配方明细'!$A$2:$A$93=$A9)*'配方明细'!$V$2:$V$93)/$C9,0)</f>
        <v/>
      </c>
      <c r="AG9" s="7">
        <f>IFERROR(SUMPRODUCT(('配方明细'!$A$2:$A$93=$A9)*'配方明细'!$W$2:$W$93)/$C9,0)</f>
        <v/>
      </c>
      <c r="AH9" s="7">
        <f>IFERROR(SUMPRODUCT(('配方明细'!$A$2:$A$93=$A9)*'配方明细'!$X$2:$X$93)/$C9,0)</f>
        <v/>
      </c>
      <c r="AI9" s="7">
        <f>IFERROR(SUMPRODUCT(('配方明细'!$A$2:$A$93=$A9)*'配方明细'!$Y$2:$Y$93)/$C9,0)</f>
        <v/>
      </c>
      <c r="AJ9" s="7">
        <f>IFERROR(SUMPRODUCT(('配方明细'!$A$2:$A$93=$A9)*'配方明细'!$Z$2:$Z$93)/$C9,0)</f>
        <v/>
      </c>
      <c r="AK9" s="7">
        <f>IFERROR(SUMPRODUCT(('配方明细'!$A$2:$A$93=$A9)*'配方明细'!$AA$2:$AA$93)/$C9,0)</f>
        <v/>
      </c>
      <c r="AL9" s="7">
        <f>IFERROR(SUMPRODUCT(('配方明细'!$A$2:$A$93=$A9)*'配方明细'!$AB$2:$AB$93)/$C9,0)</f>
        <v/>
      </c>
      <c r="AM9" s="5">
        <f>IFERROR(SUMPRODUCT(('配方明细'!$A$2:$A$93=$A9)*'配方明细'!$AC$2:$AC$93)/$C9,0)</f>
        <v/>
      </c>
      <c r="AN9" s="5">
        <f>IFERROR(SUMPRODUCT(('配方明细'!$A$2:$A$93=$A9)*'配方明细'!$AD$2:$AD$93)/100,0)</f>
        <v/>
      </c>
      <c r="AO9" s="5">
        <f>IFERROR(SUMPRODUCT(('配方明细'!$A$2:$A$93=$A9)*'配方明细'!$AE$2:$AE$93)/100,0)</f>
        <v/>
      </c>
      <c r="AP9" s="5">
        <f>IFERROR(SUMPRODUCT(('配方明细'!$A$2:$A$93=$A9)*'配方明细'!$AF$2:$AF$93)/100,0)</f>
        <v/>
      </c>
      <c r="AQ9" s="7">
        <f>IFERROR(SUMPRODUCT(('配方明细'!$A$2:$A$93=$A9)*'配方明细'!$AG$2:$AG$93)/100,0)</f>
        <v/>
      </c>
      <c r="AR9" s="7">
        <f>IFERROR(SUMPRODUCT(('配方明细'!$A$2:$A$93=$A9)*'配方明细'!$AH$2:$AH$93)/100,0)</f>
        <v/>
      </c>
      <c r="AS9" s="7">
        <f>IFERROR(SUMPRODUCT(('配方明细'!$A$2:$A$93=$A9)*'配方明细'!$AI$2:$AI$93)/100,0)</f>
        <v/>
      </c>
      <c r="AT9" s="7">
        <f>IFERROR(SUMPRODUCT(('配方明细'!$A$2:$A$93=$A9)*'配方明细'!$AJ$2:$AJ$93)/100,0)</f>
        <v/>
      </c>
      <c r="AU9" s="7">
        <f>IFERROR(SUMPRODUCT(('配方明细'!$A$2:$A$93=$A9)*'配方明细'!$AK$2:$AK$93)/100,0)</f>
        <v/>
      </c>
      <c r="AV9" s="7">
        <f>IFERROR(SUMPRODUCT(('配方明细'!$A$2:$A$93=$A9)*'配方明细'!$AL$2:$AL$93)/$C9,0)</f>
        <v/>
      </c>
      <c r="AW9">
        <f>IFERROR(SUMPRODUCT(('配方明细'!$A$2:$A$93=$A9)*'配方明细'!$AM$2:$AM$93)/$C9,0)</f>
        <v/>
      </c>
    </row>
    <row r="10">
      <c r="A10" s="6" t="inlineStr">
        <is>
          <t>PES-0001</t>
        </is>
      </c>
      <c r="B10" s="6" t="inlineStr">
        <is>
          <t>PES-A</t>
        </is>
      </c>
      <c r="C10" s="6" t="inlineStr">
        <is>
          <t>聚酯</t>
        </is>
      </c>
      <c r="D10" s="5">
        <f>SUMIF('配方明细'!$A$2:$A$93,$A10,'配方明细'!$E$2:$E$93)</f>
        <v/>
      </c>
      <c r="E10" s="6">
        <f>COUNTIF('配方明细'!$A$2:$A$93,$A10)</f>
        <v/>
      </c>
      <c r="F10" s="5">
        <f>IFERROR(SUMIFS('配方明细'!$E$2:$E$93,'配方明细'!$A$2:$A$93,$A10,'配方明细'!$F$2:$F$93,"树脂")/$C10,0)</f>
        <v/>
      </c>
      <c r="G10" s="5">
        <f>IFERROR(SUMIFS('配方明细'!$E$2:$E$93,'配方明细'!$A$2:$A$93,$A10,'配方明细'!$F$2:$F$93,"固化剂")/$C10,0)</f>
        <v/>
      </c>
      <c r="H10" s="6">
        <f>IFERROR(SUMIFS('配方明细'!$E$2:$E$93,'配方明细'!$A$2:$A$93,$A10,'配方明细'!$F$2:$F$93,"溶剂")/$C10,0)</f>
        <v/>
      </c>
      <c r="I10" s="6">
        <f>IFERROR(SUMIFS('配方明细'!$E$2:$E$93,'配方明细'!$A$2:$A$93,$A10,'配方明细'!$F$2:$F$93,"助剂")/$C10,0)</f>
        <v/>
      </c>
      <c r="J10" s="6">
        <f>IFERROR(SUMIFS('配方明细'!$E$2:$E$93,'配方明细'!$A$2:$A$93,$A10,'配方明细'!$F$2:$F$93,"颜料")/$C10,0)</f>
        <v/>
      </c>
      <c r="K10" s="6">
        <f>IF($F10&gt;0,$G10/$F10,0)</f>
        <v/>
      </c>
      <c r="L10" s="6">
        <f>IFERROR(SUMIFS('配方明细'!$E$2:$E$93,'配方明细'!$A$2:$A$93,$A10,'配方明细'!$G$2:$G$93,"环氧")/$C10,0)</f>
        <v/>
      </c>
      <c r="M10" s="6">
        <f>IFERROR(SUMIFS('配方明细'!$E$2:$E$93,'配方明细'!$A$2:$A$93,$A10,'配方明细'!$G$2:$G$93,"酚醛")/$C10,0)</f>
        <v/>
      </c>
      <c r="N10" s="6">
        <f>IFERROR(SUMIFS('配方明细'!$E$2:$E$93,'配方明细'!$A$2:$A$93,$A10,'配方明细'!$G$2:$G$93,"聚酯")/$C10,0)</f>
        <v/>
      </c>
      <c r="O10" s="6">
        <f>IFERROR(SUMIFS('配方明细'!$E$2:$E$93,'配方明细'!$A$2:$A$93,$A10,'配方明细'!$G$2:$G$93,"乙烯基")/$C10,0)</f>
        <v/>
      </c>
      <c r="P10" s="6">
        <f>IFERROR(SUMIFS('配方明细'!$E$2:$E$93,'配方明细'!$A$2:$A$93,$A10,'配方明细'!$G$2:$G$93,"丙烯酸")/$C10,0)</f>
        <v/>
      </c>
      <c r="Q10" s="6">
        <f>IFERROR(SUMIFS('配方明细'!$E$2:$E$93,'配方明细'!$A$2:$A$93,$A10,'配方明细'!$G$2:$G$93,"聚氨酯")/$C10,0)</f>
        <v/>
      </c>
      <c r="R10" s="5">
        <f>IFERROR(SUMPRODUCT(('配方明细'!$A$2:$A$93=$A10)*'配方明细'!$H$2:$H$93)/$C10,0)</f>
        <v/>
      </c>
      <c r="S10" s="6">
        <f>IFERROR(SUMPRODUCT(('配方明细'!$A$2:$A$93=$A10)*'配方明细'!$I$2:$I$93)/$C10,0)</f>
        <v/>
      </c>
      <c r="T10" s="6">
        <f>IFERROR(SUMPRODUCT(('配方明细'!$A$2:$A$93=$A10)*'配方明细'!$J$2:$J$93)/$C10,0)</f>
        <v/>
      </c>
      <c r="U10" s="5">
        <f>IFERROR(SUMPRODUCT(('配方明细'!$A$2:$A$93=$A10)*'配方明细'!$K$2:$K$93)/$C10,0)</f>
        <v/>
      </c>
      <c r="V10" s="5">
        <f>IFERROR(SUMPRODUCT(('配方明细'!$A$2:$A$93=$A10)*'配方明细'!$L$2:$L$93)/$C10,0)</f>
        <v/>
      </c>
      <c r="W10" s="5">
        <f>IFERROR(SUMPRODUCT(('配方明细'!$A$2:$A$93=$A10)*'配方明细'!$M$2:$M$93)/$C10,0)</f>
        <v/>
      </c>
      <c r="X10" s="6">
        <f>IFERROR(SUMPRODUCT(('配方明细'!$A$2:$A$93=$A10)*'配方明细'!$N$2:$N$93)/$C10,0)</f>
        <v/>
      </c>
      <c r="Y10" s="6">
        <f>IFERROR(SUMPRODUCT(('配方明细'!$A$2:$A$93=$A10)*'配方明细'!$O$2:$O$93)/$C10,0)</f>
        <v/>
      </c>
      <c r="Z10" s="6">
        <f>IFERROR(SUMPRODUCT(('配方明细'!$A$2:$A$93=$A10)*'配方明细'!$P$2:$P$93)/$C10,0)</f>
        <v/>
      </c>
      <c r="AA10" s="6">
        <f>IFERROR(SUMPRODUCT(('配方明细'!$A$2:$A$93=$A10)*'配方明细'!$Q$2:$Q$93)/$C10,0)</f>
        <v/>
      </c>
      <c r="AB10" s="6">
        <f>IFERROR(SUMPRODUCT(('配方明细'!$A$2:$A$93=$A10)*'配方明细'!$R$2:$R$93)/$C10,0)</f>
        <v/>
      </c>
      <c r="AC10" s="6">
        <f>IFERROR(SUMPRODUCT(('配方明细'!$A$2:$A$93=$A10)*'配方明细'!$S$2:$S$93)/$C10,0)</f>
        <v/>
      </c>
      <c r="AD10" s="6">
        <f>IFERROR(SUMPRODUCT(('配方明细'!$A$2:$A$93=$A10)*'配方明细'!$T$2:$T$93)/$C10,0)</f>
        <v/>
      </c>
      <c r="AE10" s="6">
        <f>IFERROR(SUMPRODUCT(('配方明细'!$A$2:$A$93=$A10)*'配方明细'!$U$2:$U$93)/$C10,0)</f>
        <v/>
      </c>
      <c r="AF10" s="6">
        <f>IFERROR(SUMPRODUCT(('配方明细'!$A$2:$A$93=$A10)*'配方明细'!$V$2:$V$93)/$C10,0)</f>
        <v/>
      </c>
      <c r="AG10" s="6">
        <f>IFERROR(SUMPRODUCT(('配方明细'!$A$2:$A$93=$A10)*'配方明细'!$W$2:$W$93)/$C10,0)</f>
        <v/>
      </c>
      <c r="AH10" s="6">
        <f>IFERROR(SUMPRODUCT(('配方明细'!$A$2:$A$93=$A10)*'配方明细'!$X$2:$X$93)/$C10,0)</f>
        <v/>
      </c>
      <c r="AI10" s="6">
        <f>IFERROR(SUMPRODUCT(('配方明细'!$A$2:$A$93=$A10)*'配方明细'!$Y$2:$Y$93)/$C10,0)</f>
        <v/>
      </c>
      <c r="AJ10" s="6">
        <f>IFERROR(SUMPRODUCT(('配方明细'!$A$2:$A$93=$A10)*'配方明细'!$Z$2:$Z$93)/$C10,0)</f>
        <v/>
      </c>
      <c r="AK10" s="6">
        <f>IFERROR(SUMPRODUCT(('配方明细'!$A$2:$A$93=$A10)*'配方明细'!$AA$2:$AA$93)/$C10,0)</f>
        <v/>
      </c>
      <c r="AL10" s="6">
        <f>IFERROR(SUMPRODUCT(('配方明细'!$A$2:$A$93=$A10)*'配方明细'!$AB$2:$AB$93)/$C10,0)</f>
        <v/>
      </c>
      <c r="AM10" s="5">
        <f>IFERROR(SUMPRODUCT(('配方明细'!$A$2:$A$93=$A10)*'配方明细'!$AC$2:$AC$93)/$C10,0)</f>
        <v/>
      </c>
      <c r="AN10" s="5">
        <f>IFERROR(SUMPRODUCT(('配方明细'!$A$2:$A$93=$A10)*'配方明细'!$AD$2:$AD$93)/100,0)</f>
        <v/>
      </c>
      <c r="AO10" s="5">
        <f>IFERROR(SUMPRODUCT(('配方明细'!$A$2:$A$93=$A10)*'配方明细'!$AE$2:$AE$93)/100,0)</f>
        <v/>
      </c>
      <c r="AP10" s="5">
        <f>IFERROR(SUMPRODUCT(('配方明细'!$A$2:$A$93=$A10)*'配方明细'!$AF$2:$AF$93)/100,0)</f>
        <v/>
      </c>
      <c r="AQ10" s="6">
        <f>IFERROR(SUMPRODUCT(('配方明细'!$A$2:$A$93=$A10)*'配方明细'!$AG$2:$AG$93)/100,0)</f>
        <v/>
      </c>
      <c r="AR10" s="6">
        <f>IFERROR(SUMPRODUCT(('配方明细'!$A$2:$A$93=$A10)*'配方明细'!$AH$2:$AH$93)/100,0)</f>
        <v/>
      </c>
      <c r="AS10" s="6">
        <f>IFERROR(SUMPRODUCT(('配方明细'!$A$2:$A$93=$A10)*'配方明细'!$AI$2:$AI$93)/100,0)</f>
        <v/>
      </c>
      <c r="AT10" s="6">
        <f>IFERROR(SUMPRODUCT(('配方明细'!$A$2:$A$93=$A10)*'配方明细'!$AJ$2:$AJ$93)/100,0)</f>
        <v/>
      </c>
      <c r="AU10" s="6">
        <f>IFERROR(SUMPRODUCT(('配方明细'!$A$2:$A$93=$A10)*'配方明细'!$AK$2:$AK$93)/100,0)</f>
        <v/>
      </c>
      <c r="AV10" s="6">
        <f>IFERROR(SUMPRODUCT(('配方明细'!$A$2:$A$93=$A10)*'配方明细'!$AL$2:$AL$93)/$C10,0)</f>
        <v/>
      </c>
      <c r="AW10">
        <f>IFERROR(SUMPRODUCT(('配方明细'!$A$2:$A$93=$A10)*'配方明细'!$AM$2:$AM$93)/$C10,0)</f>
        <v/>
      </c>
    </row>
    <row r="11">
      <c r="A11" s="7" t="inlineStr">
        <is>
          <t>PES-0002</t>
        </is>
      </c>
      <c r="B11" s="7" t="inlineStr">
        <is>
          <t>PES-A</t>
        </is>
      </c>
      <c r="C11" s="7" t="inlineStr">
        <is>
          <t>聚酯</t>
        </is>
      </c>
      <c r="D11" s="5">
        <f>SUMIF('配方明细'!$A$2:$A$93,$A11,'配方明细'!$E$2:$E$93)</f>
        <v/>
      </c>
      <c r="E11" s="7">
        <f>COUNTIF('配方明细'!$A$2:$A$93,$A11)</f>
        <v/>
      </c>
      <c r="F11" s="5">
        <f>IFERROR(SUMIFS('配方明细'!$E$2:$E$93,'配方明细'!$A$2:$A$93,$A11,'配方明细'!$F$2:$F$93,"树脂")/$C11,0)</f>
        <v/>
      </c>
      <c r="G11" s="5">
        <f>IFERROR(SUMIFS('配方明细'!$E$2:$E$93,'配方明细'!$A$2:$A$93,$A11,'配方明细'!$F$2:$F$93,"固化剂")/$C11,0)</f>
        <v/>
      </c>
      <c r="H11" s="7">
        <f>IFERROR(SUMIFS('配方明细'!$E$2:$E$93,'配方明细'!$A$2:$A$93,$A11,'配方明细'!$F$2:$F$93,"溶剂")/$C11,0)</f>
        <v/>
      </c>
      <c r="I11" s="7">
        <f>IFERROR(SUMIFS('配方明细'!$E$2:$E$93,'配方明细'!$A$2:$A$93,$A11,'配方明细'!$F$2:$F$93,"助剂")/$C11,0)</f>
        <v/>
      </c>
      <c r="J11" s="7">
        <f>IFERROR(SUMIFS('配方明细'!$E$2:$E$93,'配方明细'!$A$2:$A$93,$A11,'配方明细'!$F$2:$F$93,"颜料")/$C11,0)</f>
        <v/>
      </c>
      <c r="K11" s="7">
        <f>IF($F11&gt;0,$G11/$F11,0)</f>
        <v/>
      </c>
      <c r="L11" s="7">
        <f>IFERROR(SUMIFS('配方明细'!$E$2:$E$93,'配方明细'!$A$2:$A$93,$A11,'配方明细'!$G$2:$G$93,"环氧")/$C11,0)</f>
        <v/>
      </c>
      <c r="M11" s="7">
        <f>IFERROR(SUMIFS('配方明细'!$E$2:$E$93,'配方明细'!$A$2:$A$93,$A11,'配方明细'!$G$2:$G$93,"酚醛")/$C11,0)</f>
        <v/>
      </c>
      <c r="N11" s="7">
        <f>IFERROR(SUMIFS('配方明细'!$E$2:$E$93,'配方明细'!$A$2:$A$93,$A11,'配方明细'!$G$2:$G$93,"聚酯")/$C11,0)</f>
        <v/>
      </c>
      <c r="O11" s="7">
        <f>IFERROR(SUMIFS('配方明细'!$E$2:$E$93,'配方明细'!$A$2:$A$93,$A11,'配方明细'!$G$2:$G$93,"乙烯基")/$C11,0)</f>
        <v/>
      </c>
      <c r="P11" s="7">
        <f>IFERROR(SUMIFS('配方明细'!$E$2:$E$93,'配方明细'!$A$2:$A$93,$A11,'配方明细'!$G$2:$G$93,"丙烯酸")/$C11,0)</f>
        <v/>
      </c>
      <c r="Q11" s="7">
        <f>IFERROR(SUMIFS('配方明细'!$E$2:$E$93,'配方明细'!$A$2:$A$93,$A11,'配方明细'!$G$2:$G$93,"聚氨酯")/$C11,0)</f>
        <v/>
      </c>
      <c r="R11" s="5">
        <f>IFERROR(SUMPRODUCT(('配方明细'!$A$2:$A$93=$A11)*'配方明细'!$H$2:$H$93)/$C11,0)</f>
        <v/>
      </c>
      <c r="S11" s="7">
        <f>IFERROR(SUMPRODUCT(('配方明细'!$A$2:$A$93=$A11)*'配方明细'!$I$2:$I$93)/$C11,0)</f>
        <v/>
      </c>
      <c r="T11" s="7">
        <f>IFERROR(SUMPRODUCT(('配方明细'!$A$2:$A$93=$A11)*'配方明细'!$J$2:$J$93)/$C11,0)</f>
        <v/>
      </c>
      <c r="U11" s="5">
        <f>IFERROR(SUMPRODUCT(('配方明细'!$A$2:$A$93=$A11)*'配方明细'!$K$2:$K$93)/$C11,0)</f>
        <v/>
      </c>
      <c r="V11" s="5">
        <f>IFERROR(SUMPRODUCT(('配方明细'!$A$2:$A$93=$A11)*'配方明细'!$L$2:$L$93)/$C11,0)</f>
        <v/>
      </c>
      <c r="W11" s="5">
        <f>IFERROR(SUMPRODUCT(('配方明细'!$A$2:$A$93=$A11)*'配方明细'!$M$2:$M$93)/$C11,0)</f>
        <v/>
      </c>
      <c r="X11" s="7">
        <f>IFERROR(SUMPRODUCT(('配方明细'!$A$2:$A$93=$A11)*'配方明细'!$N$2:$N$93)/$C11,0)</f>
        <v/>
      </c>
      <c r="Y11" s="7">
        <f>IFERROR(SUMPRODUCT(('配方明细'!$A$2:$A$93=$A11)*'配方明细'!$O$2:$O$93)/$C11,0)</f>
        <v/>
      </c>
      <c r="Z11" s="7">
        <f>IFERROR(SUMPRODUCT(('配方明细'!$A$2:$A$93=$A11)*'配方明细'!$P$2:$P$93)/$C11,0)</f>
        <v/>
      </c>
      <c r="AA11" s="7">
        <f>IFERROR(SUMPRODUCT(('配方明细'!$A$2:$A$93=$A11)*'配方明细'!$Q$2:$Q$93)/$C11,0)</f>
        <v/>
      </c>
      <c r="AB11" s="7">
        <f>IFERROR(SUMPRODUCT(('配方明细'!$A$2:$A$93=$A11)*'配方明细'!$R$2:$R$93)/$C11,0)</f>
        <v/>
      </c>
      <c r="AC11" s="7">
        <f>IFERROR(SUMPRODUCT(('配方明细'!$A$2:$A$93=$A11)*'配方明细'!$S$2:$S$93)/$C11,0)</f>
        <v/>
      </c>
      <c r="AD11" s="7">
        <f>IFERROR(SUMPRODUCT(('配方明细'!$A$2:$A$93=$A11)*'配方明细'!$T$2:$T$93)/$C11,0)</f>
        <v/>
      </c>
      <c r="AE11" s="7">
        <f>IFERROR(SUMPRODUCT(('配方明细'!$A$2:$A$93=$A11)*'配方明细'!$U$2:$U$93)/$C11,0)</f>
        <v/>
      </c>
      <c r="AF11" s="7">
        <f>IFERROR(SUMPRODUCT(('配方明细'!$A$2:$A$93=$A11)*'配方明细'!$V$2:$V$93)/$C11,0)</f>
        <v/>
      </c>
      <c r="AG11" s="7">
        <f>IFERROR(SUMPRODUCT(('配方明细'!$A$2:$A$93=$A11)*'配方明细'!$W$2:$W$93)/$C11,0)</f>
        <v/>
      </c>
      <c r="AH11" s="7">
        <f>IFERROR(SUMPRODUCT(('配方明细'!$A$2:$A$93=$A11)*'配方明细'!$X$2:$X$93)/$C11,0)</f>
        <v/>
      </c>
      <c r="AI11" s="7">
        <f>IFERROR(SUMPRODUCT(('配方明细'!$A$2:$A$93=$A11)*'配方明细'!$Y$2:$Y$93)/$C11,0)</f>
        <v/>
      </c>
      <c r="AJ11" s="7">
        <f>IFERROR(SUMPRODUCT(('配方明细'!$A$2:$A$93=$A11)*'配方明细'!$Z$2:$Z$93)/$C11,0)</f>
        <v/>
      </c>
      <c r="AK11" s="7">
        <f>IFERROR(SUMPRODUCT(('配方明细'!$A$2:$A$93=$A11)*'配方明细'!$AA$2:$AA$93)/$C11,0)</f>
        <v/>
      </c>
      <c r="AL11" s="7">
        <f>IFERROR(SUMPRODUCT(('配方明细'!$A$2:$A$93=$A11)*'配方明细'!$AB$2:$AB$93)/$C11,0)</f>
        <v/>
      </c>
      <c r="AM11" s="5">
        <f>IFERROR(SUMPRODUCT(('配方明细'!$A$2:$A$93=$A11)*'配方明细'!$AC$2:$AC$93)/$C11,0)</f>
        <v/>
      </c>
      <c r="AN11" s="5">
        <f>IFERROR(SUMPRODUCT(('配方明细'!$A$2:$A$93=$A11)*'配方明细'!$AD$2:$AD$93)/100,0)</f>
        <v/>
      </c>
      <c r="AO11" s="5">
        <f>IFERROR(SUMPRODUCT(('配方明细'!$A$2:$A$93=$A11)*'配方明细'!$AE$2:$AE$93)/100,0)</f>
        <v/>
      </c>
      <c r="AP11" s="5">
        <f>IFERROR(SUMPRODUCT(('配方明细'!$A$2:$A$93=$A11)*'配方明细'!$AF$2:$AF$93)/100,0)</f>
        <v/>
      </c>
      <c r="AQ11" s="7">
        <f>IFERROR(SUMPRODUCT(('配方明细'!$A$2:$A$93=$A11)*'配方明细'!$AG$2:$AG$93)/100,0)</f>
        <v/>
      </c>
      <c r="AR11" s="7">
        <f>IFERROR(SUMPRODUCT(('配方明细'!$A$2:$A$93=$A11)*'配方明细'!$AH$2:$AH$93)/100,0)</f>
        <v/>
      </c>
      <c r="AS11" s="7">
        <f>IFERROR(SUMPRODUCT(('配方明细'!$A$2:$A$93=$A11)*'配方明细'!$AI$2:$AI$93)/100,0)</f>
        <v/>
      </c>
      <c r="AT11" s="7">
        <f>IFERROR(SUMPRODUCT(('配方明细'!$A$2:$A$93=$A11)*'配方明细'!$AJ$2:$AJ$93)/100,0)</f>
        <v/>
      </c>
      <c r="AU11" s="7">
        <f>IFERROR(SUMPRODUCT(('配方明细'!$A$2:$A$93=$A11)*'配方明细'!$AK$2:$AK$93)/100,0)</f>
        <v/>
      </c>
      <c r="AV11" s="7">
        <f>IFERROR(SUMPRODUCT(('配方明细'!$A$2:$A$93=$A11)*'配方明细'!$AL$2:$AL$93)/$C11,0)</f>
        <v/>
      </c>
      <c r="AW11">
        <f>IFERROR(SUMPRODUCT(('配方明细'!$A$2:$A$93=$A11)*'配方明细'!$AM$2:$AM$93)/$C11,0)</f>
        <v/>
      </c>
    </row>
    <row r="12">
      <c r="A12" s="6" t="inlineStr">
        <is>
          <t>PES-0003</t>
        </is>
      </c>
      <c r="B12" s="6" t="inlineStr">
        <is>
          <t>PES-B</t>
        </is>
      </c>
      <c r="C12" s="6" t="inlineStr">
        <is>
          <t>聚酯</t>
        </is>
      </c>
      <c r="D12" s="5">
        <f>SUMIF('配方明细'!$A$2:$A$93,$A12,'配方明细'!$E$2:$E$93)</f>
        <v/>
      </c>
      <c r="E12" s="6">
        <f>COUNTIF('配方明细'!$A$2:$A$93,$A12)</f>
        <v/>
      </c>
      <c r="F12" s="5">
        <f>IFERROR(SUMIFS('配方明细'!$E$2:$E$93,'配方明细'!$A$2:$A$93,$A12,'配方明细'!$F$2:$F$93,"树脂")/$C12,0)</f>
        <v/>
      </c>
      <c r="G12" s="5">
        <f>IFERROR(SUMIFS('配方明细'!$E$2:$E$93,'配方明细'!$A$2:$A$93,$A12,'配方明细'!$F$2:$F$93,"固化剂")/$C12,0)</f>
        <v/>
      </c>
      <c r="H12" s="6">
        <f>IFERROR(SUMIFS('配方明细'!$E$2:$E$93,'配方明细'!$A$2:$A$93,$A12,'配方明细'!$F$2:$F$93,"溶剂")/$C12,0)</f>
        <v/>
      </c>
      <c r="I12" s="6">
        <f>IFERROR(SUMIFS('配方明细'!$E$2:$E$93,'配方明细'!$A$2:$A$93,$A12,'配方明细'!$F$2:$F$93,"助剂")/$C12,0)</f>
        <v/>
      </c>
      <c r="J12" s="6">
        <f>IFERROR(SUMIFS('配方明细'!$E$2:$E$93,'配方明细'!$A$2:$A$93,$A12,'配方明细'!$F$2:$F$93,"颜料")/$C12,0)</f>
        <v/>
      </c>
      <c r="K12" s="6">
        <f>IF($F12&gt;0,$G12/$F12,0)</f>
        <v/>
      </c>
      <c r="L12" s="6">
        <f>IFERROR(SUMIFS('配方明细'!$E$2:$E$93,'配方明细'!$A$2:$A$93,$A12,'配方明细'!$G$2:$G$93,"环氧")/$C12,0)</f>
        <v/>
      </c>
      <c r="M12" s="6">
        <f>IFERROR(SUMIFS('配方明细'!$E$2:$E$93,'配方明细'!$A$2:$A$93,$A12,'配方明细'!$G$2:$G$93,"酚醛")/$C12,0)</f>
        <v/>
      </c>
      <c r="N12" s="6">
        <f>IFERROR(SUMIFS('配方明细'!$E$2:$E$93,'配方明细'!$A$2:$A$93,$A12,'配方明细'!$G$2:$G$93,"聚酯")/$C12,0)</f>
        <v/>
      </c>
      <c r="O12" s="6">
        <f>IFERROR(SUMIFS('配方明细'!$E$2:$E$93,'配方明细'!$A$2:$A$93,$A12,'配方明细'!$G$2:$G$93,"乙烯基")/$C12,0)</f>
        <v/>
      </c>
      <c r="P12" s="6">
        <f>IFERROR(SUMIFS('配方明细'!$E$2:$E$93,'配方明细'!$A$2:$A$93,$A12,'配方明细'!$G$2:$G$93,"丙烯酸")/$C12,0)</f>
        <v/>
      </c>
      <c r="Q12" s="6">
        <f>IFERROR(SUMIFS('配方明细'!$E$2:$E$93,'配方明细'!$A$2:$A$93,$A12,'配方明细'!$G$2:$G$93,"聚氨酯")/$C12,0)</f>
        <v/>
      </c>
      <c r="R12" s="5">
        <f>IFERROR(SUMPRODUCT(('配方明细'!$A$2:$A$93=$A12)*'配方明细'!$H$2:$H$93)/$C12,0)</f>
        <v/>
      </c>
      <c r="S12" s="6">
        <f>IFERROR(SUMPRODUCT(('配方明细'!$A$2:$A$93=$A12)*'配方明细'!$I$2:$I$93)/$C12,0)</f>
        <v/>
      </c>
      <c r="T12" s="6">
        <f>IFERROR(SUMPRODUCT(('配方明细'!$A$2:$A$93=$A12)*'配方明细'!$J$2:$J$93)/$C12,0)</f>
        <v/>
      </c>
      <c r="U12" s="5">
        <f>IFERROR(SUMPRODUCT(('配方明细'!$A$2:$A$93=$A12)*'配方明细'!$K$2:$K$93)/$C12,0)</f>
        <v/>
      </c>
      <c r="V12" s="5">
        <f>IFERROR(SUMPRODUCT(('配方明细'!$A$2:$A$93=$A12)*'配方明细'!$L$2:$L$93)/$C12,0)</f>
        <v/>
      </c>
      <c r="W12" s="5">
        <f>IFERROR(SUMPRODUCT(('配方明细'!$A$2:$A$93=$A12)*'配方明细'!$M$2:$M$93)/$C12,0)</f>
        <v/>
      </c>
      <c r="X12" s="6">
        <f>IFERROR(SUMPRODUCT(('配方明细'!$A$2:$A$93=$A12)*'配方明细'!$N$2:$N$93)/$C12,0)</f>
        <v/>
      </c>
      <c r="Y12" s="6">
        <f>IFERROR(SUMPRODUCT(('配方明细'!$A$2:$A$93=$A12)*'配方明细'!$O$2:$O$93)/$C12,0)</f>
        <v/>
      </c>
      <c r="Z12" s="6">
        <f>IFERROR(SUMPRODUCT(('配方明细'!$A$2:$A$93=$A12)*'配方明细'!$P$2:$P$93)/$C12,0)</f>
        <v/>
      </c>
      <c r="AA12" s="6">
        <f>IFERROR(SUMPRODUCT(('配方明细'!$A$2:$A$93=$A12)*'配方明细'!$Q$2:$Q$93)/$C12,0)</f>
        <v/>
      </c>
      <c r="AB12" s="6">
        <f>IFERROR(SUMPRODUCT(('配方明细'!$A$2:$A$93=$A12)*'配方明细'!$R$2:$R$93)/$C12,0)</f>
        <v/>
      </c>
      <c r="AC12" s="6">
        <f>IFERROR(SUMPRODUCT(('配方明细'!$A$2:$A$93=$A12)*'配方明细'!$S$2:$S$93)/$C12,0)</f>
        <v/>
      </c>
      <c r="AD12" s="6">
        <f>IFERROR(SUMPRODUCT(('配方明细'!$A$2:$A$93=$A12)*'配方明细'!$T$2:$T$93)/$C12,0)</f>
        <v/>
      </c>
      <c r="AE12" s="6">
        <f>IFERROR(SUMPRODUCT(('配方明细'!$A$2:$A$93=$A12)*'配方明细'!$U$2:$U$93)/$C12,0)</f>
        <v/>
      </c>
      <c r="AF12" s="6">
        <f>IFERROR(SUMPRODUCT(('配方明细'!$A$2:$A$93=$A12)*'配方明细'!$V$2:$V$93)/$C12,0)</f>
        <v/>
      </c>
      <c r="AG12" s="6">
        <f>IFERROR(SUMPRODUCT(('配方明细'!$A$2:$A$93=$A12)*'配方明细'!$W$2:$W$93)/$C12,0)</f>
        <v/>
      </c>
      <c r="AH12" s="6">
        <f>IFERROR(SUMPRODUCT(('配方明细'!$A$2:$A$93=$A12)*'配方明细'!$X$2:$X$93)/$C12,0)</f>
        <v/>
      </c>
      <c r="AI12" s="6">
        <f>IFERROR(SUMPRODUCT(('配方明细'!$A$2:$A$93=$A12)*'配方明细'!$Y$2:$Y$93)/$C12,0)</f>
        <v/>
      </c>
      <c r="AJ12" s="6">
        <f>IFERROR(SUMPRODUCT(('配方明细'!$A$2:$A$93=$A12)*'配方明细'!$Z$2:$Z$93)/$C12,0)</f>
        <v/>
      </c>
      <c r="AK12" s="6">
        <f>IFERROR(SUMPRODUCT(('配方明细'!$A$2:$A$93=$A12)*'配方明细'!$AA$2:$AA$93)/$C12,0)</f>
        <v/>
      </c>
      <c r="AL12" s="6">
        <f>IFERROR(SUMPRODUCT(('配方明细'!$A$2:$A$93=$A12)*'配方明细'!$AB$2:$AB$93)/$C12,0)</f>
        <v/>
      </c>
      <c r="AM12" s="5">
        <f>IFERROR(SUMPRODUCT(('配方明细'!$A$2:$A$93=$A12)*'配方明细'!$AC$2:$AC$93)/$C12,0)</f>
        <v/>
      </c>
      <c r="AN12" s="5">
        <f>IFERROR(SUMPRODUCT(('配方明细'!$A$2:$A$93=$A12)*'配方明细'!$AD$2:$AD$93)/100,0)</f>
        <v/>
      </c>
      <c r="AO12" s="5">
        <f>IFERROR(SUMPRODUCT(('配方明细'!$A$2:$A$93=$A12)*'配方明细'!$AE$2:$AE$93)/100,0)</f>
        <v/>
      </c>
      <c r="AP12" s="5">
        <f>IFERROR(SUMPRODUCT(('配方明细'!$A$2:$A$93=$A12)*'配方明细'!$AF$2:$AF$93)/100,0)</f>
        <v/>
      </c>
      <c r="AQ12" s="6">
        <f>IFERROR(SUMPRODUCT(('配方明细'!$A$2:$A$93=$A12)*'配方明细'!$AG$2:$AG$93)/100,0)</f>
        <v/>
      </c>
      <c r="AR12" s="6">
        <f>IFERROR(SUMPRODUCT(('配方明细'!$A$2:$A$93=$A12)*'配方明细'!$AH$2:$AH$93)/100,0)</f>
        <v/>
      </c>
      <c r="AS12" s="6">
        <f>IFERROR(SUMPRODUCT(('配方明细'!$A$2:$A$93=$A12)*'配方明细'!$AI$2:$AI$93)/100,0)</f>
        <v/>
      </c>
      <c r="AT12" s="6">
        <f>IFERROR(SUMPRODUCT(('配方明细'!$A$2:$A$93=$A12)*'配方明细'!$AJ$2:$AJ$93)/100,0)</f>
        <v/>
      </c>
      <c r="AU12" s="6">
        <f>IFERROR(SUMPRODUCT(('配方明细'!$A$2:$A$93=$A12)*'配方明细'!$AK$2:$AK$93)/100,0)</f>
        <v/>
      </c>
      <c r="AV12" s="6">
        <f>IFERROR(SUMPRODUCT(('配方明细'!$A$2:$A$93=$A12)*'配方明细'!$AL$2:$AL$93)/$C12,0)</f>
        <v/>
      </c>
      <c r="AW12">
        <f>IFERROR(SUMPRODUCT(('配方明细'!$A$2:$A$93=$A12)*'配方明细'!$AM$2:$AM$93)/$C12,0)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A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</cols>
  <sheetData>
    <row r="1">
      <c r="A1" s="4" t="inlineStr">
        <is>
          <t>样本ID</t>
        </is>
      </c>
      <c r="B1" s="4" t="inlineStr">
        <is>
          <t>系列</t>
        </is>
      </c>
      <c r="C1" s="4" t="inlineStr">
        <is>
          <t>体系</t>
        </is>
      </c>
      <c r="D1" s="4" t="inlineStr">
        <is>
          <t>标签状态</t>
        </is>
      </c>
      <c r="E1" s="4" t="inlineStr">
        <is>
          <t>目标属性</t>
        </is>
      </c>
      <c r="F1" s="4" t="inlineStr">
        <is>
          <t>目标值</t>
        </is>
      </c>
      <c r="G1" s="4" t="inlineStr">
        <is>
          <t>预测值</t>
        </is>
      </c>
      <c r="H1" s="4" t="inlineStr">
        <is>
          <t>不确定性</t>
        </is>
      </c>
      <c r="I1" s="4" t="inlineStr">
        <is>
          <t>总用量(g)</t>
        </is>
      </c>
      <c r="J1" s="4" t="inlineStr">
        <is>
          <t>组分数量</t>
        </is>
      </c>
      <c r="K1" s="4" t="inlineStr">
        <is>
          <t>树脂占比</t>
        </is>
      </c>
      <c r="L1" s="4" t="inlineStr">
        <is>
          <t>固化剂占比</t>
        </is>
      </c>
      <c r="M1" s="4" t="inlineStr">
        <is>
          <t>溶剂占比</t>
        </is>
      </c>
      <c r="N1" s="4" t="inlineStr">
        <is>
          <t>助剂占比</t>
        </is>
      </c>
      <c r="O1" s="4" t="inlineStr">
        <is>
          <t>颜料占比</t>
        </is>
      </c>
      <c r="P1" s="4" t="inlineStr">
        <is>
          <t>固化剂/树脂比</t>
        </is>
      </c>
      <c r="Q1" s="4" t="inlineStr">
        <is>
          <t>环氧树脂占比</t>
        </is>
      </c>
      <c r="R1" s="4" t="inlineStr">
        <is>
          <t>酚醛树脂占比</t>
        </is>
      </c>
      <c r="S1" s="4" t="inlineStr">
        <is>
          <t>聚酯树脂占比</t>
        </is>
      </c>
      <c r="T1" s="4" t="inlineStr">
        <is>
          <t>乙烯基树脂占比</t>
        </is>
      </c>
      <c r="U1" s="4" t="inlineStr">
        <is>
          <t>丙烯酸树脂占比</t>
        </is>
      </c>
      <c r="V1" s="4" t="inlineStr">
        <is>
          <t>聚氨酯树脂占比</t>
        </is>
      </c>
      <c r="W1" s="4" t="inlineStr">
        <is>
          <t>加权固含(%)</t>
        </is>
      </c>
      <c r="X1" s="4" t="inlineStr">
        <is>
          <t>加权密度</t>
        </is>
      </c>
      <c r="Y1" s="4" t="inlineStr">
        <is>
          <t>加权分子量</t>
        </is>
      </c>
      <c r="Z1" s="4" t="inlineStr">
        <is>
          <t>加权EEW</t>
        </is>
      </c>
      <c r="AA1" s="4" t="inlineStr">
        <is>
          <t>加权酸值</t>
        </is>
      </c>
      <c r="AB1" s="4" t="inlineStr">
        <is>
          <t>加权羟值</t>
        </is>
      </c>
      <c r="AC1" s="4" t="inlineStr">
        <is>
          <t>加权胺值</t>
        </is>
      </c>
      <c r="AD1" s="4" t="inlineStr">
        <is>
          <t>加权Tg</t>
        </is>
      </c>
      <c r="AE1" s="4" t="inlineStr">
        <is>
          <t>加权沸点</t>
        </is>
      </c>
      <c r="AF1" s="4" t="inlineStr">
        <is>
          <t>加权闪点</t>
        </is>
      </c>
      <c r="AG1" s="4" t="inlineStr">
        <is>
          <t>加权δD</t>
        </is>
      </c>
      <c r="AH1" s="4" t="inlineStr">
        <is>
          <t>加权δP</t>
        </is>
      </c>
      <c r="AI1" s="4" t="inlineStr">
        <is>
          <t>加权δH</t>
        </is>
      </c>
      <c r="AJ1" s="4" t="inlineStr">
        <is>
          <t>加权极性</t>
        </is>
      </c>
      <c r="AK1" s="4" t="inlineStr">
        <is>
          <t>加权挥发速率</t>
        </is>
      </c>
      <c r="AL1" s="4" t="inlineStr">
        <is>
          <t>加权C(%)</t>
        </is>
      </c>
      <c r="AM1" s="4" t="inlineStr">
        <is>
          <t>加权H(%)</t>
        </is>
      </c>
      <c r="AN1" s="4" t="inlineStr">
        <is>
          <t>加权O(%)</t>
        </is>
      </c>
      <c r="AO1" s="4" t="inlineStr">
        <is>
          <t>加权N(%)</t>
        </is>
      </c>
      <c r="AP1" s="4" t="inlineStr">
        <is>
          <t>加权S(%)</t>
        </is>
      </c>
      <c r="AQ1" s="4" t="inlineStr">
        <is>
          <t>加权Cl(%)</t>
        </is>
      </c>
      <c r="AR1" s="4" t="inlineStr">
        <is>
          <t>环氧基密度(mol/100g)</t>
        </is>
      </c>
      <c r="AS1" s="4" t="inlineStr">
        <is>
          <t>羟基密度</t>
        </is>
      </c>
      <c r="AT1" s="4" t="inlineStr">
        <is>
          <t>羧基密度</t>
        </is>
      </c>
      <c r="AU1" s="4" t="inlineStr">
        <is>
          <t>酯基密度</t>
        </is>
      </c>
      <c r="AV1" s="4" t="inlineStr">
        <is>
          <t>胺基密度</t>
        </is>
      </c>
      <c r="AW1" s="4" t="inlineStr">
        <is>
          <t>酰胺密度</t>
        </is>
      </c>
      <c r="AX1" s="4" t="inlineStr">
        <is>
          <t>芳香环密度</t>
        </is>
      </c>
      <c r="AY1" s="4" t="inlineStr">
        <is>
          <t>醚键密度</t>
        </is>
      </c>
      <c r="AZ1" s="4" t="inlineStr">
        <is>
          <t>蜡含量(%)</t>
        </is>
      </c>
      <c r="BA1" s="4" t="inlineStr">
        <is>
          <t>颜料含量(%)</t>
        </is>
      </c>
    </row>
    <row r="2">
      <c r="A2" s="6" t="inlineStr">
        <is>
          <t>EP-0001</t>
        </is>
      </c>
      <c r="B2" s="6" t="inlineStr">
        <is>
          <t>EP-A</t>
        </is>
      </c>
      <c r="C2" s="6" t="inlineStr">
        <is>
          <t>环氧酚醛</t>
        </is>
      </c>
      <c r="D2" s="6">
        <f>IFERROR(INDEX('性能结果'!$F:$F,MATCH(1,('性能结果'!$A:$A=$A2)*('性能结果'!$C:$C=$E2),0)),"")</f>
        <v/>
      </c>
      <c r="E2" s="6" t="inlineStr">
        <is>
          <t>T弯</t>
        </is>
      </c>
      <c r="F2" s="5">
        <f>IFERROR(INDEX('性能结果'!$D:$D,MATCH(1,('性能结果'!$A:$A=$A2)*('性能结果'!$C:$C=$E2),0)),"")</f>
        <v/>
      </c>
      <c r="G2" s="6" t="inlineStr"/>
      <c r="H2" s="6" t="inlineStr"/>
      <c r="I2" s="6">
        <f>'配方级描述符'!D2</f>
        <v/>
      </c>
      <c r="J2" s="6">
        <f>'配方级描述符'!E2</f>
        <v/>
      </c>
      <c r="K2" s="6">
        <f>'配方级描述符'!F2</f>
        <v/>
      </c>
      <c r="L2" s="6">
        <f>'配方级描述符'!G2</f>
        <v/>
      </c>
      <c r="M2" s="6">
        <f>'配方级描述符'!H2</f>
        <v/>
      </c>
      <c r="N2" s="6">
        <f>'配方级描述符'!I2</f>
        <v/>
      </c>
      <c r="O2" s="6">
        <f>'配方级描述符'!J2</f>
        <v/>
      </c>
      <c r="P2" s="6">
        <f>'配方级描述符'!K2</f>
        <v/>
      </c>
      <c r="Q2" s="6">
        <f>'配方级描述符'!L2</f>
        <v/>
      </c>
      <c r="R2" s="6">
        <f>'配方级描述符'!M2</f>
        <v/>
      </c>
      <c r="S2" s="6">
        <f>'配方级描述符'!N2</f>
        <v/>
      </c>
      <c r="T2" s="6">
        <f>'配方级描述符'!O2</f>
        <v/>
      </c>
      <c r="U2" s="6">
        <f>'配方级描述符'!P2</f>
        <v/>
      </c>
      <c r="V2" s="6">
        <f>'配方级描述符'!Q2</f>
        <v/>
      </c>
      <c r="W2" s="6">
        <f>'配方级描述符'!R2</f>
        <v/>
      </c>
      <c r="X2" s="6">
        <f>'配方级描述符'!S2</f>
        <v/>
      </c>
      <c r="Y2" s="6">
        <f>'配方级描述符'!T2</f>
        <v/>
      </c>
      <c r="Z2" s="6">
        <f>'配方级描述符'!U2</f>
        <v/>
      </c>
      <c r="AA2" s="6">
        <f>'配方级描述符'!V2</f>
        <v/>
      </c>
      <c r="AB2" s="6">
        <f>'配方级描述符'!W2</f>
        <v/>
      </c>
      <c r="AC2" s="6">
        <f>'配方级描述符'!X2</f>
        <v/>
      </c>
      <c r="AD2" s="6">
        <f>'配方级描述符'!Y2</f>
        <v/>
      </c>
      <c r="AE2" s="6">
        <f>'配方级描述符'!Z2</f>
        <v/>
      </c>
      <c r="AF2" s="6">
        <f>'配方级描述符'!AA2</f>
        <v/>
      </c>
      <c r="AG2" s="6">
        <f>'配方级描述符'!AB2</f>
        <v/>
      </c>
      <c r="AH2" s="6">
        <f>'配方级描述符'!AC2</f>
        <v/>
      </c>
      <c r="AI2" s="6">
        <f>'配方级描述符'!AD2</f>
        <v/>
      </c>
      <c r="AJ2" s="6">
        <f>'配方级描述符'!AE2</f>
        <v/>
      </c>
      <c r="AK2" s="6">
        <f>'配方级描述符'!AF2</f>
        <v/>
      </c>
      <c r="AL2" s="6">
        <f>'配方级描述符'!AG2</f>
        <v/>
      </c>
      <c r="AM2" s="6">
        <f>'配方级描述符'!AH2</f>
        <v/>
      </c>
      <c r="AN2" s="6">
        <f>'配方级描述符'!AI2</f>
        <v/>
      </c>
      <c r="AO2" s="6">
        <f>'配方级描述符'!AJ2</f>
        <v/>
      </c>
      <c r="AP2" s="6">
        <f>'配方级描述符'!AK2</f>
        <v/>
      </c>
      <c r="AQ2" s="6">
        <f>'配方级描述符'!AL2</f>
        <v/>
      </c>
      <c r="AR2" s="6">
        <f>'配方级描述符'!AM2</f>
        <v/>
      </c>
      <c r="AS2" s="6">
        <f>'配方级描述符'!AN2</f>
        <v/>
      </c>
      <c r="AT2" s="6">
        <f>'配方级描述符'!AO2</f>
        <v/>
      </c>
      <c r="AU2" s="6">
        <f>'配方级描述符'!AP2</f>
        <v/>
      </c>
      <c r="AV2" s="6">
        <f>'配方级描述符'!AQ2</f>
        <v/>
      </c>
      <c r="AW2" s="6">
        <f>'配方级描述符'!AR2</f>
        <v/>
      </c>
      <c r="AX2" s="6">
        <f>'配方级描述符'!AS2</f>
        <v/>
      </c>
      <c r="AY2" s="6">
        <f>'配方级描述符'!AT2</f>
        <v/>
      </c>
      <c r="AZ2" s="6">
        <f>'配方级描述符'!AU2</f>
        <v/>
      </c>
      <c r="BA2" s="6">
        <f>'配方级描述符'!AV2</f>
        <v/>
      </c>
    </row>
    <row r="3">
      <c r="A3" s="7" t="inlineStr">
        <is>
          <t>EP-0001</t>
        </is>
      </c>
      <c r="B3" s="7" t="inlineStr">
        <is>
          <t>EP-A</t>
        </is>
      </c>
      <c r="C3" s="7" t="inlineStr">
        <is>
          <t>环氧酚醛</t>
        </is>
      </c>
      <c r="D3" s="7">
        <f>IFERROR(INDEX('性能结果'!$F:$F,MATCH(1,('性能结果'!$A:$A=$A3)*('性能结果'!$C:$C=$E3),0)),"")</f>
        <v/>
      </c>
      <c r="E3" s="7" t="inlineStr">
        <is>
          <t>MEK擦拭</t>
        </is>
      </c>
      <c r="F3" s="5">
        <f>IFERROR(INDEX('性能结果'!$D:$D,MATCH(1,('性能结果'!$A:$A=$A3)*('性能结果'!$C:$C=$E3),0)),"")</f>
        <v/>
      </c>
      <c r="G3" s="7" t="inlineStr"/>
      <c r="H3" s="7" t="inlineStr"/>
      <c r="I3" s="7">
        <f>'配方级描述符'!D2</f>
        <v/>
      </c>
      <c r="J3" s="7">
        <f>'配方级描述符'!E2</f>
        <v/>
      </c>
      <c r="K3" s="7">
        <f>'配方级描述符'!F2</f>
        <v/>
      </c>
      <c r="L3" s="7">
        <f>'配方级描述符'!G2</f>
        <v/>
      </c>
      <c r="M3" s="7">
        <f>'配方级描述符'!H2</f>
        <v/>
      </c>
      <c r="N3" s="7">
        <f>'配方级描述符'!I2</f>
        <v/>
      </c>
      <c r="O3" s="7">
        <f>'配方级描述符'!J2</f>
        <v/>
      </c>
      <c r="P3" s="7">
        <f>'配方级描述符'!K2</f>
        <v/>
      </c>
      <c r="Q3" s="7">
        <f>'配方级描述符'!L2</f>
        <v/>
      </c>
      <c r="R3" s="7">
        <f>'配方级描述符'!M2</f>
        <v/>
      </c>
      <c r="S3" s="7">
        <f>'配方级描述符'!N2</f>
        <v/>
      </c>
      <c r="T3" s="7">
        <f>'配方级描述符'!O2</f>
        <v/>
      </c>
      <c r="U3" s="7">
        <f>'配方级描述符'!P2</f>
        <v/>
      </c>
      <c r="V3" s="7">
        <f>'配方级描述符'!Q2</f>
        <v/>
      </c>
      <c r="W3" s="7">
        <f>'配方级描述符'!R2</f>
        <v/>
      </c>
      <c r="X3" s="7">
        <f>'配方级描述符'!S2</f>
        <v/>
      </c>
      <c r="Y3" s="7">
        <f>'配方级描述符'!T2</f>
        <v/>
      </c>
      <c r="Z3" s="7">
        <f>'配方级描述符'!U2</f>
        <v/>
      </c>
      <c r="AA3" s="7">
        <f>'配方级描述符'!V2</f>
        <v/>
      </c>
      <c r="AB3" s="7">
        <f>'配方级描述符'!W2</f>
        <v/>
      </c>
      <c r="AC3" s="7">
        <f>'配方级描述符'!X2</f>
        <v/>
      </c>
      <c r="AD3" s="7">
        <f>'配方级描述符'!Y2</f>
        <v/>
      </c>
      <c r="AE3" s="7">
        <f>'配方级描述符'!Z2</f>
        <v/>
      </c>
      <c r="AF3" s="7">
        <f>'配方级描述符'!AA2</f>
        <v/>
      </c>
      <c r="AG3" s="7">
        <f>'配方级描述符'!AB2</f>
        <v/>
      </c>
      <c r="AH3" s="7">
        <f>'配方级描述符'!AC2</f>
        <v/>
      </c>
      <c r="AI3" s="7">
        <f>'配方级描述符'!AD2</f>
        <v/>
      </c>
      <c r="AJ3" s="7">
        <f>'配方级描述符'!AE2</f>
        <v/>
      </c>
      <c r="AK3" s="7">
        <f>'配方级描述符'!AF2</f>
        <v/>
      </c>
      <c r="AL3" s="7">
        <f>'配方级描述符'!AG2</f>
        <v/>
      </c>
      <c r="AM3" s="7">
        <f>'配方级描述符'!AH2</f>
        <v/>
      </c>
      <c r="AN3" s="7">
        <f>'配方级描述符'!AI2</f>
        <v/>
      </c>
      <c r="AO3" s="7">
        <f>'配方级描述符'!AJ2</f>
        <v/>
      </c>
      <c r="AP3" s="7">
        <f>'配方级描述符'!AK2</f>
        <v/>
      </c>
      <c r="AQ3" s="7">
        <f>'配方级描述符'!AL2</f>
        <v/>
      </c>
      <c r="AR3" s="7">
        <f>'配方级描述符'!AM2</f>
        <v/>
      </c>
      <c r="AS3" s="7">
        <f>'配方级描述符'!AN2</f>
        <v/>
      </c>
      <c r="AT3" s="7">
        <f>'配方级描述符'!AO2</f>
        <v/>
      </c>
      <c r="AU3" s="7">
        <f>'配方级描述符'!AP2</f>
        <v/>
      </c>
      <c r="AV3" s="7">
        <f>'配方级描述符'!AQ2</f>
        <v/>
      </c>
      <c r="AW3" s="7">
        <f>'配方级描述符'!AR2</f>
        <v/>
      </c>
      <c r="AX3" s="7">
        <f>'配方级描述符'!AS2</f>
        <v/>
      </c>
      <c r="AY3" s="7">
        <f>'配方级描述符'!AT2</f>
        <v/>
      </c>
      <c r="AZ3" s="7">
        <f>'配方级描述符'!AU2</f>
        <v/>
      </c>
      <c r="BA3" s="7">
        <f>'配方级描述符'!AV2</f>
        <v/>
      </c>
    </row>
    <row r="4">
      <c r="A4" s="6" t="inlineStr">
        <is>
          <t>EP-0001</t>
        </is>
      </c>
      <c r="B4" s="6" t="inlineStr">
        <is>
          <t>EP-A</t>
        </is>
      </c>
      <c r="C4" s="6" t="inlineStr">
        <is>
          <t>环氧酚醛</t>
        </is>
      </c>
      <c r="D4" s="6">
        <f>IFERROR(INDEX('性能结果'!$F:$F,MATCH(1,('性能结果'!$A:$A=$A4)*('性能结果'!$C:$C=$E4),0)),"")</f>
        <v/>
      </c>
      <c r="E4" s="6" t="inlineStr">
        <is>
          <t>水煮等级</t>
        </is>
      </c>
      <c r="F4" s="5">
        <f>IFERROR(INDEX('性能结果'!$D:$D,MATCH(1,('性能结果'!$A:$A=$A4)*('性能结果'!$C:$C=$E4),0)),"")</f>
        <v/>
      </c>
      <c r="G4" s="6" t="inlineStr"/>
      <c r="H4" s="6" t="inlineStr"/>
      <c r="I4" s="6">
        <f>'配方级描述符'!D2</f>
        <v/>
      </c>
      <c r="J4" s="6">
        <f>'配方级描述符'!E2</f>
        <v/>
      </c>
      <c r="K4" s="6">
        <f>'配方级描述符'!F2</f>
        <v/>
      </c>
      <c r="L4" s="6">
        <f>'配方级描述符'!G2</f>
        <v/>
      </c>
      <c r="M4" s="6">
        <f>'配方级描述符'!H2</f>
        <v/>
      </c>
      <c r="N4" s="6">
        <f>'配方级描述符'!I2</f>
        <v/>
      </c>
      <c r="O4" s="6">
        <f>'配方级描述符'!J2</f>
        <v/>
      </c>
      <c r="P4" s="6">
        <f>'配方级描述符'!K2</f>
        <v/>
      </c>
      <c r="Q4" s="6">
        <f>'配方级描述符'!L2</f>
        <v/>
      </c>
      <c r="R4" s="6">
        <f>'配方级描述符'!M2</f>
        <v/>
      </c>
      <c r="S4" s="6">
        <f>'配方级描述符'!N2</f>
        <v/>
      </c>
      <c r="T4" s="6">
        <f>'配方级描述符'!O2</f>
        <v/>
      </c>
      <c r="U4" s="6">
        <f>'配方级描述符'!P2</f>
        <v/>
      </c>
      <c r="V4" s="6">
        <f>'配方级描述符'!Q2</f>
        <v/>
      </c>
      <c r="W4" s="6">
        <f>'配方级描述符'!R2</f>
        <v/>
      </c>
      <c r="X4" s="6">
        <f>'配方级描述符'!S2</f>
        <v/>
      </c>
      <c r="Y4" s="6">
        <f>'配方级描述符'!T2</f>
        <v/>
      </c>
      <c r="Z4" s="6">
        <f>'配方级描述符'!U2</f>
        <v/>
      </c>
      <c r="AA4" s="6">
        <f>'配方级描述符'!V2</f>
        <v/>
      </c>
      <c r="AB4" s="6">
        <f>'配方级描述符'!W2</f>
        <v/>
      </c>
      <c r="AC4" s="6">
        <f>'配方级描述符'!X2</f>
        <v/>
      </c>
      <c r="AD4" s="6">
        <f>'配方级描述符'!Y2</f>
        <v/>
      </c>
      <c r="AE4" s="6">
        <f>'配方级描述符'!Z2</f>
        <v/>
      </c>
      <c r="AF4" s="6">
        <f>'配方级描述符'!AA2</f>
        <v/>
      </c>
      <c r="AG4" s="6">
        <f>'配方级描述符'!AB2</f>
        <v/>
      </c>
      <c r="AH4" s="6">
        <f>'配方级描述符'!AC2</f>
        <v/>
      </c>
      <c r="AI4" s="6">
        <f>'配方级描述符'!AD2</f>
        <v/>
      </c>
      <c r="AJ4" s="6">
        <f>'配方级描述符'!AE2</f>
        <v/>
      </c>
      <c r="AK4" s="6">
        <f>'配方级描述符'!AF2</f>
        <v/>
      </c>
      <c r="AL4" s="6">
        <f>'配方级描述符'!AG2</f>
        <v/>
      </c>
      <c r="AM4" s="6">
        <f>'配方级描述符'!AH2</f>
        <v/>
      </c>
      <c r="AN4" s="6">
        <f>'配方级描述符'!AI2</f>
        <v/>
      </c>
      <c r="AO4" s="6">
        <f>'配方级描述符'!AJ2</f>
        <v/>
      </c>
      <c r="AP4" s="6">
        <f>'配方级描述符'!AK2</f>
        <v/>
      </c>
      <c r="AQ4" s="6">
        <f>'配方级描述符'!AL2</f>
        <v/>
      </c>
      <c r="AR4" s="6">
        <f>'配方级描述符'!AM2</f>
        <v/>
      </c>
      <c r="AS4" s="6">
        <f>'配方级描述符'!AN2</f>
        <v/>
      </c>
      <c r="AT4" s="6">
        <f>'配方级描述符'!AO2</f>
        <v/>
      </c>
      <c r="AU4" s="6">
        <f>'配方级描述符'!AP2</f>
        <v/>
      </c>
      <c r="AV4" s="6">
        <f>'配方级描述符'!AQ2</f>
        <v/>
      </c>
      <c r="AW4" s="6">
        <f>'配方级描述符'!AR2</f>
        <v/>
      </c>
      <c r="AX4" s="6">
        <f>'配方级描述符'!AS2</f>
        <v/>
      </c>
      <c r="AY4" s="6">
        <f>'配方级描述符'!AT2</f>
        <v/>
      </c>
      <c r="AZ4" s="6">
        <f>'配方级描述符'!AU2</f>
        <v/>
      </c>
      <c r="BA4" s="6">
        <f>'配方级描述符'!AV2</f>
        <v/>
      </c>
    </row>
    <row r="5">
      <c r="A5" s="7" t="inlineStr">
        <is>
          <t>EP-0002</t>
        </is>
      </c>
      <c r="B5" s="7" t="inlineStr">
        <is>
          <t>EP-A</t>
        </is>
      </c>
      <c r="C5" s="7" t="inlineStr">
        <is>
          <t>环氧酚醛</t>
        </is>
      </c>
      <c r="D5" s="7">
        <f>IFERROR(INDEX('性能结果'!$F:$F,MATCH(1,('性能结果'!$A:$A=$A5)*('性能结果'!$C:$C=$E5),0)),"")</f>
        <v/>
      </c>
      <c r="E5" s="7" t="inlineStr">
        <is>
          <t>T弯</t>
        </is>
      </c>
      <c r="F5" s="5">
        <f>IFERROR(INDEX('性能结果'!$D:$D,MATCH(1,('性能结果'!$A:$A=$A5)*('性能结果'!$C:$C=$E5),0)),"")</f>
        <v/>
      </c>
      <c r="G5" s="7" t="inlineStr"/>
      <c r="H5" s="7" t="inlineStr"/>
      <c r="I5" s="7">
        <f>'配方级描述符'!D3</f>
        <v/>
      </c>
      <c r="J5" s="7">
        <f>'配方级描述符'!E3</f>
        <v/>
      </c>
      <c r="K5" s="7">
        <f>'配方级描述符'!F3</f>
        <v/>
      </c>
      <c r="L5" s="7">
        <f>'配方级描述符'!G3</f>
        <v/>
      </c>
      <c r="M5" s="7">
        <f>'配方级描述符'!H3</f>
        <v/>
      </c>
      <c r="N5" s="7">
        <f>'配方级描述符'!I3</f>
        <v/>
      </c>
      <c r="O5" s="7">
        <f>'配方级描述符'!J3</f>
        <v/>
      </c>
      <c r="P5" s="7">
        <f>'配方级描述符'!K3</f>
        <v/>
      </c>
      <c r="Q5" s="7">
        <f>'配方级描述符'!L3</f>
        <v/>
      </c>
      <c r="R5" s="7">
        <f>'配方级描述符'!M3</f>
        <v/>
      </c>
      <c r="S5" s="7">
        <f>'配方级描述符'!N3</f>
        <v/>
      </c>
      <c r="T5" s="7">
        <f>'配方级描述符'!O3</f>
        <v/>
      </c>
      <c r="U5" s="7">
        <f>'配方级描述符'!P3</f>
        <v/>
      </c>
      <c r="V5" s="7">
        <f>'配方级描述符'!Q3</f>
        <v/>
      </c>
      <c r="W5" s="7">
        <f>'配方级描述符'!R3</f>
        <v/>
      </c>
      <c r="X5" s="7">
        <f>'配方级描述符'!S3</f>
        <v/>
      </c>
      <c r="Y5" s="7">
        <f>'配方级描述符'!T3</f>
        <v/>
      </c>
      <c r="Z5" s="7">
        <f>'配方级描述符'!U3</f>
        <v/>
      </c>
      <c r="AA5" s="7">
        <f>'配方级描述符'!V3</f>
        <v/>
      </c>
      <c r="AB5" s="7">
        <f>'配方级描述符'!W3</f>
        <v/>
      </c>
      <c r="AC5" s="7">
        <f>'配方级描述符'!X3</f>
        <v/>
      </c>
      <c r="AD5" s="7">
        <f>'配方级描述符'!Y3</f>
        <v/>
      </c>
      <c r="AE5" s="7">
        <f>'配方级描述符'!Z3</f>
        <v/>
      </c>
      <c r="AF5" s="7">
        <f>'配方级描述符'!AA3</f>
        <v/>
      </c>
      <c r="AG5" s="7">
        <f>'配方级描述符'!AB3</f>
        <v/>
      </c>
      <c r="AH5" s="7">
        <f>'配方级描述符'!AC3</f>
        <v/>
      </c>
      <c r="AI5" s="7">
        <f>'配方级描述符'!AD3</f>
        <v/>
      </c>
      <c r="AJ5" s="7">
        <f>'配方级描述符'!AE3</f>
        <v/>
      </c>
      <c r="AK5" s="7">
        <f>'配方级描述符'!AF3</f>
        <v/>
      </c>
      <c r="AL5" s="7">
        <f>'配方级描述符'!AG3</f>
        <v/>
      </c>
      <c r="AM5" s="7">
        <f>'配方级描述符'!AH3</f>
        <v/>
      </c>
      <c r="AN5" s="7">
        <f>'配方级描述符'!AI3</f>
        <v/>
      </c>
      <c r="AO5" s="7">
        <f>'配方级描述符'!AJ3</f>
        <v/>
      </c>
      <c r="AP5" s="7">
        <f>'配方级描述符'!AK3</f>
        <v/>
      </c>
      <c r="AQ5" s="7">
        <f>'配方级描述符'!AL3</f>
        <v/>
      </c>
      <c r="AR5" s="7">
        <f>'配方级描述符'!AM3</f>
        <v/>
      </c>
      <c r="AS5" s="7">
        <f>'配方级描述符'!AN3</f>
        <v/>
      </c>
      <c r="AT5" s="7">
        <f>'配方级描述符'!AO3</f>
        <v/>
      </c>
      <c r="AU5" s="7">
        <f>'配方级描述符'!AP3</f>
        <v/>
      </c>
      <c r="AV5" s="7">
        <f>'配方级描述符'!AQ3</f>
        <v/>
      </c>
      <c r="AW5" s="7">
        <f>'配方级描述符'!AR3</f>
        <v/>
      </c>
      <c r="AX5" s="7">
        <f>'配方级描述符'!AS3</f>
        <v/>
      </c>
      <c r="AY5" s="7">
        <f>'配方级描述符'!AT3</f>
        <v/>
      </c>
      <c r="AZ5" s="7">
        <f>'配方级描述符'!AU3</f>
        <v/>
      </c>
      <c r="BA5" s="7">
        <f>'配方级描述符'!AV3</f>
        <v/>
      </c>
    </row>
    <row r="6">
      <c r="A6" s="6" t="inlineStr">
        <is>
          <t>EP-0002</t>
        </is>
      </c>
      <c r="B6" s="6" t="inlineStr">
        <is>
          <t>EP-A</t>
        </is>
      </c>
      <c r="C6" s="6" t="inlineStr">
        <is>
          <t>环氧酚醛</t>
        </is>
      </c>
      <c r="D6" s="6">
        <f>IFERROR(INDEX('性能结果'!$F:$F,MATCH(1,('性能结果'!$A:$A=$A6)*('性能结果'!$C:$C=$E6),0)),"")</f>
        <v/>
      </c>
      <c r="E6" s="6" t="inlineStr">
        <is>
          <t>MEK擦拭</t>
        </is>
      </c>
      <c r="F6" s="5">
        <f>IFERROR(INDEX('性能结果'!$D:$D,MATCH(1,('性能结果'!$A:$A=$A6)*('性能结果'!$C:$C=$E6),0)),"")</f>
        <v/>
      </c>
      <c r="G6" s="6" t="inlineStr"/>
      <c r="H6" s="6" t="inlineStr"/>
      <c r="I6" s="6">
        <f>'配方级描述符'!D3</f>
        <v/>
      </c>
      <c r="J6" s="6">
        <f>'配方级描述符'!E3</f>
        <v/>
      </c>
      <c r="K6" s="6">
        <f>'配方级描述符'!F3</f>
        <v/>
      </c>
      <c r="L6" s="6">
        <f>'配方级描述符'!G3</f>
        <v/>
      </c>
      <c r="M6" s="6">
        <f>'配方级描述符'!H3</f>
        <v/>
      </c>
      <c r="N6" s="6">
        <f>'配方级描述符'!I3</f>
        <v/>
      </c>
      <c r="O6" s="6">
        <f>'配方级描述符'!J3</f>
        <v/>
      </c>
      <c r="P6" s="6">
        <f>'配方级描述符'!K3</f>
        <v/>
      </c>
      <c r="Q6" s="6">
        <f>'配方级描述符'!L3</f>
        <v/>
      </c>
      <c r="R6" s="6">
        <f>'配方级描述符'!M3</f>
        <v/>
      </c>
      <c r="S6" s="6">
        <f>'配方级描述符'!N3</f>
        <v/>
      </c>
      <c r="T6" s="6">
        <f>'配方级描述符'!O3</f>
        <v/>
      </c>
      <c r="U6" s="6">
        <f>'配方级描述符'!P3</f>
        <v/>
      </c>
      <c r="V6" s="6">
        <f>'配方级描述符'!Q3</f>
        <v/>
      </c>
      <c r="W6" s="6">
        <f>'配方级描述符'!R3</f>
        <v/>
      </c>
      <c r="X6" s="6">
        <f>'配方级描述符'!S3</f>
        <v/>
      </c>
      <c r="Y6" s="6">
        <f>'配方级描述符'!T3</f>
        <v/>
      </c>
      <c r="Z6" s="6">
        <f>'配方级描述符'!U3</f>
        <v/>
      </c>
      <c r="AA6" s="6">
        <f>'配方级描述符'!V3</f>
        <v/>
      </c>
      <c r="AB6" s="6">
        <f>'配方级描述符'!W3</f>
        <v/>
      </c>
      <c r="AC6" s="6">
        <f>'配方级描述符'!X3</f>
        <v/>
      </c>
      <c r="AD6" s="6">
        <f>'配方级描述符'!Y3</f>
        <v/>
      </c>
      <c r="AE6" s="6">
        <f>'配方级描述符'!Z3</f>
        <v/>
      </c>
      <c r="AF6" s="6">
        <f>'配方级描述符'!AA3</f>
        <v/>
      </c>
      <c r="AG6" s="6">
        <f>'配方级描述符'!AB3</f>
        <v/>
      </c>
      <c r="AH6" s="6">
        <f>'配方级描述符'!AC3</f>
        <v/>
      </c>
      <c r="AI6" s="6">
        <f>'配方级描述符'!AD3</f>
        <v/>
      </c>
      <c r="AJ6" s="6">
        <f>'配方级描述符'!AE3</f>
        <v/>
      </c>
      <c r="AK6" s="6">
        <f>'配方级描述符'!AF3</f>
        <v/>
      </c>
      <c r="AL6" s="6">
        <f>'配方级描述符'!AG3</f>
        <v/>
      </c>
      <c r="AM6" s="6">
        <f>'配方级描述符'!AH3</f>
        <v/>
      </c>
      <c r="AN6" s="6">
        <f>'配方级描述符'!AI3</f>
        <v/>
      </c>
      <c r="AO6" s="6">
        <f>'配方级描述符'!AJ3</f>
        <v/>
      </c>
      <c r="AP6" s="6">
        <f>'配方级描述符'!AK3</f>
        <v/>
      </c>
      <c r="AQ6" s="6">
        <f>'配方级描述符'!AL3</f>
        <v/>
      </c>
      <c r="AR6" s="6">
        <f>'配方级描述符'!AM3</f>
        <v/>
      </c>
      <c r="AS6" s="6">
        <f>'配方级描述符'!AN3</f>
        <v/>
      </c>
      <c r="AT6" s="6">
        <f>'配方级描述符'!AO3</f>
        <v/>
      </c>
      <c r="AU6" s="6">
        <f>'配方级描述符'!AP3</f>
        <v/>
      </c>
      <c r="AV6" s="6">
        <f>'配方级描述符'!AQ3</f>
        <v/>
      </c>
      <c r="AW6" s="6">
        <f>'配方级描述符'!AR3</f>
        <v/>
      </c>
      <c r="AX6" s="6">
        <f>'配方级描述符'!AS3</f>
        <v/>
      </c>
      <c r="AY6" s="6">
        <f>'配方级描述符'!AT3</f>
        <v/>
      </c>
      <c r="AZ6" s="6">
        <f>'配方级描述符'!AU3</f>
        <v/>
      </c>
      <c r="BA6" s="6">
        <f>'配方级描述符'!AV3</f>
        <v/>
      </c>
    </row>
    <row r="7">
      <c r="A7" s="7" t="inlineStr">
        <is>
          <t>EP-0002</t>
        </is>
      </c>
      <c r="B7" s="7" t="inlineStr">
        <is>
          <t>EP-A</t>
        </is>
      </c>
      <c r="C7" s="7" t="inlineStr">
        <is>
          <t>环氧酚醛</t>
        </is>
      </c>
      <c r="D7" s="7">
        <f>IFERROR(INDEX('性能结果'!$F:$F,MATCH(1,('性能结果'!$A:$A=$A7)*('性能结果'!$C:$C=$E7),0)),"")</f>
        <v/>
      </c>
      <c r="E7" s="7" t="inlineStr">
        <is>
          <t>水煮等级</t>
        </is>
      </c>
      <c r="F7" s="5">
        <f>IFERROR(INDEX('性能结果'!$D:$D,MATCH(1,('性能结果'!$A:$A=$A7)*('性能结果'!$C:$C=$E7),0)),"")</f>
        <v/>
      </c>
      <c r="G7" s="7" t="inlineStr"/>
      <c r="H7" s="7" t="inlineStr"/>
      <c r="I7" s="7">
        <f>'配方级描述符'!D3</f>
        <v/>
      </c>
      <c r="J7" s="7">
        <f>'配方级描述符'!E3</f>
        <v/>
      </c>
      <c r="K7" s="7">
        <f>'配方级描述符'!F3</f>
        <v/>
      </c>
      <c r="L7" s="7">
        <f>'配方级描述符'!G3</f>
        <v/>
      </c>
      <c r="M7" s="7">
        <f>'配方级描述符'!H3</f>
        <v/>
      </c>
      <c r="N7" s="7">
        <f>'配方级描述符'!I3</f>
        <v/>
      </c>
      <c r="O7" s="7">
        <f>'配方级描述符'!J3</f>
        <v/>
      </c>
      <c r="P7" s="7">
        <f>'配方级描述符'!K3</f>
        <v/>
      </c>
      <c r="Q7" s="7">
        <f>'配方级描述符'!L3</f>
        <v/>
      </c>
      <c r="R7" s="7">
        <f>'配方级描述符'!M3</f>
        <v/>
      </c>
      <c r="S7" s="7">
        <f>'配方级描述符'!N3</f>
        <v/>
      </c>
      <c r="T7" s="7">
        <f>'配方级描述符'!O3</f>
        <v/>
      </c>
      <c r="U7" s="7">
        <f>'配方级描述符'!P3</f>
        <v/>
      </c>
      <c r="V7" s="7">
        <f>'配方级描述符'!Q3</f>
        <v/>
      </c>
      <c r="W7" s="7">
        <f>'配方级描述符'!R3</f>
        <v/>
      </c>
      <c r="X7" s="7">
        <f>'配方级描述符'!S3</f>
        <v/>
      </c>
      <c r="Y7" s="7">
        <f>'配方级描述符'!T3</f>
        <v/>
      </c>
      <c r="Z7" s="7">
        <f>'配方级描述符'!U3</f>
        <v/>
      </c>
      <c r="AA7" s="7">
        <f>'配方级描述符'!V3</f>
        <v/>
      </c>
      <c r="AB7" s="7">
        <f>'配方级描述符'!W3</f>
        <v/>
      </c>
      <c r="AC7" s="7">
        <f>'配方级描述符'!X3</f>
        <v/>
      </c>
      <c r="AD7" s="7">
        <f>'配方级描述符'!Y3</f>
        <v/>
      </c>
      <c r="AE7" s="7">
        <f>'配方级描述符'!Z3</f>
        <v/>
      </c>
      <c r="AF7" s="7">
        <f>'配方级描述符'!AA3</f>
        <v/>
      </c>
      <c r="AG7" s="7">
        <f>'配方级描述符'!AB3</f>
        <v/>
      </c>
      <c r="AH7" s="7">
        <f>'配方级描述符'!AC3</f>
        <v/>
      </c>
      <c r="AI7" s="7">
        <f>'配方级描述符'!AD3</f>
        <v/>
      </c>
      <c r="AJ7" s="7">
        <f>'配方级描述符'!AE3</f>
        <v/>
      </c>
      <c r="AK7" s="7">
        <f>'配方级描述符'!AF3</f>
        <v/>
      </c>
      <c r="AL7" s="7">
        <f>'配方级描述符'!AG3</f>
        <v/>
      </c>
      <c r="AM7" s="7">
        <f>'配方级描述符'!AH3</f>
        <v/>
      </c>
      <c r="AN7" s="7">
        <f>'配方级描述符'!AI3</f>
        <v/>
      </c>
      <c r="AO7" s="7">
        <f>'配方级描述符'!AJ3</f>
        <v/>
      </c>
      <c r="AP7" s="7">
        <f>'配方级描述符'!AK3</f>
        <v/>
      </c>
      <c r="AQ7" s="7">
        <f>'配方级描述符'!AL3</f>
        <v/>
      </c>
      <c r="AR7" s="7">
        <f>'配方级描述符'!AM3</f>
        <v/>
      </c>
      <c r="AS7" s="7">
        <f>'配方级描述符'!AN3</f>
        <v/>
      </c>
      <c r="AT7" s="7">
        <f>'配方级描述符'!AO3</f>
        <v/>
      </c>
      <c r="AU7" s="7">
        <f>'配方级描述符'!AP3</f>
        <v/>
      </c>
      <c r="AV7" s="7">
        <f>'配方级描述符'!AQ3</f>
        <v/>
      </c>
      <c r="AW7" s="7">
        <f>'配方级描述符'!AR3</f>
        <v/>
      </c>
      <c r="AX7" s="7">
        <f>'配方级描述符'!AS3</f>
        <v/>
      </c>
      <c r="AY7" s="7">
        <f>'配方级描述符'!AT3</f>
        <v/>
      </c>
      <c r="AZ7" s="7">
        <f>'配方级描述符'!AU3</f>
        <v/>
      </c>
      <c r="BA7" s="7">
        <f>'配方级描述符'!AV3</f>
        <v/>
      </c>
    </row>
    <row r="8">
      <c r="A8" s="6" t="inlineStr">
        <is>
          <t>EP-0003</t>
        </is>
      </c>
      <c r="B8" s="6" t="inlineStr">
        <is>
          <t>EP-B</t>
        </is>
      </c>
      <c r="C8" s="6" t="inlineStr">
        <is>
          <t>环氧酚醛</t>
        </is>
      </c>
      <c r="D8" s="6">
        <f>IFERROR(INDEX('性能结果'!$F:$F,MATCH(1,('性能结果'!$A:$A=$A8)*('性能结果'!$C:$C=$E8),0)),"")</f>
        <v/>
      </c>
      <c r="E8" s="6" t="inlineStr">
        <is>
          <t>T弯</t>
        </is>
      </c>
      <c r="F8" s="5">
        <f>IFERROR(INDEX('性能结果'!$D:$D,MATCH(1,('性能结果'!$A:$A=$A8)*('性能结果'!$C:$C=$E8),0)),"")</f>
        <v/>
      </c>
      <c r="G8" s="6" t="inlineStr"/>
      <c r="H8" s="6" t="inlineStr"/>
      <c r="I8" s="6">
        <f>'配方级描述符'!D4</f>
        <v/>
      </c>
      <c r="J8" s="6">
        <f>'配方级描述符'!E4</f>
        <v/>
      </c>
      <c r="K8" s="6">
        <f>'配方级描述符'!F4</f>
        <v/>
      </c>
      <c r="L8" s="6">
        <f>'配方级描述符'!G4</f>
        <v/>
      </c>
      <c r="M8" s="6">
        <f>'配方级描述符'!H4</f>
        <v/>
      </c>
      <c r="N8" s="6">
        <f>'配方级描述符'!I4</f>
        <v/>
      </c>
      <c r="O8" s="6">
        <f>'配方级描述符'!J4</f>
        <v/>
      </c>
      <c r="P8" s="6">
        <f>'配方级描述符'!K4</f>
        <v/>
      </c>
      <c r="Q8" s="6">
        <f>'配方级描述符'!L4</f>
        <v/>
      </c>
      <c r="R8" s="6">
        <f>'配方级描述符'!M4</f>
        <v/>
      </c>
      <c r="S8" s="6">
        <f>'配方级描述符'!N4</f>
        <v/>
      </c>
      <c r="T8" s="6">
        <f>'配方级描述符'!O4</f>
        <v/>
      </c>
      <c r="U8" s="6">
        <f>'配方级描述符'!P4</f>
        <v/>
      </c>
      <c r="V8" s="6">
        <f>'配方级描述符'!Q4</f>
        <v/>
      </c>
      <c r="W8" s="6">
        <f>'配方级描述符'!R4</f>
        <v/>
      </c>
      <c r="X8" s="6">
        <f>'配方级描述符'!S4</f>
        <v/>
      </c>
      <c r="Y8" s="6">
        <f>'配方级描述符'!T4</f>
        <v/>
      </c>
      <c r="Z8" s="6">
        <f>'配方级描述符'!U4</f>
        <v/>
      </c>
      <c r="AA8" s="6">
        <f>'配方级描述符'!V4</f>
        <v/>
      </c>
      <c r="AB8" s="6">
        <f>'配方级描述符'!W4</f>
        <v/>
      </c>
      <c r="AC8" s="6">
        <f>'配方级描述符'!X4</f>
        <v/>
      </c>
      <c r="AD8" s="6">
        <f>'配方级描述符'!Y4</f>
        <v/>
      </c>
      <c r="AE8" s="6">
        <f>'配方级描述符'!Z4</f>
        <v/>
      </c>
      <c r="AF8" s="6">
        <f>'配方级描述符'!AA4</f>
        <v/>
      </c>
      <c r="AG8" s="6">
        <f>'配方级描述符'!AB4</f>
        <v/>
      </c>
      <c r="AH8" s="6">
        <f>'配方级描述符'!AC4</f>
        <v/>
      </c>
      <c r="AI8" s="6">
        <f>'配方级描述符'!AD4</f>
        <v/>
      </c>
      <c r="AJ8" s="6">
        <f>'配方级描述符'!AE4</f>
        <v/>
      </c>
      <c r="AK8" s="6">
        <f>'配方级描述符'!AF4</f>
        <v/>
      </c>
      <c r="AL8" s="6">
        <f>'配方级描述符'!AG4</f>
        <v/>
      </c>
      <c r="AM8" s="6">
        <f>'配方级描述符'!AH4</f>
        <v/>
      </c>
      <c r="AN8" s="6">
        <f>'配方级描述符'!AI4</f>
        <v/>
      </c>
      <c r="AO8" s="6">
        <f>'配方级描述符'!AJ4</f>
        <v/>
      </c>
      <c r="AP8" s="6">
        <f>'配方级描述符'!AK4</f>
        <v/>
      </c>
      <c r="AQ8" s="6">
        <f>'配方级描述符'!AL4</f>
        <v/>
      </c>
      <c r="AR8" s="6">
        <f>'配方级描述符'!AM4</f>
        <v/>
      </c>
      <c r="AS8" s="6">
        <f>'配方级描述符'!AN4</f>
        <v/>
      </c>
      <c r="AT8" s="6">
        <f>'配方级描述符'!AO4</f>
        <v/>
      </c>
      <c r="AU8" s="6">
        <f>'配方级描述符'!AP4</f>
        <v/>
      </c>
      <c r="AV8" s="6">
        <f>'配方级描述符'!AQ4</f>
        <v/>
      </c>
      <c r="AW8" s="6">
        <f>'配方级描述符'!AR4</f>
        <v/>
      </c>
      <c r="AX8" s="6">
        <f>'配方级描述符'!AS4</f>
        <v/>
      </c>
      <c r="AY8" s="6">
        <f>'配方级描述符'!AT4</f>
        <v/>
      </c>
      <c r="AZ8" s="6">
        <f>'配方级描述符'!AU4</f>
        <v/>
      </c>
      <c r="BA8" s="6">
        <f>'配方级描述符'!AV4</f>
        <v/>
      </c>
    </row>
    <row r="9">
      <c r="A9" s="7" t="inlineStr">
        <is>
          <t>EP-0003</t>
        </is>
      </c>
      <c r="B9" s="7" t="inlineStr">
        <is>
          <t>EP-B</t>
        </is>
      </c>
      <c r="C9" s="7" t="inlineStr">
        <is>
          <t>环氧酚醛</t>
        </is>
      </c>
      <c r="D9" s="7">
        <f>IFERROR(INDEX('性能结果'!$F:$F,MATCH(1,('性能结果'!$A:$A=$A9)*('性能结果'!$C:$C=$E9),0)),"")</f>
        <v/>
      </c>
      <c r="E9" s="7" t="inlineStr">
        <is>
          <t>MEK擦拭</t>
        </is>
      </c>
      <c r="F9" s="5">
        <f>IFERROR(INDEX('性能结果'!$D:$D,MATCH(1,('性能结果'!$A:$A=$A9)*('性能结果'!$C:$C=$E9),0)),"")</f>
        <v/>
      </c>
      <c r="G9" s="7" t="inlineStr"/>
      <c r="H9" s="7" t="inlineStr"/>
      <c r="I9" s="7">
        <f>'配方级描述符'!D4</f>
        <v/>
      </c>
      <c r="J9" s="7">
        <f>'配方级描述符'!E4</f>
        <v/>
      </c>
      <c r="K9" s="7">
        <f>'配方级描述符'!F4</f>
        <v/>
      </c>
      <c r="L9" s="7">
        <f>'配方级描述符'!G4</f>
        <v/>
      </c>
      <c r="M9" s="7">
        <f>'配方级描述符'!H4</f>
        <v/>
      </c>
      <c r="N9" s="7">
        <f>'配方级描述符'!I4</f>
        <v/>
      </c>
      <c r="O9" s="7">
        <f>'配方级描述符'!J4</f>
        <v/>
      </c>
      <c r="P9" s="7">
        <f>'配方级描述符'!K4</f>
        <v/>
      </c>
      <c r="Q9" s="7">
        <f>'配方级描述符'!L4</f>
        <v/>
      </c>
      <c r="R9" s="7">
        <f>'配方级描述符'!M4</f>
        <v/>
      </c>
      <c r="S9" s="7">
        <f>'配方级描述符'!N4</f>
        <v/>
      </c>
      <c r="T9" s="7">
        <f>'配方级描述符'!O4</f>
        <v/>
      </c>
      <c r="U9" s="7">
        <f>'配方级描述符'!P4</f>
        <v/>
      </c>
      <c r="V9" s="7">
        <f>'配方级描述符'!Q4</f>
        <v/>
      </c>
      <c r="W9" s="7">
        <f>'配方级描述符'!R4</f>
        <v/>
      </c>
      <c r="X9" s="7">
        <f>'配方级描述符'!S4</f>
        <v/>
      </c>
      <c r="Y9" s="7">
        <f>'配方级描述符'!T4</f>
        <v/>
      </c>
      <c r="Z9" s="7">
        <f>'配方级描述符'!U4</f>
        <v/>
      </c>
      <c r="AA9" s="7">
        <f>'配方级描述符'!V4</f>
        <v/>
      </c>
      <c r="AB9" s="7">
        <f>'配方级描述符'!W4</f>
        <v/>
      </c>
      <c r="AC9" s="7">
        <f>'配方级描述符'!X4</f>
        <v/>
      </c>
      <c r="AD9" s="7">
        <f>'配方级描述符'!Y4</f>
        <v/>
      </c>
      <c r="AE9" s="7">
        <f>'配方级描述符'!Z4</f>
        <v/>
      </c>
      <c r="AF9" s="7">
        <f>'配方级描述符'!AA4</f>
        <v/>
      </c>
      <c r="AG9" s="7">
        <f>'配方级描述符'!AB4</f>
        <v/>
      </c>
      <c r="AH9" s="7">
        <f>'配方级描述符'!AC4</f>
        <v/>
      </c>
      <c r="AI9" s="7">
        <f>'配方级描述符'!AD4</f>
        <v/>
      </c>
      <c r="AJ9" s="7">
        <f>'配方级描述符'!AE4</f>
        <v/>
      </c>
      <c r="AK9" s="7">
        <f>'配方级描述符'!AF4</f>
        <v/>
      </c>
      <c r="AL9" s="7">
        <f>'配方级描述符'!AG4</f>
        <v/>
      </c>
      <c r="AM9" s="7">
        <f>'配方级描述符'!AH4</f>
        <v/>
      </c>
      <c r="AN9" s="7">
        <f>'配方级描述符'!AI4</f>
        <v/>
      </c>
      <c r="AO9" s="7">
        <f>'配方级描述符'!AJ4</f>
        <v/>
      </c>
      <c r="AP9" s="7">
        <f>'配方级描述符'!AK4</f>
        <v/>
      </c>
      <c r="AQ9" s="7">
        <f>'配方级描述符'!AL4</f>
        <v/>
      </c>
      <c r="AR9" s="7">
        <f>'配方级描述符'!AM4</f>
        <v/>
      </c>
      <c r="AS9" s="7">
        <f>'配方级描述符'!AN4</f>
        <v/>
      </c>
      <c r="AT9" s="7">
        <f>'配方级描述符'!AO4</f>
        <v/>
      </c>
      <c r="AU9" s="7">
        <f>'配方级描述符'!AP4</f>
        <v/>
      </c>
      <c r="AV9" s="7">
        <f>'配方级描述符'!AQ4</f>
        <v/>
      </c>
      <c r="AW9" s="7">
        <f>'配方级描述符'!AR4</f>
        <v/>
      </c>
      <c r="AX9" s="7">
        <f>'配方级描述符'!AS4</f>
        <v/>
      </c>
      <c r="AY9" s="7">
        <f>'配方级描述符'!AT4</f>
        <v/>
      </c>
      <c r="AZ9" s="7">
        <f>'配方级描述符'!AU4</f>
        <v/>
      </c>
      <c r="BA9" s="7">
        <f>'配方级描述符'!AV4</f>
        <v/>
      </c>
    </row>
    <row r="10">
      <c r="A10" s="6" t="inlineStr">
        <is>
          <t>EP-0003</t>
        </is>
      </c>
      <c r="B10" s="6" t="inlineStr">
        <is>
          <t>EP-B</t>
        </is>
      </c>
      <c r="C10" s="6" t="inlineStr">
        <is>
          <t>环氧酚醛</t>
        </is>
      </c>
      <c r="D10" s="6">
        <f>IFERROR(INDEX('性能结果'!$F:$F,MATCH(1,('性能结果'!$A:$A=$A10)*('性能结果'!$C:$C=$E10),0)),"")</f>
        <v/>
      </c>
      <c r="E10" s="6" t="inlineStr">
        <is>
          <t>水煮等级</t>
        </is>
      </c>
      <c r="F10" s="5">
        <f>IFERROR(INDEX('性能结果'!$D:$D,MATCH(1,('性能结果'!$A:$A=$A10)*('性能结果'!$C:$C=$E10),0)),"")</f>
        <v/>
      </c>
      <c r="G10" s="6" t="inlineStr"/>
      <c r="H10" s="6" t="inlineStr"/>
      <c r="I10" s="6">
        <f>'配方级描述符'!D4</f>
        <v/>
      </c>
      <c r="J10" s="6">
        <f>'配方级描述符'!E4</f>
        <v/>
      </c>
      <c r="K10" s="6">
        <f>'配方级描述符'!F4</f>
        <v/>
      </c>
      <c r="L10" s="6">
        <f>'配方级描述符'!G4</f>
        <v/>
      </c>
      <c r="M10" s="6">
        <f>'配方级描述符'!H4</f>
        <v/>
      </c>
      <c r="N10" s="6">
        <f>'配方级描述符'!I4</f>
        <v/>
      </c>
      <c r="O10" s="6">
        <f>'配方级描述符'!J4</f>
        <v/>
      </c>
      <c r="P10" s="6">
        <f>'配方级描述符'!K4</f>
        <v/>
      </c>
      <c r="Q10" s="6">
        <f>'配方级描述符'!L4</f>
        <v/>
      </c>
      <c r="R10" s="6">
        <f>'配方级描述符'!M4</f>
        <v/>
      </c>
      <c r="S10" s="6">
        <f>'配方级描述符'!N4</f>
        <v/>
      </c>
      <c r="T10" s="6">
        <f>'配方级描述符'!O4</f>
        <v/>
      </c>
      <c r="U10" s="6">
        <f>'配方级描述符'!P4</f>
        <v/>
      </c>
      <c r="V10" s="6">
        <f>'配方级描述符'!Q4</f>
        <v/>
      </c>
      <c r="W10" s="6">
        <f>'配方级描述符'!R4</f>
        <v/>
      </c>
      <c r="X10" s="6">
        <f>'配方级描述符'!S4</f>
        <v/>
      </c>
      <c r="Y10" s="6">
        <f>'配方级描述符'!T4</f>
        <v/>
      </c>
      <c r="Z10" s="6">
        <f>'配方级描述符'!U4</f>
        <v/>
      </c>
      <c r="AA10" s="6">
        <f>'配方级描述符'!V4</f>
        <v/>
      </c>
      <c r="AB10" s="6">
        <f>'配方级描述符'!W4</f>
        <v/>
      </c>
      <c r="AC10" s="6">
        <f>'配方级描述符'!X4</f>
        <v/>
      </c>
      <c r="AD10" s="6">
        <f>'配方级描述符'!Y4</f>
        <v/>
      </c>
      <c r="AE10" s="6">
        <f>'配方级描述符'!Z4</f>
        <v/>
      </c>
      <c r="AF10" s="6">
        <f>'配方级描述符'!AA4</f>
        <v/>
      </c>
      <c r="AG10" s="6">
        <f>'配方级描述符'!AB4</f>
        <v/>
      </c>
      <c r="AH10" s="6">
        <f>'配方级描述符'!AC4</f>
        <v/>
      </c>
      <c r="AI10" s="6">
        <f>'配方级描述符'!AD4</f>
        <v/>
      </c>
      <c r="AJ10" s="6">
        <f>'配方级描述符'!AE4</f>
        <v/>
      </c>
      <c r="AK10" s="6">
        <f>'配方级描述符'!AF4</f>
        <v/>
      </c>
      <c r="AL10" s="6">
        <f>'配方级描述符'!AG4</f>
        <v/>
      </c>
      <c r="AM10" s="6">
        <f>'配方级描述符'!AH4</f>
        <v/>
      </c>
      <c r="AN10" s="6">
        <f>'配方级描述符'!AI4</f>
        <v/>
      </c>
      <c r="AO10" s="6">
        <f>'配方级描述符'!AJ4</f>
        <v/>
      </c>
      <c r="AP10" s="6">
        <f>'配方级描述符'!AK4</f>
        <v/>
      </c>
      <c r="AQ10" s="6">
        <f>'配方级描述符'!AL4</f>
        <v/>
      </c>
      <c r="AR10" s="6">
        <f>'配方级描述符'!AM4</f>
        <v/>
      </c>
      <c r="AS10" s="6">
        <f>'配方级描述符'!AN4</f>
        <v/>
      </c>
      <c r="AT10" s="6">
        <f>'配方级描述符'!AO4</f>
        <v/>
      </c>
      <c r="AU10" s="6">
        <f>'配方级描述符'!AP4</f>
        <v/>
      </c>
      <c r="AV10" s="6">
        <f>'配方级描述符'!AQ4</f>
        <v/>
      </c>
      <c r="AW10" s="6">
        <f>'配方级描述符'!AR4</f>
        <v/>
      </c>
      <c r="AX10" s="6">
        <f>'配方级描述符'!AS4</f>
        <v/>
      </c>
      <c r="AY10" s="6">
        <f>'配方级描述符'!AT4</f>
        <v/>
      </c>
      <c r="AZ10" s="6">
        <f>'配方级描述符'!AU4</f>
        <v/>
      </c>
      <c r="BA10" s="6">
        <f>'配方级描述符'!AV4</f>
        <v/>
      </c>
    </row>
    <row r="11">
      <c r="A11" s="7" t="inlineStr">
        <is>
          <t>EP-0004</t>
        </is>
      </c>
      <c r="B11" s="7" t="inlineStr">
        <is>
          <t>EP-B</t>
        </is>
      </c>
      <c r="C11" s="7" t="inlineStr">
        <is>
          <t>环氧酚醛</t>
        </is>
      </c>
      <c r="D11" s="7">
        <f>IFERROR(INDEX('性能结果'!$F:$F,MATCH(1,('性能结果'!$A:$A=$A11)*('性能结果'!$C:$C=$E11),0)),"")</f>
        <v/>
      </c>
      <c r="E11" s="7" t="inlineStr">
        <is>
          <t>T弯</t>
        </is>
      </c>
      <c r="F11" s="5">
        <f>IFERROR(INDEX('性能结果'!$D:$D,MATCH(1,('性能结果'!$A:$A=$A11)*('性能结果'!$C:$C=$E11),0)),"")</f>
        <v/>
      </c>
      <c r="G11" s="7" t="inlineStr"/>
      <c r="H11" s="7" t="inlineStr"/>
      <c r="I11" s="7">
        <f>'配方级描述符'!D5</f>
        <v/>
      </c>
      <c r="J11" s="7">
        <f>'配方级描述符'!E5</f>
        <v/>
      </c>
      <c r="K11" s="7">
        <f>'配方级描述符'!F5</f>
        <v/>
      </c>
      <c r="L11" s="7">
        <f>'配方级描述符'!G5</f>
        <v/>
      </c>
      <c r="M11" s="7">
        <f>'配方级描述符'!H5</f>
        <v/>
      </c>
      <c r="N11" s="7">
        <f>'配方级描述符'!I5</f>
        <v/>
      </c>
      <c r="O11" s="7">
        <f>'配方级描述符'!J5</f>
        <v/>
      </c>
      <c r="P11" s="7">
        <f>'配方级描述符'!K5</f>
        <v/>
      </c>
      <c r="Q11" s="7">
        <f>'配方级描述符'!L5</f>
        <v/>
      </c>
      <c r="R11" s="7">
        <f>'配方级描述符'!M5</f>
        <v/>
      </c>
      <c r="S11" s="7">
        <f>'配方级描述符'!N5</f>
        <v/>
      </c>
      <c r="T11" s="7">
        <f>'配方级描述符'!O5</f>
        <v/>
      </c>
      <c r="U11" s="7">
        <f>'配方级描述符'!P5</f>
        <v/>
      </c>
      <c r="V11" s="7">
        <f>'配方级描述符'!Q5</f>
        <v/>
      </c>
      <c r="W11" s="7">
        <f>'配方级描述符'!R5</f>
        <v/>
      </c>
      <c r="X11" s="7">
        <f>'配方级描述符'!S5</f>
        <v/>
      </c>
      <c r="Y11" s="7">
        <f>'配方级描述符'!T5</f>
        <v/>
      </c>
      <c r="Z11" s="7">
        <f>'配方级描述符'!U5</f>
        <v/>
      </c>
      <c r="AA11" s="7">
        <f>'配方级描述符'!V5</f>
        <v/>
      </c>
      <c r="AB11" s="7">
        <f>'配方级描述符'!W5</f>
        <v/>
      </c>
      <c r="AC11" s="7">
        <f>'配方级描述符'!X5</f>
        <v/>
      </c>
      <c r="AD11" s="7">
        <f>'配方级描述符'!Y5</f>
        <v/>
      </c>
      <c r="AE11" s="7">
        <f>'配方级描述符'!Z5</f>
        <v/>
      </c>
      <c r="AF11" s="7">
        <f>'配方级描述符'!AA5</f>
        <v/>
      </c>
      <c r="AG11" s="7">
        <f>'配方级描述符'!AB5</f>
        <v/>
      </c>
      <c r="AH11" s="7">
        <f>'配方级描述符'!AC5</f>
        <v/>
      </c>
      <c r="AI11" s="7">
        <f>'配方级描述符'!AD5</f>
        <v/>
      </c>
      <c r="AJ11" s="7">
        <f>'配方级描述符'!AE5</f>
        <v/>
      </c>
      <c r="AK11" s="7">
        <f>'配方级描述符'!AF5</f>
        <v/>
      </c>
      <c r="AL11" s="7">
        <f>'配方级描述符'!AG5</f>
        <v/>
      </c>
      <c r="AM11" s="7">
        <f>'配方级描述符'!AH5</f>
        <v/>
      </c>
      <c r="AN11" s="7">
        <f>'配方级描述符'!AI5</f>
        <v/>
      </c>
      <c r="AO11" s="7">
        <f>'配方级描述符'!AJ5</f>
        <v/>
      </c>
      <c r="AP11" s="7">
        <f>'配方级描述符'!AK5</f>
        <v/>
      </c>
      <c r="AQ11" s="7">
        <f>'配方级描述符'!AL5</f>
        <v/>
      </c>
      <c r="AR11" s="7">
        <f>'配方级描述符'!AM5</f>
        <v/>
      </c>
      <c r="AS11" s="7">
        <f>'配方级描述符'!AN5</f>
        <v/>
      </c>
      <c r="AT11" s="7">
        <f>'配方级描述符'!AO5</f>
        <v/>
      </c>
      <c r="AU11" s="7">
        <f>'配方级描述符'!AP5</f>
        <v/>
      </c>
      <c r="AV11" s="7">
        <f>'配方级描述符'!AQ5</f>
        <v/>
      </c>
      <c r="AW11" s="7">
        <f>'配方级描述符'!AR5</f>
        <v/>
      </c>
      <c r="AX11" s="7">
        <f>'配方级描述符'!AS5</f>
        <v/>
      </c>
      <c r="AY11" s="7">
        <f>'配方级描述符'!AT5</f>
        <v/>
      </c>
      <c r="AZ11" s="7">
        <f>'配方级描述符'!AU5</f>
        <v/>
      </c>
      <c r="BA11" s="7">
        <f>'配方级描述符'!AV5</f>
        <v/>
      </c>
    </row>
    <row r="12">
      <c r="A12" s="6" t="inlineStr">
        <is>
          <t>EP-0004</t>
        </is>
      </c>
      <c r="B12" s="6" t="inlineStr">
        <is>
          <t>EP-B</t>
        </is>
      </c>
      <c r="C12" s="6" t="inlineStr">
        <is>
          <t>环氧酚醛</t>
        </is>
      </c>
      <c r="D12" s="6">
        <f>IFERROR(INDEX('性能结果'!$F:$F,MATCH(1,('性能结果'!$A:$A=$A12)*('性能结果'!$C:$C=$E12),0)),"")</f>
        <v/>
      </c>
      <c r="E12" s="6" t="inlineStr">
        <is>
          <t>MEK擦拭</t>
        </is>
      </c>
      <c r="F12" s="5">
        <f>IFERROR(INDEX('性能结果'!$D:$D,MATCH(1,('性能结果'!$A:$A=$A12)*('性能结果'!$C:$C=$E12),0)),"")</f>
        <v/>
      </c>
      <c r="G12" s="6" t="inlineStr"/>
      <c r="H12" s="6" t="inlineStr"/>
      <c r="I12" s="6">
        <f>'配方级描述符'!D5</f>
        <v/>
      </c>
      <c r="J12" s="6">
        <f>'配方级描述符'!E5</f>
        <v/>
      </c>
      <c r="K12" s="6">
        <f>'配方级描述符'!F5</f>
        <v/>
      </c>
      <c r="L12" s="6">
        <f>'配方级描述符'!G5</f>
        <v/>
      </c>
      <c r="M12" s="6">
        <f>'配方级描述符'!H5</f>
        <v/>
      </c>
      <c r="N12" s="6">
        <f>'配方级描述符'!I5</f>
        <v/>
      </c>
      <c r="O12" s="6">
        <f>'配方级描述符'!J5</f>
        <v/>
      </c>
      <c r="P12" s="6">
        <f>'配方级描述符'!K5</f>
        <v/>
      </c>
      <c r="Q12" s="6">
        <f>'配方级描述符'!L5</f>
        <v/>
      </c>
      <c r="R12" s="6">
        <f>'配方级描述符'!M5</f>
        <v/>
      </c>
      <c r="S12" s="6">
        <f>'配方级描述符'!N5</f>
        <v/>
      </c>
      <c r="T12" s="6">
        <f>'配方级描述符'!O5</f>
        <v/>
      </c>
      <c r="U12" s="6">
        <f>'配方级描述符'!P5</f>
        <v/>
      </c>
      <c r="V12" s="6">
        <f>'配方级描述符'!Q5</f>
        <v/>
      </c>
      <c r="W12" s="6">
        <f>'配方级描述符'!R5</f>
        <v/>
      </c>
      <c r="X12" s="6">
        <f>'配方级描述符'!S5</f>
        <v/>
      </c>
      <c r="Y12" s="6">
        <f>'配方级描述符'!T5</f>
        <v/>
      </c>
      <c r="Z12" s="6">
        <f>'配方级描述符'!U5</f>
        <v/>
      </c>
      <c r="AA12" s="6">
        <f>'配方级描述符'!V5</f>
        <v/>
      </c>
      <c r="AB12" s="6">
        <f>'配方级描述符'!W5</f>
        <v/>
      </c>
      <c r="AC12" s="6">
        <f>'配方级描述符'!X5</f>
        <v/>
      </c>
      <c r="AD12" s="6">
        <f>'配方级描述符'!Y5</f>
        <v/>
      </c>
      <c r="AE12" s="6">
        <f>'配方级描述符'!Z5</f>
        <v/>
      </c>
      <c r="AF12" s="6">
        <f>'配方级描述符'!AA5</f>
        <v/>
      </c>
      <c r="AG12" s="6">
        <f>'配方级描述符'!AB5</f>
        <v/>
      </c>
      <c r="AH12" s="6">
        <f>'配方级描述符'!AC5</f>
        <v/>
      </c>
      <c r="AI12" s="6">
        <f>'配方级描述符'!AD5</f>
        <v/>
      </c>
      <c r="AJ12" s="6">
        <f>'配方级描述符'!AE5</f>
        <v/>
      </c>
      <c r="AK12" s="6">
        <f>'配方级描述符'!AF5</f>
        <v/>
      </c>
      <c r="AL12" s="6">
        <f>'配方级描述符'!AG5</f>
        <v/>
      </c>
      <c r="AM12" s="6">
        <f>'配方级描述符'!AH5</f>
        <v/>
      </c>
      <c r="AN12" s="6">
        <f>'配方级描述符'!AI5</f>
        <v/>
      </c>
      <c r="AO12" s="6">
        <f>'配方级描述符'!AJ5</f>
        <v/>
      </c>
      <c r="AP12" s="6">
        <f>'配方级描述符'!AK5</f>
        <v/>
      </c>
      <c r="AQ12" s="6">
        <f>'配方级描述符'!AL5</f>
        <v/>
      </c>
      <c r="AR12" s="6">
        <f>'配方级描述符'!AM5</f>
        <v/>
      </c>
      <c r="AS12" s="6">
        <f>'配方级描述符'!AN5</f>
        <v/>
      </c>
      <c r="AT12" s="6">
        <f>'配方级描述符'!AO5</f>
        <v/>
      </c>
      <c r="AU12" s="6">
        <f>'配方级描述符'!AP5</f>
        <v/>
      </c>
      <c r="AV12" s="6">
        <f>'配方级描述符'!AQ5</f>
        <v/>
      </c>
      <c r="AW12" s="6">
        <f>'配方级描述符'!AR5</f>
        <v/>
      </c>
      <c r="AX12" s="6">
        <f>'配方级描述符'!AS5</f>
        <v/>
      </c>
      <c r="AY12" s="6">
        <f>'配方级描述符'!AT5</f>
        <v/>
      </c>
      <c r="AZ12" s="6">
        <f>'配方级描述符'!AU5</f>
        <v/>
      </c>
      <c r="BA12" s="6">
        <f>'配方级描述符'!AV5</f>
        <v/>
      </c>
    </row>
    <row r="13">
      <c r="A13" s="7" t="inlineStr">
        <is>
          <t>EP-0004</t>
        </is>
      </c>
      <c r="B13" s="7" t="inlineStr">
        <is>
          <t>EP-B</t>
        </is>
      </c>
      <c r="C13" s="7" t="inlineStr">
        <is>
          <t>环氧酚醛</t>
        </is>
      </c>
      <c r="D13" s="7">
        <f>IFERROR(INDEX('性能结果'!$F:$F,MATCH(1,('性能结果'!$A:$A=$A13)*('性能结果'!$C:$C=$E13),0)),"")</f>
        <v/>
      </c>
      <c r="E13" s="7" t="inlineStr">
        <is>
          <t>水煮等级</t>
        </is>
      </c>
      <c r="F13" s="5">
        <f>IFERROR(INDEX('性能结果'!$D:$D,MATCH(1,('性能结果'!$A:$A=$A13)*('性能结果'!$C:$C=$E13),0)),"")</f>
        <v/>
      </c>
      <c r="G13" s="7" t="inlineStr"/>
      <c r="H13" s="7" t="inlineStr"/>
      <c r="I13" s="7">
        <f>'配方级描述符'!D5</f>
        <v/>
      </c>
      <c r="J13" s="7">
        <f>'配方级描述符'!E5</f>
        <v/>
      </c>
      <c r="K13" s="7">
        <f>'配方级描述符'!F5</f>
        <v/>
      </c>
      <c r="L13" s="7">
        <f>'配方级描述符'!G5</f>
        <v/>
      </c>
      <c r="M13" s="7">
        <f>'配方级描述符'!H5</f>
        <v/>
      </c>
      <c r="N13" s="7">
        <f>'配方级描述符'!I5</f>
        <v/>
      </c>
      <c r="O13" s="7">
        <f>'配方级描述符'!J5</f>
        <v/>
      </c>
      <c r="P13" s="7">
        <f>'配方级描述符'!K5</f>
        <v/>
      </c>
      <c r="Q13" s="7">
        <f>'配方级描述符'!L5</f>
        <v/>
      </c>
      <c r="R13" s="7">
        <f>'配方级描述符'!M5</f>
        <v/>
      </c>
      <c r="S13" s="7">
        <f>'配方级描述符'!N5</f>
        <v/>
      </c>
      <c r="T13" s="7">
        <f>'配方级描述符'!O5</f>
        <v/>
      </c>
      <c r="U13" s="7">
        <f>'配方级描述符'!P5</f>
        <v/>
      </c>
      <c r="V13" s="7">
        <f>'配方级描述符'!Q5</f>
        <v/>
      </c>
      <c r="W13" s="7">
        <f>'配方级描述符'!R5</f>
        <v/>
      </c>
      <c r="X13" s="7">
        <f>'配方级描述符'!S5</f>
        <v/>
      </c>
      <c r="Y13" s="7">
        <f>'配方级描述符'!T5</f>
        <v/>
      </c>
      <c r="Z13" s="7">
        <f>'配方级描述符'!U5</f>
        <v/>
      </c>
      <c r="AA13" s="7">
        <f>'配方级描述符'!V5</f>
        <v/>
      </c>
      <c r="AB13" s="7">
        <f>'配方级描述符'!W5</f>
        <v/>
      </c>
      <c r="AC13" s="7">
        <f>'配方级描述符'!X5</f>
        <v/>
      </c>
      <c r="AD13" s="7">
        <f>'配方级描述符'!Y5</f>
        <v/>
      </c>
      <c r="AE13" s="7">
        <f>'配方级描述符'!Z5</f>
        <v/>
      </c>
      <c r="AF13" s="7">
        <f>'配方级描述符'!AA5</f>
        <v/>
      </c>
      <c r="AG13" s="7">
        <f>'配方级描述符'!AB5</f>
        <v/>
      </c>
      <c r="AH13" s="7">
        <f>'配方级描述符'!AC5</f>
        <v/>
      </c>
      <c r="AI13" s="7">
        <f>'配方级描述符'!AD5</f>
        <v/>
      </c>
      <c r="AJ13" s="7">
        <f>'配方级描述符'!AE5</f>
        <v/>
      </c>
      <c r="AK13" s="7">
        <f>'配方级描述符'!AF5</f>
        <v/>
      </c>
      <c r="AL13" s="7">
        <f>'配方级描述符'!AG5</f>
        <v/>
      </c>
      <c r="AM13" s="7">
        <f>'配方级描述符'!AH5</f>
        <v/>
      </c>
      <c r="AN13" s="7">
        <f>'配方级描述符'!AI5</f>
        <v/>
      </c>
      <c r="AO13" s="7">
        <f>'配方级描述符'!AJ5</f>
        <v/>
      </c>
      <c r="AP13" s="7">
        <f>'配方级描述符'!AK5</f>
        <v/>
      </c>
      <c r="AQ13" s="7">
        <f>'配方级描述符'!AL5</f>
        <v/>
      </c>
      <c r="AR13" s="7">
        <f>'配方级描述符'!AM5</f>
        <v/>
      </c>
      <c r="AS13" s="7">
        <f>'配方级描述符'!AN5</f>
        <v/>
      </c>
      <c r="AT13" s="7">
        <f>'配方级描述符'!AO5</f>
        <v/>
      </c>
      <c r="AU13" s="7">
        <f>'配方级描述符'!AP5</f>
        <v/>
      </c>
      <c r="AV13" s="7">
        <f>'配方级描述符'!AQ5</f>
        <v/>
      </c>
      <c r="AW13" s="7">
        <f>'配方级描述符'!AR5</f>
        <v/>
      </c>
      <c r="AX13" s="7">
        <f>'配方级描述符'!AS5</f>
        <v/>
      </c>
      <c r="AY13" s="7">
        <f>'配方级描述符'!AT5</f>
        <v/>
      </c>
      <c r="AZ13" s="7">
        <f>'配方级描述符'!AU5</f>
        <v/>
      </c>
      <c r="BA13" s="7">
        <f>'配方级描述符'!AV5</f>
        <v/>
      </c>
    </row>
    <row r="14">
      <c r="A14" s="6" t="inlineStr">
        <is>
          <t>EP-0005</t>
        </is>
      </c>
      <c r="B14" s="6" t="inlineStr">
        <is>
          <t>EP-C</t>
        </is>
      </c>
      <c r="C14" s="6" t="inlineStr">
        <is>
          <t>环氧酚醛</t>
        </is>
      </c>
      <c r="D14" s="6">
        <f>IFERROR(INDEX('性能结果'!$F:$F,MATCH(1,('性能结果'!$A:$A=$A14)*('性能结果'!$C:$C=$E14),0)),"")</f>
        <v/>
      </c>
      <c r="E14" s="6" t="inlineStr">
        <is>
          <t>T弯</t>
        </is>
      </c>
      <c r="F14" s="5">
        <f>IFERROR(INDEX('性能结果'!$D:$D,MATCH(1,('性能结果'!$A:$A=$A14)*('性能结果'!$C:$C=$E14),0)),"")</f>
        <v/>
      </c>
      <c r="G14" s="6" t="inlineStr"/>
      <c r="H14" s="6" t="inlineStr"/>
      <c r="I14" s="6">
        <f>'配方级描述符'!D6</f>
        <v/>
      </c>
      <c r="J14" s="6">
        <f>'配方级描述符'!E6</f>
        <v/>
      </c>
      <c r="K14" s="6">
        <f>'配方级描述符'!F6</f>
        <v/>
      </c>
      <c r="L14" s="6">
        <f>'配方级描述符'!G6</f>
        <v/>
      </c>
      <c r="M14" s="6">
        <f>'配方级描述符'!H6</f>
        <v/>
      </c>
      <c r="N14" s="6">
        <f>'配方级描述符'!I6</f>
        <v/>
      </c>
      <c r="O14" s="6">
        <f>'配方级描述符'!J6</f>
        <v/>
      </c>
      <c r="P14" s="6">
        <f>'配方级描述符'!K6</f>
        <v/>
      </c>
      <c r="Q14" s="6">
        <f>'配方级描述符'!L6</f>
        <v/>
      </c>
      <c r="R14" s="6">
        <f>'配方级描述符'!M6</f>
        <v/>
      </c>
      <c r="S14" s="6">
        <f>'配方级描述符'!N6</f>
        <v/>
      </c>
      <c r="T14" s="6">
        <f>'配方级描述符'!O6</f>
        <v/>
      </c>
      <c r="U14" s="6">
        <f>'配方级描述符'!P6</f>
        <v/>
      </c>
      <c r="V14" s="6">
        <f>'配方级描述符'!Q6</f>
        <v/>
      </c>
      <c r="W14" s="6">
        <f>'配方级描述符'!R6</f>
        <v/>
      </c>
      <c r="X14" s="6">
        <f>'配方级描述符'!S6</f>
        <v/>
      </c>
      <c r="Y14" s="6">
        <f>'配方级描述符'!T6</f>
        <v/>
      </c>
      <c r="Z14" s="6">
        <f>'配方级描述符'!U6</f>
        <v/>
      </c>
      <c r="AA14" s="6">
        <f>'配方级描述符'!V6</f>
        <v/>
      </c>
      <c r="AB14" s="6">
        <f>'配方级描述符'!W6</f>
        <v/>
      </c>
      <c r="AC14" s="6">
        <f>'配方级描述符'!X6</f>
        <v/>
      </c>
      <c r="AD14" s="6">
        <f>'配方级描述符'!Y6</f>
        <v/>
      </c>
      <c r="AE14" s="6">
        <f>'配方级描述符'!Z6</f>
        <v/>
      </c>
      <c r="AF14" s="6">
        <f>'配方级描述符'!AA6</f>
        <v/>
      </c>
      <c r="AG14" s="6">
        <f>'配方级描述符'!AB6</f>
        <v/>
      </c>
      <c r="AH14" s="6">
        <f>'配方级描述符'!AC6</f>
        <v/>
      </c>
      <c r="AI14" s="6">
        <f>'配方级描述符'!AD6</f>
        <v/>
      </c>
      <c r="AJ14" s="6">
        <f>'配方级描述符'!AE6</f>
        <v/>
      </c>
      <c r="AK14" s="6">
        <f>'配方级描述符'!AF6</f>
        <v/>
      </c>
      <c r="AL14" s="6">
        <f>'配方级描述符'!AG6</f>
        <v/>
      </c>
      <c r="AM14" s="6">
        <f>'配方级描述符'!AH6</f>
        <v/>
      </c>
      <c r="AN14" s="6">
        <f>'配方级描述符'!AI6</f>
        <v/>
      </c>
      <c r="AO14" s="6">
        <f>'配方级描述符'!AJ6</f>
        <v/>
      </c>
      <c r="AP14" s="6">
        <f>'配方级描述符'!AK6</f>
        <v/>
      </c>
      <c r="AQ14" s="6">
        <f>'配方级描述符'!AL6</f>
        <v/>
      </c>
      <c r="AR14" s="6">
        <f>'配方级描述符'!AM6</f>
        <v/>
      </c>
      <c r="AS14" s="6">
        <f>'配方级描述符'!AN6</f>
        <v/>
      </c>
      <c r="AT14" s="6">
        <f>'配方级描述符'!AO6</f>
        <v/>
      </c>
      <c r="AU14" s="6">
        <f>'配方级描述符'!AP6</f>
        <v/>
      </c>
      <c r="AV14" s="6">
        <f>'配方级描述符'!AQ6</f>
        <v/>
      </c>
      <c r="AW14" s="6">
        <f>'配方级描述符'!AR6</f>
        <v/>
      </c>
      <c r="AX14" s="6">
        <f>'配方级描述符'!AS6</f>
        <v/>
      </c>
      <c r="AY14" s="6">
        <f>'配方级描述符'!AT6</f>
        <v/>
      </c>
      <c r="AZ14" s="6">
        <f>'配方级描述符'!AU6</f>
        <v/>
      </c>
      <c r="BA14" s="6">
        <f>'配方级描述符'!AV6</f>
        <v/>
      </c>
    </row>
    <row r="15">
      <c r="A15" s="7" t="inlineStr">
        <is>
          <t>EP-0005</t>
        </is>
      </c>
      <c r="B15" s="7" t="inlineStr">
        <is>
          <t>EP-C</t>
        </is>
      </c>
      <c r="C15" s="7" t="inlineStr">
        <is>
          <t>环氧酚醛</t>
        </is>
      </c>
      <c r="D15" s="7">
        <f>IFERROR(INDEX('性能结果'!$F:$F,MATCH(1,('性能结果'!$A:$A=$A15)*('性能结果'!$C:$C=$E15),0)),"")</f>
        <v/>
      </c>
      <c r="E15" s="7" t="inlineStr">
        <is>
          <t>MEK擦拭</t>
        </is>
      </c>
      <c r="F15" s="5">
        <f>IFERROR(INDEX('性能结果'!$D:$D,MATCH(1,('性能结果'!$A:$A=$A15)*('性能结果'!$C:$C=$E15),0)),"")</f>
        <v/>
      </c>
      <c r="G15" s="7" t="inlineStr"/>
      <c r="H15" s="7" t="inlineStr"/>
      <c r="I15" s="7">
        <f>'配方级描述符'!D6</f>
        <v/>
      </c>
      <c r="J15" s="7">
        <f>'配方级描述符'!E6</f>
        <v/>
      </c>
      <c r="K15" s="7">
        <f>'配方级描述符'!F6</f>
        <v/>
      </c>
      <c r="L15" s="7">
        <f>'配方级描述符'!G6</f>
        <v/>
      </c>
      <c r="M15" s="7">
        <f>'配方级描述符'!H6</f>
        <v/>
      </c>
      <c r="N15" s="7">
        <f>'配方级描述符'!I6</f>
        <v/>
      </c>
      <c r="O15" s="7">
        <f>'配方级描述符'!J6</f>
        <v/>
      </c>
      <c r="P15" s="7">
        <f>'配方级描述符'!K6</f>
        <v/>
      </c>
      <c r="Q15" s="7">
        <f>'配方级描述符'!L6</f>
        <v/>
      </c>
      <c r="R15" s="7">
        <f>'配方级描述符'!M6</f>
        <v/>
      </c>
      <c r="S15" s="7">
        <f>'配方级描述符'!N6</f>
        <v/>
      </c>
      <c r="T15" s="7">
        <f>'配方级描述符'!O6</f>
        <v/>
      </c>
      <c r="U15" s="7">
        <f>'配方级描述符'!P6</f>
        <v/>
      </c>
      <c r="V15" s="7">
        <f>'配方级描述符'!Q6</f>
        <v/>
      </c>
      <c r="W15" s="7">
        <f>'配方级描述符'!R6</f>
        <v/>
      </c>
      <c r="X15" s="7">
        <f>'配方级描述符'!S6</f>
        <v/>
      </c>
      <c r="Y15" s="7">
        <f>'配方级描述符'!T6</f>
        <v/>
      </c>
      <c r="Z15" s="7">
        <f>'配方级描述符'!U6</f>
        <v/>
      </c>
      <c r="AA15" s="7">
        <f>'配方级描述符'!V6</f>
        <v/>
      </c>
      <c r="AB15" s="7">
        <f>'配方级描述符'!W6</f>
        <v/>
      </c>
      <c r="AC15" s="7">
        <f>'配方级描述符'!X6</f>
        <v/>
      </c>
      <c r="AD15" s="7">
        <f>'配方级描述符'!Y6</f>
        <v/>
      </c>
      <c r="AE15" s="7">
        <f>'配方级描述符'!Z6</f>
        <v/>
      </c>
      <c r="AF15" s="7">
        <f>'配方级描述符'!AA6</f>
        <v/>
      </c>
      <c r="AG15" s="7">
        <f>'配方级描述符'!AB6</f>
        <v/>
      </c>
      <c r="AH15" s="7">
        <f>'配方级描述符'!AC6</f>
        <v/>
      </c>
      <c r="AI15" s="7">
        <f>'配方级描述符'!AD6</f>
        <v/>
      </c>
      <c r="AJ15" s="7">
        <f>'配方级描述符'!AE6</f>
        <v/>
      </c>
      <c r="AK15" s="7">
        <f>'配方级描述符'!AF6</f>
        <v/>
      </c>
      <c r="AL15" s="7">
        <f>'配方级描述符'!AG6</f>
        <v/>
      </c>
      <c r="AM15" s="7">
        <f>'配方级描述符'!AH6</f>
        <v/>
      </c>
      <c r="AN15" s="7">
        <f>'配方级描述符'!AI6</f>
        <v/>
      </c>
      <c r="AO15" s="7">
        <f>'配方级描述符'!AJ6</f>
        <v/>
      </c>
      <c r="AP15" s="7">
        <f>'配方级描述符'!AK6</f>
        <v/>
      </c>
      <c r="AQ15" s="7">
        <f>'配方级描述符'!AL6</f>
        <v/>
      </c>
      <c r="AR15" s="7">
        <f>'配方级描述符'!AM6</f>
        <v/>
      </c>
      <c r="AS15" s="7">
        <f>'配方级描述符'!AN6</f>
        <v/>
      </c>
      <c r="AT15" s="7">
        <f>'配方级描述符'!AO6</f>
        <v/>
      </c>
      <c r="AU15" s="7">
        <f>'配方级描述符'!AP6</f>
        <v/>
      </c>
      <c r="AV15" s="7">
        <f>'配方级描述符'!AQ6</f>
        <v/>
      </c>
      <c r="AW15" s="7">
        <f>'配方级描述符'!AR6</f>
        <v/>
      </c>
      <c r="AX15" s="7">
        <f>'配方级描述符'!AS6</f>
        <v/>
      </c>
      <c r="AY15" s="7">
        <f>'配方级描述符'!AT6</f>
        <v/>
      </c>
      <c r="AZ15" s="7">
        <f>'配方级描述符'!AU6</f>
        <v/>
      </c>
      <c r="BA15" s="7">
        <f>'配方级描述符'!AV6</f>
        <v/>
      </c>
    </row>
    <row r="16">
      <c r="A16" s="6" t="inlineStr">
        <is>
          <t>EP-0005</t>
        </is>
      </c>
      <c r="B16" s="6" t="inlineStr">
        <is>
          <t>EP-C</t>
        </is>
      </c>
      <c r="C16" s="6" t="inlineStr">
        <is>
          <t>环氧酚醛</t>
        </is>
      </c>
      <c r="D16" s="6">
        <f>IFERROR(INDEX('性能结果'!$F:$F,MATCH(1,('性能结果'!$A:$A=$A16)*('性能结果'!$C:$C=$E16),0)),"")</f>
        <v/>
      </c>
      <c r="E16" s="6" t="inlineStr">
        <is>
          <t>水煮等级</t>
        </is>
      </c>
      <c r="F16" s="5">
        <f>IFERROR(INDEX('性能结果'!$D:$D,MATCH(1,('性能结果'!$A:$A=$A16)*('性能结果'!$C:$C=$E16),0)),"")</f>
        <v/>
      </c>
      <c r="G16" s="6" t="inlineStr"/>
      <c r="H16" s="6" t="inlineStr"/>
      <c r="I16" s="6">
        <f>'配方级描述符'!D6</f>
        <v/>
      </c>
      <c r="J16" s="6">
        <f>'配方级描述符'!E6</f>
        <v/>
      </c>
      <c r="K16" s="6">
        <f>'配方级描述符'!F6</f>
        <v/>
      </c>
      <c r="L16" s="6">
        <f>'配方级描述符'!G6</f>
        <v/>
      </c>
      <c r="M16" s="6">
        <f>'配方级描述符'!H6</f>
        <v/>
      </c>
      <c r="N16" s="6">
        <f>'配方级描述符'!I6</f>
        <v/>
      </c>
      <c r="O16" s="6">
        <f>'配方级描述符'!J6</f>
        <v/>
      </c>
      <c r="P16" s="6">
        <f>'配方级描述符'!K6</f>
        <v/>
      </c>
      <c r="Q16" s="6">
        <f>'配方级描述符'!L6</f>
        <v/>
      </c>
      <c r="R16" s="6">
        <f>'配方级描述符'!M6</f>
        <v/>
      </c>
      <c r="S16" s="6">
        <f>'配方级描述符'!N6</f>
        <v/>
      </c>
      <c r="T16" s="6">
        <f>'配方级描述符'!O6</f>
        <v/>
      </c>
      <c r="U16" s="6">
        <f>'配方级描述符'!P6</f>
        <v/>
      </c>
      <c r="V16" s="6">
        <f>'配方级描述符'!Q6</f>
        <v/>
      </c>
      <c r="W16" s="6">
        <f>'配方级描述符'!R6</f>
        <v/>
      </c>
      <c r="X16" s="6">
        <f>'配方级描述符'!S6</f>
        <v/>
      </c>
      <c r="Y16" s="6">
        <f>'配方级描述符'!T6</f>
        <v/>
      </c>
      <c r="Z16" s="6">
        <f>'配方级描述符'!U6</f>
        <v/>
      </c>
      <c r="AA16" s="6">
        <f>'配方级描述符'!V6</f>
        <v/>
      </c>
      <c r="AB16" s="6">
        <f>'配方级描述符'!W6</f>
        <v/>
      </c>
      <c r="AC16" s="6">
        <f>'配方级描述符'!X6</f>
        <v/>
      </c>
      <c r="AD16" s="6">
        <f>'配方级描述符'!Y6</f>
        <v/>
      </c>
      <c r="AE16" s="6">
        <f>'配方级描述符'!Z6</f>
        <v/>
      </c>
      <c r="AF16" s="6">
        <f>'配方级描述符'!AA6</f>
        <v/>
      </c>
      <c r="AG16" s="6">
        <f>'配方级描述符'!AB6</f>
        <v/>
      </c>
      <c r="AH16" s="6">
        <f>'配方级描述符'!AC6</f>
        <v/>
      </c>
      <c r="AI16" s="6">
        <f>'配方级描述符'!AD6</f>
        <v/>
      </c>
      <c r="AJ16" s="6">
        <f>'配方级描述符'!AE6</f>
        <v/>
      </c>
      <c r="AK16" s="6">
        <f>'配方级描述符'!AF6</f>
        <v/>
      </c>
      <c r="AL16" s="6">
        <f>'配方级描述符'!AG6</f>
        <v/>
      </c>
      <c r="AM16" s="6">
        <f>'配方级描述符'!AH6</f>
        <v/>
      </c>
      <c r="AN16" s="6">
        <f>'配方级描述符'!AI6</f>
        <v/>
      </c>
      <c r="AO16" s="6">
        <f>'配方级描述符'!AJ6</f>
        <v/>
      </c>
      <c r="AP16" s="6">
        <f>'配方级描述符'!AK6</f>
        <v/>
      </c>
      <c r="AQ16" s="6">
        <f>'配方级描述符'!AL6</f>
        <v/>
      </c>
      <c r="AR16" s="6">
        <f>'配方级描述符'!AM6</f>
        <v/>
      </c>
      <c r="AS16" s="6">
        <f>'配方级描述符'!AN6</f>
        <v/>
      </c>
      <c r="AT16" s="6">
        <f>'配方级描述符'!AO6</f>
        <v/>
      </c>
      <c r="AU16" s="6">
        <f>'配方级描述符'!AP6</f>
        <v/>
      </c>
      <c r="AV16" s="6">
        <f>'配方级描述符'!AQ6</f>
        <v/>
      </c>
      <c r="AW16" s="6">
        <f>'配方级描述符'!AR6</f>
        <v/>
      </c>
      <c r="AX16" s="6">
        <f>'配方级描述符'!AS6</f>
        <v/>
      </c>
      <c r="AY16" s="6">
        <f>'配方级描述符'!AT6</f>
        <v/>
      </c>
      <c r="AZ16" s="6">
        <f>'配方级描述符'!AU6</f>
        <v/>
      </c>
      <c r="BA16" s="6">
        <f>'配方级描述符'!AV6</f>
        <v/>
      </c>
    </row>
    <row r="17">
      <c r="A17" s="7" t="inlineStr">
        <is>
          <t>ORG-0001</t>
        </is>
      </c>
      <c r="B17" s="7" t="inlineStr">
        <is>
          <t>ORG-A</t>
        </is>
      </c>
      <c r="C17" s="7" t="inlineStr">
        <is>
          <t>有机</t>
        </is>
      </c>
      <c r="D17" s="7">
        <f>IFERROR(INDEX('性能结果'!$F:$F,MATCH(1,('性能结果'!$A:$A=$A17)*('性能结果'!$C:$C=$E17),0)),"")</f>
        <v/>
      </c>
      <c r="E17" s="7" t="inlineStr">
        <is>
          <t>T弯</t>
        </is>
      </c>
      <c r="F17" s="5">
        <f>IFERROR(INDEX('性能结果'!$D:$D,MATCH(1,('性能结果'!$A:$A=$A17)*('性能结果'!$C:$C=$E17),0)),"")</f>
        <v/>
      </c>
      <c r="G17" s="7" t="inlineStr"/>
      <c r="H17" s="7" t="inlineStr"/>
      <c r="I17" s="7">
        <f>'配方级描述符'!D7</f>
        <v/>
      </c>
      <c r="J17" s="7">
        <f>'配方级描述符'!E7</f>
        <v/>
      </c>
      <c r="K17" s="7">
        <f>'配方级描述符'!F7</f>
        <v/>
      </c>
      <c r="L17" s="7">
        <f>'配方级描述符'!G7</f>
        <v/>
      </c>
      <c r="M17" s="7">
        <f>'配方级描述符'!H7</f>
        <v/>
      </c>
      <c r="N17" s="7">
        <f>'配方级描述符'!I7</f>
        <v/>
      </c>
      <c r="O17" s="7">
        <f>'配方级描述符'!J7</f>
        <v/>
      </c>
      <c r="P17" s="7">
        <f>'配方级描述符'!K7</f>
        <v/>
      </c>
      <c r="Q17" s="7">
        <f>'配方级描述符'!L7</f>
        <v/>
      </c>
      <c r="R17" s="7">
        <f>'配方级描述符'!M7</f>
        <v/>
      </c>
      <c r="S17" s="7">
        <f>'配方级描述符'!N7</f>
        <v/>
      </c>
      <c r="T17" s="7">
        <f>'配方级描述符'!O7</f>
        <v/>
      </c>
      <c r="U17" s="7">
        <f>'配方级描述符'!P7</f>
        <v/>
      </c>
      <c r="V17" s="7">
        <f>'配方级描述符'!Q7</f>
        <v/>
      </c>
      <c r="W17" s="7">
        <f>'配方级描述符'!R7</f>
        <v/>
      </c>
      <c r="X17" s="7">
        <f>'配方级描述符'!S7</f>
        <v/>
      </c>
      <c r="Y17" s="7">
        <f>'配方级描述符'!T7</f>
        <v/>
      </c>
      <c r="Z17" s="7">
        <f>'配方级描述符'!U7</f>
        <v/>
      </c>
      <c r="AA17" s="7">
        <f>'配方级描述符'!V7</f>
        <v/>
      </c>
      <c r="AB17" s="7">
        <f>'配方级描述符'!W7</f>
        <v/>
      </c>
      <c r="AC17" s="7">
        <f>'配方级描述符'!X7</f>
        <v/>
      </c>
      <c r="AD17" s="7">
        <f>'配方级描述符'!Y7</f>
        <v/>
      </c>
      <c r="AE17" s="7">
        <f>'配方级描述符'!Z7</f>
        <v/>
      </c>
      <c r="AF17" s="7">
        <f>'配方级描述符'!AA7</f>
        <v/>
      </c>
      <c r="AG17" s="7">
        <f>'配方级描述符'!AB7</f>
        <v/>
      </c>
      <c r="AH17" s="7">
        <f>'配方级描述符'!AC7</f>
        <v/>
      </c>
      <c r="AI17" s="7">
        <f>'配方级描述符'!AD7</f>
        <v/>
      </c>
      <c r="AJ17" s="7">
        <f>'配方级描述符'!AE7</f>
        <v/>
      </c>
      <c r="AK17" s="7">
        <f>'配方级描述符'!AF7</f>
        <v/>
      </c>
      <c r="AL17" s="7">
        <f>'配方级描述符'!AG7</f>
        <v/>
      </c>
      <c r="AM17" s="7">
        <f>'配方级描述符'!AH7</f>
        <v/>
      </c>
      <c r="AN17" s="7">
        <f>'配方级描述符'!AI7</f>
        <v/>
      </c>
      <c r="AO17" s="7">
        <f>'配方级描述符'!AJ7</f>
        <v/>
      </c>
      <c r="AP17" s="7">
        <f>'配方级描述符'!AK7</f>
        <v/>
      </c>
      <c r="AQ17" s="7">
        <f>'配方级描述符'!AL7</f>
        <v/>
      </c>
      <c r="AR17" s="7">
        <f>'配方级描述符'!AM7</f>
        <v/>
      </c>
      <c r="AS17" s="7">
        <f>'配方级描述符'!AN7</f>
        <v/>
      </c>
      <c r="AT17" s="7">
        <f>'配方级描述符'!AO7</f>
        <v/>
      </c>
      <c r="AU17" s="7">
        <f>'配方级描述符'!AP7</f>
        <v/>
      </c>
      <c r="AV17" s="7">
        <f>'配方级描述符'!AQ7</f>
        <v/>
      </c>
      <c r="AW17" s="7">
        <f>'配方级描述符'!AR7</f>
        <v/>
      </c>
      <c r="AX17" s="7">
        <f>'配方级描述符'!AS7</f>
        <v/>
      </c>
      <c r="AY17" s="7">
        <f>'配方级描述符'!AT7</f>
        <v/>
      </c>
      <c r="AZ17" s="7">
        <f>'配方级描述符'!AU7</f>
        <v/>
      </c>
      <c r="BA17" s="7">
        <f>'配方级描述符'!AV7</f>
        <v/>
      </c>
    </row>
    <row r="18">
      <c r="A18" s="6" t="inlineStr">
        <is>
          <t>ORG-0001</t>
        </is>
      </c>
      <c r="B18" s="6" t="inlineStr">
        <is>
          <t>ORG-A</t>
        </is>
      </c>
      <c r="C18" s="6" t="inlineStr">
        <is>
          <t>有机</t>
        </is>
      </c>
      <c r="D18" s="6">
        <f>IFERROR(INDEX('性能结果'!$F:$F,MATCH(1,('性能结果'!$A:$A=$A18)*('性能结果'!$C:$C=$E18),0)),"")</f>
        <v/>
      </c>
      <c r="E18" s="6" t="inlineStr">
        <is>
          <t>MEK擦拭</t>
        </is>
      </c>
      <c r="F18" s="5">
        <f>IFERROR(INDEX('性能结果'!$D:$D,MATCH(1,('性能结果'!$A:$A=$A18)*('性能结果'!$C:$C=$E18),0)),"")</f>
        <v/>
      </c>
      <c r="G18" s="6" t="inlineStr"/>
      <c r="H18" s="6" t="inlineStr"/>
      <c r="I18" s="6">
        <f>'配方级描述符'!D7</f>
        <v/>
      </c>
      <c r="J18" s="6">
        <f>'配方级描述符'!E7</f>
        <v/>
      </c>
      <c r="K18" s="6">
        <f>'配方级描述符'!F7</f>
        <v/>
      </c>
      <c r="L18" s="6">
        <f>'配方级描述符'!G7</f>
        <v/>
      </c>
      <c r="M18" s="6">
        <f>'配方级描述符'!H7</f>
        <v/>
      </c>
      <c r="N18" s="6">
        <f>'配方级描述符'!I7</f>
        <v/>
      </c>
      <c r="O18" s="6">
        <f>'配方级描述符'!J7</f>
        <v/>
      </c>
      <c r="P18" s="6">
        <f>'配方级描述符'!K7</f>
        <v/>
      </c>
      <c r="Q18" s="6">
        <f>'配方级描述符'!L7</f>
        <v/>
      </c>
      <c r="R18" s="6">
        <f>'配方级描述符'!M7</f>
        <v/>
      </c>
      <c r="S18" s="6">
        <f>'配方级描述符'!N7</f>
        <v/>
      </c>
      <c r="T18" s="6">
        <f>'配方级描述符'!O7</f>
        <v/>
      </c>
      <c r="U18" s="6">
        <f>'配方级描述符'!P7</f>
        <v/>
      </c>
      <c r="V18" s="6">
        <f>'配方级描述符'!Q7</f>
        <v/>
      </c>
      <c r="W18" s="6">
        <f>'配方级描述符'!R7</f>
        <v/>
      </c>
      <c r="X18" s="6">
        <f>'配方级描述符'!S7</f>
        <v/>
      </c>
      <c r="Y18" s="6">
        <f>'配方级描述符'!T7</f>
        <v/>
      </c>
      <c r="Z18" s="6">
        <f>'配方级描述符'!U7</f>
        <v/>
      </c>
      <c r="AA18" s="6">
        <f>'配方级描述符'!V7</f>
        <v/>
      </c>
      <c r="AB18" s="6">
        <f>'配方级描述符'!W7</f>
        <v/>
      </c>
      <c r="AC18" s="6">
        <f>'配方级描述符'!X7</f>
        <v/>
      </c>
      <c r="AD18" s="6">
        <f>'配方级描述符'!Y7</f>
        <v/>
      </c>
      <c r="AE18" s="6">
        <f>'配方级描述符'!Z7</f>
        <v/>
      </c>
      <c r="AF18" s="6">
        <f>'配方级描述符'!AA7</f>
        <v/>
      </c>
      <c r="AG18" s="6">
        <f>'配方级描述符'!AB7</f>
        <v/>
      </c>
      <c r="AH18" s="6">
        <f>'配方级描述符'!AC7</f>
        <v/>
      </c>
      <c r="AI18" s="6">
        <f>'配方级描述符'!AD7</f>
        <v/>
      </c>
      <c r="AJ18" s="6">
        <f>'配方级描述符'!AE7</f>
        <v/>
      </c>
      <c r="AK18" s="6">
        <f>'配方级描述符'!AF7</f>
        <v/>
      </c>
      <c r="AL18" s="6">
        <f>'配方级描述符'!AG7</f>
        <v/>
      </c>
      <c r="AM18" s="6">
        <f>'配方级描述符'!AH7</f>
        <v/>
      </c>
      <c r="AN18" s="6">
        <f>'配方级描述符'!AI7</f>
        <v/>
      </c>
      <c r="AO18" s="6">
        <f>'配方级描述符'!AJ7</f>
        <v/>
      </c>
      <c r="AP18" s="6">
        <f>'配方级描述符'!AK7</f>
        <v/>
      </c>
      <c r="AQ18" s="6">
        <f>'配方级描述符'!AL7</f>
        <v/>
      </c>
      <c r="AR18" s="6">
        <f>'配方级描述符'!AM7</f>
        <v/>
      </c>
      <c r="AS18" s="6">
        <f>'配方级描述符'!AN7</f>
        <v/>
      </c>
      <c r="AT18" s="6">
        <f>'配方级描述符'!AO7</f>
        <v/>
      </c>
      <c r="AU18" s="6">
        <f>'配方级描述符'!AP7</f>
        <v/>
      </c>
      <c r="AV18" s="6">
        <f>'配方级描述符'!AQ7</f>
        <v/>
      </c>
      <c r="AW18" s="6">
        <f>'配方级描述符'!AR7</f>
        <v/>
      </c>
      <c r="AX18" s="6">
        <f>'配方级描述符'!AS7</f>
        <v/>
      </c>
      <c r="AY18" s="6">
        <f>'配方级描述符'!AT7</f>
        <v/>
      </c>
      <c r="AZ18" s="6">
        <f>'配方级描述符'!AU7</f>
        <v/>
      </c>
      <c r="BA18" s="6">
        <f>'配方级描述符'!AV7</f>
        <v/>
      </c>
    </row>
    <row r="19">
      <c r="A19" s="7" t="inlineStr">
        <is>
          <t>ORG-0001</t>
        </is>
      </c>
      <c r="B19" s="7" t="inlineStr">
        <is>
          <t>ORG-A</t>
        </is>
      </c>
      <c r="C19" s="7" t="inlineStr">
        <is>
          <t>有机</t>
        </is>
      </c>
      <c r="D19" s="7">
        <f>IFERROR(INDEX('性能结果'!$F:$F,MATCH(1,('性能结果'!$A:$A=$A19)*('性能结果'!$C:$C=$E19),0)),"")</f>
        <v/>
      </c>
      <c r="E19" s="7" t="inlineStr">
        <is>
          <t>水煮等级</t>
        </is>
      </c>
      <c r="F19" s="5">
        <f>IFERROR(INDEX('性能结果'!$D:$D,MATCH(1,('性能结果'!$A:$A=$A19)*('性能结果'!$C:$C=$E19),0)),"")</f>
        <v/>
      </c>
      <c r="G19" s="7" t="inlineStr"/>
      <c r="H19" s="7" t="inlineStr"/>
      <c r="I19" s="7">
        <f>'配方级描述符'!D7</f>
        <v/>
      </c>
      <c r="J19" s="7">
        <f>'配方级描述符'!E7</f>
        <v/>
      </c>
      <c r="K19" s="7">
        <f>'配方级描述符'!F7</f>
        <v/>
      </c>
      <c r="L19" s="7">
        <f>'配方级描述符'!G7</f>
        <v/>
      </c>
      <c r="M19" s="7">
        <f>'配方级描述符'!H7</f>
        <v/>
      </c>
      <c r="N19" s="7">
        <f>'配方级描述符'!I7</f>
        <v/>
      </c>
      <c r="O19" s="7">
        <f>'配方级描述符'!J7</f>
        <v/>
      </c>
      <c r="P19" s="7">
        <f>'配方级描述符'!K7</f>
        <v/>
      </c>
      <c r="Q19" s="7">
        <f>'配方级描述符'!L7</f>
        <v/>
      </c>
      <c r="R19" s="7">
        <f>'配方级描述符'!M7</f>
        <v/>
      </c>
      <c r="S19" s="7">
        <f>'配方级描述符'!N7</f>
        <v/>
      </c>
      <c r="T19" s="7">
        <f>'配方级描述符'!O7</f>
        <v/>
      </c>
      <c r="U19" s="7">
        <f>'配方级描述符'!P7</f>
        <v/>
      </c>
      <c r="V19" s="7">
        <f>'配方级描述符'!Q7</f>
        <v/>
      </c>
      <c r="W19" s="7">
        <f>'配方级描述符'!R7</f>
        <v/>
      </c>
      <c r="X19" s="7">
        <f>'配方级描述符'!S7</f>
        <v/>
      </c>
      <c r="Y19" s="7">
        <f>'配方级描述符'!T7</f>
        <v/>
      </c>
      <c r="Z19" s="7">
        <f>'配方级描述符'!U7</f>
        <v/>
      </c>
      <c r="AA19" s="7">
        <f>'配方级描述符'!V7</f>
        <v/>
      </c>
      <c r="AB19" s="7">
        <f>'配方级描述符'!W7</f>
        <v/>
      </c>
      <c r="AC19" s="7">
        <f>'配方级描述符'!X7</f>
        <v/>
      </c>
      <c r="AD19" s="7">
        <f>'配方级描述符'!Y7</f>
        <v/>
      </c>
      <c r="AE19" s="7">
        <f>'配方级描述符'!Z7</f>
        <v/>
      </c>
      <c r="AF19" s="7">
        <f>'配方级描述符'!AA7</f>
        <v/>
      </c>
      <c r="AG19" s="7">
        <f>'配方级描述符'!AB7</f>
        <v/>
      </c>
      <c r="AH19" s="7">
        <f>'配方级描述符'!AC7</f>
        <v/>
      </c>
      <c r="AI19" s="7">
        <f>'配方级描述符'!AD7</f>
        <v/>
      </c>
      <c r="AJ19" s="7">
        <f>'配方级描述符'!AE7</f>
        <v/>
      </c>
      <c r="AK19" s="7">
        <f>'配方级描述符'!AF7</f>
        <v/>
      </c>
      <c r="AL19" s="7">
        <f>'配方级描述符'!AG7</f>
        <v/>
      </c>
      <c r="AM19" s="7">
        <f>'配方级描述符'!AH7</f>
        <v/>
      </c>
      <c r="AN19" s="7">
        <f>'配方级描述符'!AI7</f>
        <v/>
      </c>
      <c r="AO19" s="7">
        <f>'配方级描述符'!AJ7</f>
        <v/>
      </c>
      <c r="AP19" s="7">
        <f>'配方级描述符'!AK7</f>
        <v/>
      </c>
      <c r="AQ19" s="7">
        <f>'配方级描述符'!AL7</f>
        <v/>
      </c>
      <c r="AR19" s="7">
        <f>'配方级描述符'!AM7</f>
        <v/>
      </c>
      <c r="AS19" s="7">
        <f>'配方级描述符'!AN7</f>
        <v/>
      </c>
      <c r="AT19" s="7">
        <f>'配方级描述符'!AO7</f>
        <v/>
      </c>
      <c r="AU19" s="7">
        <f>'配方级描述符'!AP7</f>
        <v/>
      </c>
      <c r="AV19" s="7">
        <f>'配方级描述符'!AQ7</f>
        <v/>
      </c>
      <c r="AW19" s="7">
        <f>'配方级描述符'!AR7</f>
        <v/>
      </c>
      <c r="AX19" s="7">
        <f>'配方级描述符'!AS7</f>
        <v/>
      </c>
      <c r="AY19" s="7">
        <f>'配方级描述符'!AT7</f>
        <v/>
      </c>
      <c r="AZ19" s="7">
        <f>'配方级描述符'!AU7</f>
        <v/>
      </c>
      <c r="BA19" s="7">
        <f>'配方级描述符'!AV7</f>
        <v/>
      </c>
    </row>
    <row r="20">
      <c r="A20" s="6" t="inlineStr">
        <is>
          <t>ORG-0002</t>
        </is>
      </c>
      <c r="B20" s="6" t="inlineStr">
        <is>
          <t>ORG-A</t>
        </is>
      </c>
      <c r="C20" s="6" t="inlineStr">
        <is>
          <t>有机</t>
        </is>
      </c>
      <c r="D20" s="6">
        <f>IFERROR(INDEX('性能结果'!$F:$F,MATCH(1,('性能结果'!$A:$A=$A20)*('性能结果'!$C:$C=$E20),0)),"")</f>
        <v/>
      </c>
      <c r="E20" s="6" t="inlineStr">
        <is>
          <t>T弯</t>
        </is>
      </c>
      <c r="F20" s="5">
        <f>IFERROR(INDEX('性能结果'!$D:$D,MATCH(1,('性能结果'!$A:$A=$A20)*('性能结果'!$C:$C=$E20),0)),"")</f>
        <v/>
      </c>
      <c r="G20" s="6" t="inlineStr"/>
      <c r="H20" s="6" t="inlineStr"/>
      <c r="I20" s="6">
        <f>'配方级描述符'!D8</f>
        <v/>
      </c>
      <c r="J20" s="6">
        <f>'配方级描述符'!E8</f>
        <v/>
      </c>
      <c r="K20" s="6">
        <f>'配方级描述符'!F8</f>
        <v/>
      </c>
      <c r="L20" s="6">
        <f>'配方级描述符'!G8</f>
        <v/>
      </c>
      <c r="M20" s="6">
        <f>'配方级描述符'!H8</f>
        <v/>
      </c>
      <c r="N20" s="6">
        <f>'配方级描述符'!I8</f>
        <v/>
      </c>
      <c r="O20" s="6">
        <f>'配方级描述符'!J8</f>
        <v/>
      </c>
      <c r="P20" s="6">
        <f>'配方级描述符'!K8</f>
        <v/>
      </c>
      <c r="Q20" s="6">
        <f>'配方级描述符'!L8</f>
        <v/>
      </c>
      <c r="R20" s="6">
        <f>'配方级描述符'!M8</f>
        <v/>
      </c>
      <c r="S20" s="6">
        <f>'配方级描述符'!N8</f>
        <v/>
      </c>
      <c r="T20" s="6">
        <f>'配方级描述符'!O8</f>
        <v/>
      </c>
      <c r="U20" s="6">
        <f>'配方级描述符'!P8</f>
        <v/>
      </c>
      <c r="V20" s="6">
        <f>'配方级描述符'!Q8</f>
        <v/>
      </c>
      <c r="W20" s="6">
        <f>'配方级描述符'!R8</f>
        <v/>
      </c>
      <c r="X20" s="6">
        <f>'配方级描述符'!S8</f>
        <v/>
      </c>
      <c r="Y20" s="6">
        <f>'配方级描述符'!T8</f>
        <v/>
      </c>
      <c r="Z20" s="6">
        <f>'配方级描述符'!U8</f>
        <v/>
      </c>
      <c r="AA20" s="6">
        <f>'配方级描述符'!V8</f>
        <v/>
      </c>
      <c r="AB20" s="6">
        <f>'配方级描述符'!W8</f>
        <v/>
      </c>
      <c r="AC20" s="6">
        <f>'配方级描述符'!X8</f>
        <v/>
      </c>
      <c r="AD20" s="6">
        <f>'配方级描述符'!Y8</f>
        <v/>
      </c>
      <c r="AE20" s="6">
        <f>'配方级描述符'!Z8</f>
        <v/>
      </c>
      <c r="AF20" s="6">
        <f>'配方级描述符'!AA8</f>
        <v/>
      </c>
      <c r="AG20" s="6">
        <f>'配方级描述符'!AB8</f>
        <v/>
      </c>
      <c r="AH20" s="6">
        <f>'配方级描述符'!AC8</f>
        <v/>
      </c>
      <c r="AI20" s="6">
        <f>'配方级描述符'!AD8</f>
        <v/>
      </c>
      <c r="AJ20" s="6">
        <f>'配方级描述符'!AE8</f>
        <v/>
      </c>
      <c r="AK20" s="6">
        <f>'配方级描述符'!AF8</f>
        <v/>
      </c>
      <c r="AL20" s="6">
        <f>'配方级描述符'!AG8</f>
        <v/>
      </c>
      <c r="AM20" s="6">
        <f>'配方级描述符'!AH8</f>
        <v/>
      </c>
      <c r="AN20" s="6">
        <f>'配方级描述符'!AI8</f>
        <v/>
      </c>
      <c r="AO20" s="6">
        <f>'配方级描述符'!AJ8</f>
        <v/>
      </c>
      <c r="AP20" s="6">
        <f>'配方级描述符'!AK8</f>
        <v/>
      </c>
      <c r="AQ20" s="6">
        <f>'配方级描述符'!AL8</f>
        <v/>
      </c>
      <c r="AR20" s="6">
        <f>'配方级描述符'!AM8</f>
        <v/>
      </c>
      <c r="AS20" s="6">
        <f>'配方级描述符'!AN8</f>
        <v/>
      </c>
      <c r="AT20" s="6">
        <f>'配方级描述符'!AO8</f>
        <v/>
      </c>
      <c r="AU20" s="6">
        <f>'配方级描述符'!AP8</f>
        <v/>
      </c>
      <c r="AV20" s="6">
        <f>'配方级描述符'!AQ8</f>
        <v/>
      </c>
      <c r="AW20" s="6">
        <f>'配方级描述符'!AR8</f>
        <v/>
      </c>
      <c r="AX20" s="6">
        <f>'配方级描述符'!AS8</f>
        <v/>
      </c>
      <c r="AY20" s="6">
        <f>'配方级描述符'!AT8</f>
        <v/>
      </c>
      <c r="AZ20" s="6">
        <f>'配方级描述符'!AU8</f>
        <v/>
      </c>
      <c r="BA20" s="6">
        <f>'配方级描述符'!AV8</f>
        <v/>
      </c>
    </row>
    <row r="21">
      <c r="A21" s="7" t="inlineStr">
        <is>
          <t>ORG-0002</t>
        </is>
      </c>
      <c r="B21" s="7" t="inlineStr">
        <is>
          <t>ORG-A</t>
        </is>
      </c>
      <c r="C21" s="7" t="inlineStr">
        <is>
          <t>有机</t>
        </is>
      </c>
      <c r="D21" s="7">
        <f>IFERROR(INDEX('性能结果'!$F:$F,MATCH(1,('性能结果'!$A:$A=$A21)*('性能结果'!$C:$C=$E21),0)),"")</f>
        <v/>
      </c>
      <c r="E21" s="7" t="inlineStr">
        <is>
          <t>MEK擦拭</t>
        </is>
      </c>
      <c r="F21" s="5">
        <f>IFERROR(INDEX('性能结果'!$D:$D,MATCH(1,('性能结果'!$A:$A=$A21)*('性能结果'!$C:$C=$E21),0)),"")</f>
        <v/>
      </c>
      <c r="G21" s="7" t="inlineStr"/>
      <c r="H21" s="7" t="inlineStr"/>
      <c r="I21" s="7">
        <f>'配方级描述符'!D8</f>
        <v/>
      </c>
      <c r="J21" s="7">
        <f>'配方级描述符'!E8</f>
        <v/>
      </c>
      <c r="K21" s="7">
        <f>'配方级描述符'!F8</f>
        <v/>
      </c>
      <c r="L21" s="7">
        <f>'配方级描述符'!G8</f>
        <v/>
      </c>
      <c r="M21" s="7">
        <f>'配方级描述符'!H8</f>
        <v/>
      </c>
      <c r="N21" s="7">
        <f>'配方级描述符'!I8</f>
        <v/>
      </c>
      <c r="O21" s="7">
        <f>'配方级描述符'!J8</f>
        <v/>
      </c>
      <c r="P21" s="7">
        <f>'配方级描述符'!K8</f>
        <v/>
      </c>
      <c r="Q21" s="7">
        <f>'配方级描述符'!L8</f>
        <v/>
      </c>
      <c r="R21" s="7">
        <f>'配方级描述符'!M8</f>
        <v/>
      </c>
      <c r="S21" s="7">
        <f>'配方级描述符'!N8</f>
        <v/>
      </c>
      <c r="T21" s="7">
        <f>'配方级描述符'!O8</f>
        <v/>
      </c>
      <c r="U21" s="7">
        <f>'配方级描述符'!P8</f>
        <v/>
      </c>
      <c r="V21" s="7">
        <f>'配方级描述符'!Q8</f>
        <v/>
      </c>
      <c r="W21" s="7">
        <f>'配方级描述符'!R8</f>
        <v/>
      </c>
      <c r="X21" s="7">
        <f>'配方级描述符'!S8</f>
        <v/>
      </c>
      <c r="Y21" s="7">
        <f>'配方级描述符'!T8</f>
        <v/>
      </c>
      <c r="Z21" s="7">
        <f>'配方级描述符'!U8</f>
        <v/>
      </c>
      <c r="AA21" s="7">
        <f>'配方级描述符'!V8</f>
        <v/>
      </c>
      <c r="AB21" s="7">
        <f>'配方级描述符'!W8</f>
        <v/>
      </c>
      <c r="AC21" s="7">
        <f>'配方级描述符'!X8</f>
        <v/>
      </c>
      <c r="AD21" s="7">
        <f>'配方级描述符'!Y8</f>
        <v/>
      </c>
      <c r="AE21" s="7">
        <f>'配方级描述符'!Z8</f>
        <v/>
      </c>
      <c r="AF21" s="7">
        <f>'配方级描述符'!AA8</f>
        <v/>
      </c>
      <c r="AG21" s="7">
        <f>'配方级描述符'!AB8</f>
        <v/>
      </c>
      <c r="AH21" s="7">
        <f>'配方级描述符'!AC8</f>
        <v/>
      </c>
      <c r="AI21" s="7">
        <f>'配方级描述符'!AD8</f>
        <v/>
      </c>
      <c r="AJ21" s="7">
        <f>'配方级描述符'!AE8</f>
        <v/>
      </c>
      <c r="AK21" s="7">
        <f>'配方级描述符'!AF8</f>
        <v/>
      </c>
      <c r="AL21" s="7">
        <f>'配方级描述符'!AG8</f>
        <v/>
      </c>
      <c r="AM21" s="7">
        <f>'配方级描述符'!AH8</f>
        <v/>
      </c>
      <c r="AN21" s="7">
        <f>'配方级描述符'!AI8</f>
        <v/>
      </c>
      <c r="AO21" s="7">
        <f>'配方级描述符'!AJ8</f>
        <v/>
      </c>
      <c r="AP21" s="7">
        <f>'配方级描述符'!AK8</f>
        <v/>
      </c>
      <c r="AQ21" s="7">
        <f>'配方级描述符'!AL8</f>
        <v/>
      </c>
      <c r="AR21" s="7">
        <f>'配方级描述符'!AM8</f>
        <v/>
      </c>
      <c r="AS21" s="7">
        <f>'配方级描述符'!AN8</f>
        <v/>
      </c>
      <c r="AT21" s="7">
        <f>'配方级描述符'!AO8</f>
        <v/>
      </c>
      <c r="AU21" s="7">
        <f>'配方级描述符'!AP8</f>
        <v/>
      </c>
      <c r="AV21" s="7">
        <f>'配方级描述符'!AQ8</f>
        <v/>
      </c>
      <c r="AW21" s="7">
        <f>'配方级描述符'!AR8</f>
        <v/>
      </c>
      <c r="AX21" s="7">
        <f>'配方级描述符'!AS8</f>
        <v/>
      </c>
      <c r="AY21" s="7">
        <f>'配方级描述符'!AT8</f>
        <v/>
      </c>
      <c r="AZ21" s="7">
        <f>'配方级描述符'!AU8</f>
        <v/>
      </c>
      <c r="BA21" s="7">
        <f>'配方级描述符'!AV8</f>
        <v/>
      </c>
    </row>
    <row r="22">
      <c r="A22" s="6" t="inlineStr">
        <is>
          <t>ORG-0002</t>
        </is>
      </c>
      <c r="B22" s="6" t="inlineStr">
        <is>
          <t>ORG-A</t>
        </is>
      </c>
      <c r="C22" s="6" t="inlineStr">
        <is>
          <t>有机</t>
        </is>
      </c>
      <c r="D22" s="6">
        <f>IFERROR(INDEX('性能结果'!$F:$F,MATCH(1,('性能结果'!$A:$A=$A22)*('性能结果'!$C:$C=$E22),0)),"")</f>
        <v/>
      </c>
      <c r="E22" s="6" t="inlineStr">
        <is>
          <t>水煮等级</t>
        </is>
      </c>
      <c r="F22" s="5">
        <f>IFERROR(INDEX('性能结果'!$D:$D,MATCH(1,('性能结果'!$A:$A=$A22)*('性能结果'!$C:$C=$E22),0)),"")</f>
        <v/>
      </c>
      <c r="G22" s="6" t="inlineStr"/>
      <c r="H22" s="6" t="inlineStr"/>
      <c r="I22" s="6">
        <f>'配方级描述符'!D8</f>
        <v/>
      </c>
      <c r="J22" s="6">
        <f>'配方级描述符'!E8</f>
        <v/>
      </c>
      <c r="K22" s="6">
        <f>'配方级描述符'!F8</f>
        <v/>
      </c>
      <c r="L22" s="6">
        <f>'配方级描述符'!G8</f>
        <v/>
      </c>
      <c r="M22" s="6">
        <f>'配方级描述符'!H8</f>
        <v/>
      </c>
      <c r="N22" s="6">
        <f>'配方级描述符'!I8</f>
        <v/>
      </c>
      <c r="O22" s="6">
        <f>'配方级描述符'!J8</f>
        <v/>
      </c>
      <c r="P22" s="6">
        <f>'配方级描述符'!K8</f>
        <v/>
      </c>
      <c r="Q22" s="6">
        <f>'配方级描述符'!L8</f>
        <v/>
      </c>
      <c r="R22" s="6">
        <f>'配方级描述符'!M8</f>
        <v/>
      </c>
      <c r="S22" s="6">
        <f>'配方级描述符'!N8</f>
        <v/>
      </c>
      <c r="T22" s="6">
        <f>'配方级描述符'!O8</f>
        <v/>
      </c>
      <c r="U22" s="6">
        <f>'配方级描述符'!P8</f>
        <v/>
      </c>
      <c r="V22" s="6">
        <f>'配方级描述符'!Q8</f>
        <v/>
      </c>
      <c r="W22" s="6">
        <f>'配方级描述符'!R8</f>
        <v/>
      </c>
      <c r="X22" s="6">
        <f>'配方级描述符'!S8</f>
        <v/>
      </c>
      <c r="Y22" s="6">
        <f>'配方级描述符'!T8</f>
        <v/>
      </c>
      <c r="Z22" s="6">
        <f>'配方级描述符'!U8</f>
        <v/>
      </c>
      <c r="AA22" s="6">
        <f>'配方级描述符'!V8</f>
        <v/>
      </c>
      <c r="AB22" s="6">
        <f>'配方级描述符'!W8</f>
        <v/>
      </c>
      <c r="AC22" s="6">
        <f>'配方级描述符'!X8</f>
        <v/>
      </c>
      <c r="AD22" s="6">
        <f>'配方级描述符'!Y8</f>
        <v/>
      </c>
      <c r="AE22" s="6">
        <f>'配方级描述符'!Z8</f>
        <v/>
      </c>
      <c r="AF22" s="6">
        <f>'配方级描述符'!AA8</f>
        <v/>
      </c>
      <c r="AG22" s="6">
        <f>'配方级描述符'!AB8</f>
        <v/>
      </c>
      <c r="AH22" s="6">
        <f>'配方级描述符'!AC8</f>
        <v/>
      </c>
      <c r="AI22" s="6">
        <f>'配方级描述符'!AD8</f>
        <v/>
      </c>
      <c r="AJ22" s="6">
        <f>'配方级描述符'!AE8</f>
        <v/>
      </c>
      <c r="AK22" s="6">
        <f>'配方级描述符'!AF8</f>
        <v/>
      </c>
      <c r="AL22" s="6">
        <f>'配方级描述符'!AG8</f>
        <v/>
      </c>
      <c r="AM22" s="6">
        <f>'配方级描述符'!AH8</f>
        <v/>
      </c>
      <c r="AN22" s="6">
        <f>'配方级描述符'!AI8</f>
        <v/>
      </c>
      <c r="AO22" s="6">
        <f>'配方级描述符'!AJ8</f>
        <v/>
      </c>
      <c r="AP22" s="6">
        <f>'配方级描述符'!AK8</f>
        <v/>
      </c>
      <c r="AQ22" s="6">
        <f>'配方级描述符'!AL8</f>
        <v/>
      </c>
      <c r="AR22" s="6">
        <f>'配方级描述符'!AM8</f>
        <v/>
      </c>
      <c r="AS22" s="6">
        <f>'配方级描述符'!AN8</f>
        <v/>
      </c>
      <c r="AT22" s="6">
        <f>'配方级描述符'!AO8</f>
        <v/>
      </c>
      <c r="AU22" s="6">
        <f>'配方级描述符'!AP8</f>
        <v/>
      </c>
      <c r="AV22" s="6">
        <f>'配方级描述符'!AQ8</f>
        <v/>
      </c>
      <c r="AW22" s="6">
        <f>'配方级描述符'!AR8</f>
        <v/>
      </c>
      <c r="AX22" s="6">
        <f>'配方级描述符'!AS8</f>
        <v/>
      </c>
      <c r="AY22" s="6">
        <f>'配方级描述符'!AT8</f>
        <v/>
      </c>
      <c r="AZ22" s="6">
        <f>'配方级描述符'!AU8</f>
        <v/>
      </c>
      <c r="BA22" s="6">
        <f>'配方级描述符'!AV8</f>
        <v/>
      </c>
    </row>
    <row r="23">
      <c r="A23" s="7" t="inlineStr">
        <is>
          <t>ORG-0003</t>
        </is>
      </c>
      <c r="B23" s="7" t="inlineStr">
        <is>
          <t>ORG-B</t>
        </is>
      </c>
      <c r="C23" s="7" t="inlineStr">
        <is>
          <t>有机</t>
        </is>
      </c>
      <c r="D23" s="7">
        <f>IFERROR(INDEX('性能结果'!$F:$F,MATCH(1,('性能结果'!$A:$A=$A23)*('性能结果'!$C:$C=$E23),0)),"")</f>
        <v/>
      </c>
      <c r="E23" s="7" t="inlineStr">
        <is>
          <t>T弯</t>
        </is>
      </c>
      <c r="F23" s="5">
        <f>IFERROR(INDEX('性能结果'!$D:$D,MATCH(1,('性能结果'!$A:$A=$A23)*('性能结果'!$C:$C=$E23),0)),"")</f>
        <v/>
      </c>
      <c r="G23" s="7" t="inlineStr"/>
      <c r="H23" s="7" t="inlineStr"/>
      <c r="I23" s="7">
        <f>'配方级描述符'!D9</f>
        <v/>
      </c>
      <c r="J23" s="7">
        <f>'配方级描述符'!E9</f>
        <v/>
      </c>
      <c r="K23" s="7">
        <f>'配方级描述符'!F9</f>
        <v/>
      </c>
      <c r="L23" s="7">
        <f>'配方级描述符'!G9</f>
        <v/>
      </c>
      <c r="M23" s="7">
        <f>'配方级描述符'!H9</f>
        <v/>
      </c>
      <c r="N23" s="7">
        <f>'配方级描述符'!I9</f>
        <v/>
      </c>
      <c r="O23" s="7">
        <f>'配方级描述符'!J9</f>
        <v/>
      </c>
      <c r="P23" s="7">
        <f>'配方级描述符'!K9</f>
        <v/>
      </c>
      <c r="Q23" s="7">
        <f>'配方级描述符'!L9</f>
        <v/>
      </c>
      <c r="R23" s="7">
        <f>'配方级描述符'!M9</f>
        <v/>
      </c>
      <c r="S23" s="7">
        <f>'配方级描述符'!N9</f>
        <v/>
      </c>
      <c r="T23" s="7">
        <f>'配方级描述符'!O9</f>
        <v/>
      </c>
      <c r="U23" s="7">
        <f>'配方级描述符'!P9</f>
        <v/>
      </c>
      <c r="V23" s="7">
        <f>'配方级描述符'!Q9</f>
        <v/>
      </c>
      <c r="W23" s="7">
        <f>'配方级描述符'!R9</f>
        <v/>
      </c>
      <c r="X23" s="7">
        <f>'配方级描述符'!S9</f>
        <v/>
      </c>
      <c r="Y23" s="7">
        <f>'配方级描述符'!T9</f>
        <v/>
      </c>
      <c r="Z23" s="7">
        <f>'配方级描述符'!U9</f>
        <v/>
      </c>
      <c r="AA23" s="7">
        <f>'配方级描述符'!V9</f>
        <v/>
      </c>
      <c r="AB23" s="7">
        <f>'配方级描述符'!W9</f>
        <v/>
      </c>
      <c r="AC23" s="7">
        <f>'配方级描述符'!X9</f>
        <v/>
      </c>
      <c r="AD23" s="7">
        <f>'配方级描述符'!Y9</f>
        <v/>
      </c>
      <c r="AE23" s="7">
        <f>'配方级描述符'!Z9</f>
        <v/>
      </c>
      <c r="AF23" s="7">
        <f>'配方级描述符'!AA9</f>
        <v/>
      </c>
      <c r="AG23" s="7">
        <f>'配方级描述符'!AB9</f>
        <v/>
      </c>
      <c r="AH23" s="7">
        <f>'配方级描述符'!AC9</f>
        <v/>
      </c>
      <c r="AI23" s="7">
        <f>'配方级描述符'!AD9</f>
        <v/>
      </c>
      <c r="AJ23" s="7">
        <f>'配方级描述符'!AE9</f>
        <v/>
      </c>
      <c r="AK23" s="7">
        <f>'配方级描述符'!AF9</f>
        <v/>
      </c>
      <c r="AL23" s="7">
        <f>'配方级描述符'!AG9</f>
        <v/>
      </c>
      <c r="AM23" s="7">
        <f>'配方级描述符'!AH9</f>
        <v/>
      </c>
      <c r="AN23" s="7">
        <f>'配方级描述符'!AI9</f>
        <v/>
      </c>
      <c r="AO23" s="7">
        <f>'配方级描述符'!AJ9</f>
        <v/>
      </c>
      <c r="AP23" s="7">
        <f>'配方级描述符'!AK9</f>
        <v/>
      </c>
      <c r="AQ23" s="7">
        <f>'配方级描述符'!AL9</f>
        <v/>
      </c>
      <c r="AR23" s="7">
        <f>'配方级描述符'!AM9</f>
        <v/>
      </c>
      <c r="AS23" s="7">
        <f>'配方级描述符'!AN9</f>
        <v/>
      </c>
      <c r="AT23" s="7">
        <f>'配方级描述符'!AO9</f>
        <v/>
      </c>
      <c r="AU23" s="7">
        <f>'配方级描述符'!AP9</f>
        <v/>
      </c>
      <c r="AV23" s="7">
        <f>'配方级描述符'!AQ9</f>
        <v/>
      </c>
      <c r="AW23" s="7">
        <f>'配方级描述符'!AR9</f>
        <v/>
      </c>
      <c r="AX23" s="7">
        <f>'配方级描述符'!AS9</f>
        <v/>
      </c>
      <c r="AY23" s="7">
        <f>'配方级描述符'!AT9</f>
        <v/>
      </c>
      <c r="AZ23" s="7">
        <f>'配方级描述符'!AU9</f>
        <v/>
      </c>
      <c r="BA23" s="7">
        <f>'配方级描述符'!AV9</f>
        <v/>
      </c>
    </row>
    <row r="24">
      <c r="A24" s="6" t="inlineStr">
        <is>
          <t>ORG-0003</t>
        </is>
      </c>
      <c r="B24" s="6" t="inlineStr">
        <is>
          <t>ORG-B</t>
        </is>
      </c>
      <c r="C24" s="6" t="inlineStr">
        <is>
          <t>有机</t>
        </is>
      </c>
      <c r="D24" s="6">
        <f>IFERROR(INDEX('性能结果'!$F:$F,MATCH(1,('性能结果'!$A:$A=$A24)*('性能结果'!$C:$C=$E24),0)),"")</f>
        <v/>
      </c>
      <c r="E24" s="6" t="inlineStr">
        <is>
          <t>MEK擦拭</t>
        </is>
      </c>
      <c r="F24" s="5">
        <f>IFERROR(INDEX('性能结果'!$D:$D,MATCH(1,('性能结果'!$A:$A=$A24)*('性能结果'!$C:$C=$E24),0)),"")</f>
        <v/>
      </c>
      <c r="G24" s="6" t="inlineStr"/>
      <c r="H24" s="6" t="inlineStr"/>
      <c r="I24" s="6">
        <f>'配方级描述符'!D9</f>
        <v/>
      </c>
      <c r="J24" s="6">
        <f>'配方级描述符'!E9</f>
        <v/>
      </c>
      <c r="K24" s="6">
        <f>'配方级描述符'!F9</f>
        <v/>
      </c>
      <c r="L24" s="6">
        <f>'配方级描述符'!G9</f>
        <v/>
      </c>
      <c r="M24" s="6">
        <f>'配方级描述符'!H9</f>
        <v/>
      </c>
      <c r="N24" s="6">
        <f>'配方级描述符'!I9</f>
        <v/>
      </c>
      <c r="O24" s="6">
        <f>'配方级描述符'!J9</f>
        <v/>
      </c>
      <c r="P24" s="6">
        <f>'配方级描述符'!K9</f>
        <v/>
      </c>
      <c r="Q24" s="6">
        <f>'配方级描述符'!L9</f>
        <v/>
      </c>
      <c r="R24" s="6">
        <f>'配方级描述符'!M9</f>
        <v/>
      </c>
      <c r="S24" s="6">
        <f>'配方级描述符'!N9</f>
        <v/>
      </c>
      <c r="T24" s="6">
        <f>'配方级描述符'!O9</f>
        <v/>
      </c>
      <c r="U24" s="6">
        <f>'配方级描述符'!P9</f>
        <v/>
      </c>
      <c r="V24" s="6">
        <f>'配方级描述符'!Q9</f>
        <v/>
      </c>
      <c r="W24" s="6">
        <f>'配方级描述符'!R9</f>
        <v/>
      </c>
      <c r="X24" s="6">
        <f>'配方级描述符'!S9</f>
        <v/>
      </c>
      <c r="Y24" s="6">
        <f>'配方级描述符'!T9</f>
        <v/>
      </c>
      <c r="Z24" s="6">
        <f>'配方级描述符'!U9</f>
        <v/>
      </c>
      <c r="AA24" s="6">
        <f>'配方级描述符'!V9</f>
        <v/>
      </c>
      <c r="AB24" s="6">
        <f>'配方级描述符'!W9</f>
        <v/>
      </c>
      <c r="AC24" s="6">
        <f>'配方级描述符'!X9</f>
        <v/>
      </c>
      <c r="AD24" s="6">
        <f>'配方级描述符'!Y9</f>
        <v/>
      </c>
      <c r="AE24" s="6">
        <f>'配方级描述符'!Z9</f>
        <v/>
      </c>
      <c r="AF24" s="6">
        <f>'配方级描述符'!AA9</f>
        <v/>
      </c>
      <c r="AG24" s="6">
        <f>'配方级描述符'!AB9</f>
        <v/>
      </c>
      <c r="AH24" s="6">
        <f>'配方级描述符'!AC9</f>
        <v/>
      </c>
      <c r="AI24" s="6">
        <f>'配方级描述符'!AD9</f>
        <v/>
      </c>
      <c r="AJ24" s="6">
        <f>'配方级描述符'!AE9</f>
        <v/>
      </c>
      <c r="AK24" s="6">
        <f>'配方级描述符'!AF9</f>
        <v/>
      </c>
      <c r="AL24" s="6">
        <f>'配方级描述符'!AG9</f>
        <v/>
      </c>
      <c r="AM24" s="6">
        <f>'配方级描述符'!AH9</f>
        <v/>
      </c>
      <c r="AN24" s="6">
        <f>'配方级描述符'!AI9</f>
        <v/>
      </c>
      <c r="AO24" s="6">
        <f>'配方级描述符'!AJ9</f>
        <v/>
      </c>
      <c r="AP24" s="6">
        <f>'配方级描述符'!AK9</f>
        <v/>
      </c>
      <c r="AQ24" s="6">
        <f>'配方级描述符'!AL9</f>
        <v/>
      </c>
      <c r="AR24" s="6">
        <f>'配方级描述符'!AM9</f>
        <v/>
      </c>
      <c r="AS24" s="6">
        <f>'配方级描述符'!AN9</f>
        <v/>
      </c>
      <c r="AT24" s="6">
        <f>'配方级描述符'!AO9</f>
        <v/>
      </c>
      <c r="AU24" s="6">
        <f>'配方级描述符'!AP9</f>
        <v/>
      </c>
      <c r="AV24" s="6">
        <f>'配方级描述符'!AQ9</f>
        <v/>
      </c>
      <c r="AW24" s="6">
        <f>'配方级描述符'!AR9</f>
        <v/>
      </c>
      <c r="AX24" s="6">
        <f>'配方级描述符'!AS9</f>
        <v/>
      </c>
      <c r="AY24" s="6">
        <f>'配方级描述符'!AT9</f>
        <v/>
      </c>
      <c r="AZ24" s="6">
        <f>'配方级描述符'!AU9</f>
        <v/>
      </c>
      <c r="BA24" s="6">
        <f>'配方级描述符'!AV9</f>
        <v/>
      </c>
    </row>
    <row r="25">
      <c r="A25" s="7" t="inlineStr">
        <is>
          <t>ORG-0003</t>
        </is>
      </c>
      <c r="B25" s="7" t="inlineStr">
        <is>
          <t>ORG-B</t>
        </is>
      </c>
      <c r="C25" s="7" t="inlineStr">
        <is>
          <t>有机</t>
        </is>
      </c>
      <c r="D25" s="7">
        <f>IFERROR(INDEX('性能结果'!$F:$F,MATCH(1,('性能结果'!$A:$A=$A25)*('性能结果'!$C:$C=$E25),0)),"")</f>
        <v/>
      </c>
      <c r="E25" s="7" t="inlineStr">
        <is>
          <t>水煮等级</t>
        </is>
      </c>
      <c r="F25" s="5">
        <f>IFERROR(INDEX('性能结果'!$D:$D,MATCH(1,('性能结果'!$A:$A=$A25)*('性能结果'!$C:$C=$E25),0)),"")</f>
        <v/>
      </c>
      <c r="G25" s="7" t="inlineStr"/>
      <c r="H25" s="7" t="inlineStr"/>
      <c r="I25" s="7">
        <f>'配方级描述符'!D9</f>
        <v/>
      </c>
      <c r="J25" s="7">
        <f>'配方级描述符'!E9</f>
        <v/>
      </c>
      <c r="K25" s="7">
        <f>'配方级描述符'!F9</f>
        <v/>
      </c>
      <c r="L25" s="7">
        <f>'配方级描述符'!G9</f>
        <v/>
      </c>
      <c r="M25" s="7">
        <f>'配方级描述符'!H9</f>
        <v/>
      </c>
      <c r="N25" s="7">
        <f>'配方级描述符'!I9</f>
        <v/>
      </c>
      <c r="O25" s="7">
        <f>'配方级描述符'!J9</f>
        <v/>
      </c>
      <c r="P25" s="7">
        <f>'配方级描述符'!K9</f>
        <v/>
      </c>
      <c r="Q25" s="7">
        <f>'配方级描述符'!L9</f>
        <v/>
      </c>
      <c r="R25" s="7">
        <f>'配方级描述符'!M9</f>
        <v/>
      </c>
      <c r="S25" s="7">
        <f>'配方级描述符'!N9</f>
        <v/>
      </c>
      <c r="T25" s="7">
        <f>'配方级描述符'!O9</f>
        <v/>
      </c>
      <c r="U25" s="7">
        <f>'配方级描述符'!P9</f>
        <v/>
      </c>
      <c r="V25" s="7">
        <f>'配方级描述符'!Q9</f>
        <v/>
      </c>
      <c r="W25" s="7">
        <f>'配方级描述符'!R9</f>
        <v/>
      </c>
      <c r="X25" s="7">
        <f>'配方级描述符'!S9</f>
        <v/>
      </c>
      <c r="Y25" s="7">
        <f>'配方级描述符'!T9</f>
        <v/>
      </c>
      <c r="Z25" s="7">
        <f>'配方级描述符'!U9</f>
        <v/>
      </c>
      <c r="AA25" s="7">
        <f>'配方级描述符'!V9</f>
        <v/>
      </c>
      <c r="AB25" s="7">
        <f>'配方级描述符'!W9</f>
        <v/>
      </c>
      <c r="AC25" s="7">
        <f>'配方级描述符'!X9</f>
        <v/>
      </c>
      <c r="AD25" s="7">
        <f>'配方级描述符'!Y9</f>
        <v/>
      </c>
      <c r="AE25" s="7">
        <f>'配方级描述符'!Z9</f>
        <v/>
      </c>
      <c r="AF25" s="7">
        <f>'配方级描述符'!AA9</f>
        <v/>
      </c>
      <c r="AG25" s="7">
        <f>'配方级描述符'!AB9</f>
        <v/>
      </c>
      <c r="AH25" s="7">
        <f>'配方级描述符'!AC9</f>
        <v/>
      </c>
      <c r="AI25" s="7">
        <f>'配方级描述符'!AD9</f>
        <v/>
      </c>
      <c r="AJ25" s="7">
        <f>'配方级描述符'!AE9</f>
        <v/>
      </c>
      <c r="AK25" s="7">
        <f>'配方级描述符'!AF9</f>
        <v/>
      </c>
      <c r="AL25" s="7">
        <f>'配方级描述符'!AG9</f>
        <v/>
      </c>
      <c r="AM25" s="7">
        <f>'配方级描述符'!AH9</f>
        <v/>
      </c>
      <c r="AN25" s="7">
        <f>'配方级描述符'!AI9</f>
        <v/>
      </c>
      <c r="AO25" s="7">
        <f>'配方级描述符'!AJ9</f>
        <v/>
      </c>
      <c r="AP25" s="7">
        <f>'配方级描述符'!AK9</f>
        <v/>
      </c>
      <c r="AQ25" s="7">
        <f>'配方级描述符'!AL9</f>
        <v/>
      </c>
      <c r="AR25" s="7">
        <f>'配方级描述符'!AM9</f>
        <v/>
      </c>
      <c r="AS25" s="7">
        <f>'配方级描述符'!AN9</f>
        <v/>
      </c>
      <c r="AT25" s="7">
        <f>'配方级描述符'!AO9</f>
        <v/>
      </c>
      <c r="AU25" s="7">
        <f>'配方级描述符'!AP9</f>
        <v/>
      </c>
      <c r="AV25" s="7">
        <f>'配方级描述符'!AQ9</f>
        <v/>
      </c>
      <c r="AW25" s="7">
        <f>'配方级描述符'!AR9</f>
        <v/>
      </c>
      <c r="AX25" s="7">
        <f>'配方级描述符'!AS9</f>
        <v/>
      </c>
      <c r="AY25" s="7">
        <f>'配方级描述符'!AT9</f>
        <v/>
      </c>
      <c r="AZ25" s="7">
        <f>'配方级描述符'!AU9</f>
        <v/>
      </c>
      <c r="BA25" s="7">
        <f>'配方级描述符'!AV9</f>
        <v/>
      </c>
    </row>
    <row r="26">
      <c r="A26" s="6" t="inlineStr">
        <is>
          <t>PES-0001</t>
        </is>
      </c>
      <c r="B26" s="6" t="inlineStr">
        <is>
          <t>PES-A</t>
        </is>
      </c>
      <c r="C26" s="6" t="inlineStr">
        <is>
          <t>聚酯</t>
        </is>
      </c>
      <c r="D26" s="6">
        <f>IFERROR(INDEX('性能结果'!$F:$F,MATCH(1,('性能结果'!$A:$A=$A26)*('性能结果'!$C:$C=$E26),0)),"")</f>
        <v/>
      </c>
      <c r="E26" s="6" t="inlineStr">
        <is>
          <t>T弯</t>
        </is>
      </c>
      <c r="F26" s="5">
        <f>IFERROR(INDEX('性能结果'!$D:$D,MATCH(1,('性能结果'!$A:$A=$A26)*('性能结果'!$C:$C=$E26),0)),"")</f>
        <v/>
      </c>
      <c r="G26" s="6" t="inlineStr"/>
      <c r="H26" s="6" t="inlineStr"/>
      <c r="I26" s="6">
        <f>'配方级描述符'!D10</f>
        <v/>
      </c>
      <c r="J26" s="6">
        <f>'配方级描述符'!E10</f>
        <v/>
      </c>
      <c r="K26" s="6">
        <f>'配方级描述符'!F10</f>
        <v/>
      </c>
      <c r="L26" s="6">
        <f>'配方级描述符'!G10</f>
        <v/>
      </c>
      <c r="M26" s="6">
        <f>'配方级描述符'!H10</f>
        <v/>
      </c>
      <c r="N26" s="6">
        <f>'配方级描述符'!I10</f>
        <v/>
      </c>
      <c r="O26" s="6">
        <f>'配方级描述符'!J10</f>
        <v/>
      </c>
      <c r="P26" s="6">
        <f>'配方级描述符'!K10</f>
        <v/>
      </c>
      <c r="Q26" s="6">
        <f>'配方级描述符'!L10</f>
        <v/>
      </c>
      <c r="R26" s="6">
        <f>'配方级描述符'!M10</f>
        <v/>
      </c>
      <c r="S26" s="6">
        <f>'配方级描述符'!N10</f>
        <v/>
      </c>
      <c r="T26" s="6">
        <f>'配方级描述符'!O10</f>
        <v/>
      </c>
      <c r="U26" s="6">
        <f>'配方级描述符'!P10</f>
        <v/>
      </c>
      <c r="V26" s="6">
        <f>'配方级描述符'!Q10</f>
        <v/>
      </c>
      <c r="W26" s="6">
        <f>'配方级描述符'!R10</f>
        <v/>
      </c>
      <c r="X26" s="6">
        <f>'配方级描述符'!S10</f>
        <v/>
      </c>
      <c r="Y26" s="6">
        <f>'配方级描述符'!T10</f>
        <v/>
      </c>
      <c r="Z26" s="6">
        <f>'配方级描述符'!U10</f>
        <v/>
      </c>
      <c r="AA26" s="6">
        <f>'配方级描述符'!V10</f>
        <v/>
      </c>
      <c r="AB26" s="6">
        <f>'配方级描述符'!W10</f>
        <v/>
      </c>
      <c r="AC26" s="6">
        <f>'配方级描述符'!X10</f>
        <v/>
      </c>
      <c r="AD26" s="6">
        <f>'配方级描述符'!Y10</f>
        <v/>
      </c>
      <c r="AE26" s="6">
        <f>'配方级描述符'!Z10</f>
        <v/>
      </c>
      <c r="AF26" s="6">
        <f>'配方级描述符'!AA10</f>
        <v/>
      </c>
      <c r="AG26" s="6">
        <f>'配方级描述符'!AB10</f>
        <v/>
      </c>
      <c r="AH26" s="6">
        <f>'配方级描述符'!AC10</f>
        <v/>
      </c>
      <c r="AI26" s="6">
        <f>'配方级描述符'!AD10</f>
        <v/>
      </c>
      <c r="AJ26" s="6">
        <f>'配方级描述符'!AE10</f>
        <v/>
      </c>
      <c r="AK26" s="6">
        <f>'配方级描述符'!AF10</f>
        <v/>
      </c>
      <c r="AL26" s="6">
        <f>'配方级描述符'!AG10</f>
        <v/>
      </c>
      <c r="AM26" s="6">
        <f>'配方级描述符'!AH10</f>
        <v/>
      </c>
      <c r="AN26" s="6">
        <f>'配方级描述符'!AI10</f>
        <v/>
      </c>
      <c r="AO26" s="6">
        <f>'配方级描述符'!AJ10</f>
        <v/>
      </c>
      <c r="AP26" s="6">
        <f>'配方级描述符'!AK10</f>
        <v/>
      </c>
      <c r="AQ26" s="6">
        <f>'配方级描述符'!AL10</f>
        <v/>
      </c>
      <c r="AR26" s="6">
        <f>'配方级描述符'!AM10</f>
        <v/>
      </c>
      <c r="AS26" s="6">
        <f>'配方级描述符'!AN10</f>
        <v/>
      </c>
      <c r="AT26" s="6">
        <f>'配方级描述符'!AO10</f>
        <v/>
      </c>
      <c r="AU26" s="6">
        <f>'配方级描述符'!AP10</f>
        <v/>
      </c>
      <c r="AV26" s="6">
        <f>'配方级描述符'!AQ10</f>
        <v/>
      </c>
      <c r="AW26" s="6">
        <f>'配方级描述符'!AR10</f>
        <v/>
      </c>
      <c r="AX26" s="6">
        <f>'配方级描述符'!AS10</f>
        <v/>
      </c>
      <c r="AY26" s="6">
        <f>'配方级描述符'!AT10</f>
        <v/>
      </c>
      <c r="AZ26" s="6">
        <f>'配方级描述符'!AU10</f>
        <v/>
      </c>
      <c r="BA26" s="6">
        <f>'配方级描述符'!AV10</f>
        <v/>
      </c>
    </row>
    <row r="27">
      <c r="A27" s="7" t="inlineStr">
        <is>
          <t>PES-0001</t>
        </is>
      </c>
      <c r="B27" s="7" t="inlineStr">
        <is>
          <t>PES-A</t>
        </is>
      </c>
      <c r="C27" s="7" t="inlineStr">
        <is>
          <t>聚酯</t>
        </is>
      </c>
      <c r="D27" s="7">
        <f>IFERROR(INDEX('性能结果'!$F:$F,MATCH(1,('性能结果'!$A:$A=$A27)*('性能结果'!$C:$C=$E27),0)),"")</f>
        <v/>
      </c>
      <c r="E27" s="7" t="inlineStr">
        <is>
          <t>MEK擦拭</t>
        </is>
      </c>
      <c r="F27" s="5">
        <f>IFERROR(INDEX('性能结果'!$D:$D,MATCH(1,('性能结果'!$A:$A=$A27)*('性能结果'!$C:$C=$E27),0)),"")</f>
        <v/>
      </c>
      <c r="G27" s="7" t="inlineStr"/>
      <c r="H27" s="7" t="inlineStr"/>
      <c r="I27" s="7">
        <f>'配方级描述符'!D10</f>
        <v/>
      </c>
      <c r="J27" s="7">
        <f>'配方级描述符'!E10</f>
        <v/>
      </c>
      <c r="K27" s="7">
        <f>'配方级描述符'!F10</f>
        <v/>
      </c>
      <c r="L27" s="7">
        <f>'配方级描述符'!G10</f>
        <v/>
      </c>
      <c r="M27" s="7">
        <f>'配方级描述符'!H10</f>
        <v/>
      </c>
      <c r="N27" s="7">
        <f>'配方级描述符'!I10</f>
        <v/>
      </c>
      <c r="O27" s="7">
        <f>'配方级描述符'!J10</f>
        <v/>
      </c>
      <c r="P27" s="7">
        <f>'配方级描述符'!K10</f>
        <v/>
      </c>
      <c r="Q27" s="7">
        <f>'配方级描述符'!L10</f>
        <v/>
      </c>
      <c r="R27" s="7">
        <f>'配方级描述符'!M10</f>
        <v/>
      </c>
      <c r="S27" s="7">
        <f>'配方级描述符'!N10</f>
        <v/>
      </c>
      <c r="T27" s="7">
        <f>'配方级描述符'!O10</f>
        <v/>
      </c>
      <c r="U27" s="7">
        <f>'配方级描述符'!P10</f>
        <v/>
      </c>
      <c r="V27" s="7">
        <f>'配方级描述符'!Q10</f>
        <v/>
      </c>
      <c r="W27" s="7">
        <f>'配方级描述符'!R10</f>
        <v/>
      </c>
      <c r="X27" s="7">
        <f>'配方级描述符'!S10</f>
        <v/>
      </c>
      <c r="Y27" s="7">
        <f>'配方级描述符'!T10</f>
        <v/>
      </c>
      <c r="Z27" s="7">
        <f>'配方级描述符'!U10</f>
        <v/>
      </c>
      <c r="AA27" s="7">
        <f>'配方级描述符'!V10</f>
        <v/>
      </c>
      <c r="AB27" s="7">
        <f>'配方级描述符'!W10</f>
        <v/>
      </c>
      <c r="AC27" s="7">
        <f>'配方级描述符'!X10</f>
        <v/>
      </c>
      <c r="AD27" s="7">
        <f>'配方级描述符'!Y10</f>
        <v/>
      </c>
      <c r="AE27" s="7">
        <f>'配方级描述符'!Z10</f>
        <v/>
      </c>
      <c r="AF27" s="7">
        <f>'配方级描述符'!AA10</f>
        <v/>
      </c>
      <c r="AG27" s="7">
        <f>'配方级描述符'!AB10</f>
        <v/>
      </c>
      <c r="AH27" s="7">
        <f>'配方级描述符'!AC10</f>
        <v/>
      </c>
      <c r="AI27" s="7">
        <f>'配方级描述符'!AD10</f>
        <v/>
      </c>
      <c r="AJ27" s="7">
        <f>'配方级描述符'!AE10</f>
        <v/>
      </c>
      <c r="AK27" s="7">
        <f>'配方级描述符'!AF10</f>
        <v/>
      </c>
      <c r="AL27" s="7">
        <f>'配方级描述符'!AG10</f>
        <v/>
      </c>
      <c r="AM27" s="7">
        <f>'配方级描述符'!AH10</f>
        <v/>
      </c>
      <c r="AN27" s="7">
        <f>'配方级描述符'!AI10</f>
        <v/>
      </c>
      <c r="AO27" s="7">
        <f>'配方级描述符'!AJ10</f>
        <v/>
      </c>
      <c r="AP27" s="7">
        <f>'配方级描述符'!AK10</f>
        <v/>
      </c>
      <c r="AQ27" s="7">
        <f>'配方级描述符'!AL10</f>
        <v/>
      </c>
      <c r="AR27" s="7">
        <f>'配方级描述符'!AM10</f>
        <v/>
      </c>
      <c r="AS27" s="7">
        <f>'配方级描述符'!AN10</f>
        <v/>
      </c>
      <c r="AT27" s="7">
        <f>'配方级描述符'!AO10</f>
        <v/>
      </c>
      <c r="AU27" s="7">
        <f>'配方级描述符'!AP10</f>
        <v/>
      </c>
      <c r="AV27" s="7">
        <f>'配方级描述符'!AQ10</f>
        <v/>
      </c>
      <c r="AW27" s="7">
        <f>'配方级描述符'!AR10</f>
        <v/>
      </c>
      <c r="AX27" s="7">
        <f>'配方级描述符'!AS10</f>
        <v/>
      </c>
      <c r="AY27" s="7">
        <f>'配方级描述符'!AT10</f>
        <v/>
      </c>
      <c r="AZ27" s="7">
        <f>'配方级描述符'!AU10</f>
        <v/>
      </c>
      <c r="BA27" s="7">
        <f>'配方级描述符'!AV10</f>
        <v/>
      </c>
    </row>
    <row r="28">
      <c r="A28" s="6" t="inlineStr">
        <is>
          <t>PES-0001</t>
        </is>
      </c>
      <c r="B28" s="6" t="inlineStr">
        <is>
          <t>PES-A</t>
        </is>
      </c>
      <c r="C28" s="6" t="inlineStr">
        <is>
          <t>聚酯</t>
        </is>
      </c>
      <c r="D28" s="6">
        <f>IFERROR(INDEX('性能结果'!$F:$F,MATCH(1,('性能结果'!$A:$A=$A28)*('性能结果'!$C:$C=$E28),0)),"")</f>
        <v/>
      </c>
      <c r="E28" s="6" t="inlineStr">
        <is>
          <t>水煮等级</t>
        </is>
      </c>
      <c r="F28" s="5">
        <f>IFERROR(INDEX('性能结果'!$D:$D,MATCH(1,('性能结果'!$A:$A=$A28)*('性能结果'!$C:$C=$E28),0)),"")</f>
        <v/>
      </c>
      <c r="G28" s="6" t="inlineStr"/>
      <c r="H28" s="6" t="inlineStr"/>
      <c r="I28" s="6">
        <f>'配方级描述符'!D10</f>
        <v/>
      </c>
      <c r="J28" s="6">
        <f>'配方级描述符'!E10</f>
        <v/>
      </c>
      <c r="K28" s="6">
        <f>'配方级描述符'!F10</f>
        <v/>
      </c>
      <c r="L28" s="6">
        <f>'配方级描述符'!G10</f>
        <v/>
      </c>
      <c r="M28" s="6">
        <f>'配方级描述符'!H10</f>
        <v/>
      </c>
      <c r="N28" s="6">
        <f>'配方级描述符'!I10</f>
        <v/>
      </c>
      <c r="O28" s="6">
        <f>'配方级描述符'!J10</f>
        <v/>
      </c>
      <c r="P28" s="6">
        <f>'配方级描述符'!K10</f>
        <v/>
      </c>
      <c r="Q28" s="6">
        <f>'配方级描述符'!L10</f>
        <v/>
      </c>
      <c r="R28" s="6">
        <f>'配方级描述符'!M10</f>
        <v/>
      </c>
      <c r="S28" s="6">
        <f>'配方级描述符'!N10</f>
        <v/>
      </c>
      <c r="T28" s="6">
        <f>'配方级描述符'!O10</f>
        <v/>
      </c>
      <c r="U28" s="6">
        <f>'配方级描述符'!P10</f>
        <v/>
      </c>
      <c r="V28" s="6">
        <f>'配方级描述符'!Q10</f>
        <v/>
      </c>
      <c r="W28" s="6">
        <f>'配方级描述符'!R10</f>
        <v/>
      </c>
      <c r="X28" s="6">
        <f>'配方级描述符'!S10</f>
        <v/>
      </c>
      <c r="Y28" s="6">
        <f>'配方级描述符'!T10</f>
        <v/>
      </c>
      <c r="Z28" s="6">
        <f>'配方级描述符'!U10</f>
        <v/>
      </c>
      <c r="AA28" s="6">
        <f>'配方级描述符'!V10</f>
        <v/>
      </c>
      <c r="AB28" s="6">
        <f>'配方级描述符'!W10</f>
        <v/>
      </c>
      <c r="AC28" s="6">
        <f>'配方级描述符'!X10</f>
        <v/>
      </c>
      <c r="AD28" s="6">
        <f>'配方级描述符'!Y10</f>
        <v/>
      </c>
      <c r="AE28" s="6">
        <f>'配方级描述符'!Z10</f>
        <v/>
      </c>
      <c r="AF28" s="6">
        <f>'配方级描述符'!AA10</f>
        <v/>
      </c>
      <c r="AG28" s="6">
        <f>'配方级描述符'!AB10</f>
        <v/>
      </c>
      <c r="AH28" s="6">
        <f>'配方级描述符'!AC10</f>
        <v/>
      </c>
      <c r="AI28" s="6">
        <f>'配方级描述符'!AD10</f>
        <v/>
      </c>
      <c r="AJ28" s="6">
        <f>'配方级描述符'!AE10</f>
        <v/>
      </c>
      <c r="AK28" s="6">
        <f>'配方级描述符'!AF10</f>
        <v/>
      </c>
      <c r="AL28" s="6">
        <f>'配方级描述符'!AG10</f>
        <v/>
      </c>
      <c r="AM28" s="6">
        <f>'配方级描述符'!AH10</f>
        <v/>
      </c>
      <c r="AN28" s="6">
        <f>'配方级描述符'!AI10</f>
        <v/>
      </c>
      <c r="AO28" s="6">
        <f>'配方级描述符'!AJ10</f>
        <v/>
      </c>
      <c r="AP28" s="6">
        <f>'配方级描述符'!AK10</f>
        <v/>
      </c>
      <c r="AQ28" s="6">
        <f>'配方级描述符'!AL10</f>
        <v/>
      </c>
      <c r="AR28" s="6">
        <f>'配方级描述符'!AM10</f>
        <v/>
      </c>
      <c r="AS28" s="6">
        <f>'配方级描述符'!AN10</f>
        <v/>
      </c>
      <c r="AT28" s="6">
        <f>'配方级描述符'!AO10</f>
        <v/>
      </c>
      <c r="AU28" s="6">
        <f>'配方级描述符'!AP10</f>
        <v/>
      </c>
      <c r="AV28" s="6">
        <f>'配方级描述符'!AQ10</f>
        <v/>
      </c>
      <c r="AW28" s="6">
        <f>'配方级描述符'!AR10</f>
        <v/>
      </c>
      <c r="AX28" s="6">
        <f>'配方级描述符'!AS10</f>
        <v/>
      </c>
      <c r="AY28" s="6">
        <f>'配方级描述符'!AT10</f>
        <v/>
      </c>
      <c r="AZ28" s="6">
        <f>'配方级描述符'!AU10</f>
        <v/>
      </c>
      <c r="BA28" s="6">
        <f>'配方级描述符'!AV10</f>
        <v/>
      </c>
    </row>
    <row r="29">
      <c r="A29" s="7" t="inlineStr">
        <is>
          <t>PES-0002</t>
        </is>
      </c>
      <c r="B29" s="7" t="inlineStr">
        <is>
          <t>PES-A</t>
        </is>
      </c>
      <c r="C29" s="7" t="inlineStr">
        <is>
          <t>聚酯</t>
        </is>
      </c>
      <c r="D29" s="7">
        <f>IFERROR(INDEX('性能结果'!$F:$F,MATCH(1,('性能结果'!$A:$A=$A29)*('性能结果'!$C:$C=$E29),0)),"")</f>
        <v/>
      </c>
      <c r="E29" s="7" t="inlineStr">
        <is>
          <t>T弯</t>
        </is>
      </c>
      <c r="F29" s="5">
        <f>IFERROR(INDEX('性能结果'!$D:$D,MATCH(1,('性能结果'!$A:$A=$A29)*('性能结果'!$C:$C=$E29),0)),"")</f>
        <v/>
      </c>
      <c r="G29" s="7" t="inlineStr"/>
      <c r="H29" s="7" t="inlineStr"/>
      <c r="I29" s="7">
        <f>'配方级描述符'!D11</f>
        <v/>
      </c>
      <c r="J29" s="7">
        <f>'配方级描述符'!E11</f>
        <v/>
      </c>
      <c r="K29" s="7">
        <f>'配方级描述符'!F11</f>
        <v/>
      </c>
      <c r="L29" s="7">
        <f>'配方级描述符'!G11</f>
        <v/>
      </c>
      <c r="M29" s="7">
        <f>'配方级描述符'!H11</f>
        <v/>
      </c>
      <c r="N29" s="7">
        <f>'配方级描述符'!I11</f>
        <v/>
      </c>
      <c r="O29" s="7">
        <f>'配方级描述符'!J11</f>
        <v/>
      </c>
      <c r="P29" s="7">
        <f>'配方级描述符'!K11</f>
        <v/>
      </c>
      <c r="Q29" s="7">
        <f>'配方级描述符'!L11</f>
        <v/>
      </c>
      <c r="R29" s="7">
        <f>'配方级描述符'!M11</f>
        <v/>
      </c>
      <c r="S29" s="7">
        <f>'配方级描述符'!N11</f>
        <v/>
      </c>
      <c r="T29" s="7">
        <f>'配方级描述符'!O11</f>
        <v/>
      </c>
      <c r="U29" s="7">
        <f>'配方级描述符'!P11</f>
        <v/>
      </c>
      <c r="V29" s="7">
        <f>'配方级描述符'!Q11</f>
        <v/>
      </c>
      <c r="W29" s="7">
        <f>'配方级描述符'!R11</f>
        <v/>
      </c>
      <c r="X29" s="7">
        <f>'配方级描述符'!S11</f>
        <v/>
      </c>
      <c r="Y29" s="7">
        <f>'配方级描述符'!T11</f>
        <v/>
      </c>
      <c r="Z29" s="7">
        <f>'配方级描述符'!U11</f>
        <v/>
      </c>
      <c r="AA29" s="7">
        <f>'配方级描述符'!V11</f>
        <v/>
      </c>
      <c r="AB29" s="7">
        <f>'配方级描述符'!W11</f>
        <v/>
      </c>
      <c r="AC29" s="7">
        <f>'配方级描述符'!X11</f>
        <v/>
      </c>
      <c r="AD29" s="7">
        <f>'配方级描述符'!Y11</f>
        <v/>
      </c>
      <c r="AE29" s="7">
        <f>'配方级描述符'!Z11</f>
        <v/>
      </c>
      <c r="AF29" s="7">
        <f>'配方级描述符'!AA11</f>
        <v/>
      </c>
      <c r="AG29" s="7">
        <f>'配方级描述符'!AB11</f>
        <v/>
      </c>
      <c r="AH29" s="7">
        <f>'配方级描述符'!AC11</f>
        <v/>
      </c>
      <c r="AI29" s="7">
        <f>'配方级描述符'!AD11</f>
        <v/>
      </c>
      <c r="AJ29" s="7">
        <f>'配方级描述符'!AE11</f>
        <v/>
      </c>
      <c r="AK29" s="7">
        <f>'配方级描述符'!AF11</f>
        <v/>
      </c>
      <c r="AL29" s="7">
        <f>'配方级描述符'!AG11</f>
        <v/>
      </c>
      <c r="AM29" s="7">
        <f>'配方级描述符'!AH11</f>
        <v/>
      </c>
      <c r="AN29" s="7">
        <f>'配方级描述符'!AI11</f>
        <v/>
      </c>
      <c r="AO29" s="7">
        <f>'配方级描述符'!AJ11</f>
        <v/>
      </c>
      <c r="AP29" s="7">
        <f>'配方级描述符'!AK11</f>
        <v/>
      </c>
      <c r="AQ29" s="7">
        <f>'配方级描述符'!AL11</f>
        <v/>
      </c>
      <c r="AR29" s="7">
        <f>'配方级描述符'!AM11</f>
        <v/>
      </c>
      <c r="AS29" s="7">
        <f>'配方级描述符'!AN11</f>
        <v/>
      </c>
      <c r="AT29" s="7">
        <f>'配方级描述符'!AO11</f>
        <v/>
      </c>
      <c r="AU29" s="7">
        <f>'配方级描述符'!AP11</f>
        <v/>
      </c>
      <c r="AV29" s="7">
        <f>'配方级描述符'!AQ11</f>
        <v/>
      </c>
      <c r="AW29" s="7">
        <f>'配方级描述符'!AR11</f>
        <v/>
      </c>
      <c r="AX29" s="7">
        <f>'配方级描述符'!AS11</f>
        <v/>
      </c>
      <c r="AY29" s="7">
        <f>'配方级描述符'!AT11</f>
        <v/>
      </c>
      <c r="AZ29" s="7">
        <f>'配方级描述符'!AU11</f>
        <v/>
      </c>
      <c r="BA29" s="7">
        <f>'配方级描述符'!AV11</f>
        <v/>
      </c>
    </row>
    <row r="30">
      <c r="A30" s="6" t="inlineStr">
        <is>
          <t>PES-0002</t>
        </is>
      </c>
      <c r="B30" s="6" t="inlineStr">
        <is>
          <t>PES-A</t>
        </is>
      </c>
      <c r="C30" s="6" t="inlineStr">
        <is>
          <t>聚酯</t>
        </is>
      </c>
      <c r="D30" s="6">
        <f>IFERROR(INDEX('性能结果'!$F:$F,MATCH(1,('性能结果'!$A:$A=$A30)*('性能结果'!$C:$C=$E30),0)),"")</f>
        <v/>
      </c>
      <c r="E30" s="6" t="inlineStr">
        <is>
          <t>MEK擦拭</t>
        </is>
      </c>
      <c r="F30" s="5">
        <f>IFERROR(INDEX('性能结果'!$D:$D,MATCH(1,('性能结果'!$A:$A=$A30)*('性能结果'!$C:$C=$E30),0)),"")</f>
        <v/>
      </c>
      <c r="G30" s="6" t="inlineStr"/>
      <c r="H30" s="6" t="inlineStr"/>
      <c r="I30" s="6">
        <f>'配方级描述符'!D11</f>
        <v/>
      </c>
      <c r="J30" s="6">
        <f>'配方级描述符'!E11</f>
        <v/>
      </c>
      <c r="K30" s="6">
        <f>'配方级描述符'!F11</f>
        <v/>
      </c>
      <c r="L30" s="6">
        <f>'配方级描述符'!G11</f>
        <v/>
      </c>
      <c r="M30" s="6">
        <f>'配方级描述符'!H11</f>
        <v/>
      </c>
      <c r="N30" s="6">
        <f>'配方级描述符'!I11</f>
        <v/>
      </c>
      <c r="O30" s="6">
        <f>'配方级描述符'!J11</f>
        <v/>
      </c>
      <c r="P30" s="6">
        <f>'配方级描述符'!K11</f>
        <v/>
      </c>
      <c r="Q30" s="6">
        <f>'配方级描述符'!L11</f>
        <v/>
      </c>
      <c r="R30" s="6">
        <f>'配方级描述符'!M11</f>
        <v/>
      </c>
      <c r="S30" s="6">
        <f>'配方级描述符'!N11</f>
        <v/>
      </c>
      <c r="T30" s="6">
        <f>'配方级描述符'!O11</f>
        <v/>
      </c>
      <c r="U30" s="6">
        <f>'配方级描述符'!P11</f>
        <v/>
      </c>
      <c r="V30" s="6">
        <f>'配方级描述符'!Q11</f>
        <v/>
      </c>
      <c r="W30" s="6">
        <f>'配方级描述符'!R11</f>
        <v/>
      </c>
      <c r="X30" s="6">
        <f>'配方级描述符'!S11</f>
        <v/>
      </c>
      <c r="Y30" s="6">
        <f>'配方级描述符'!T11</f>
        <v/>
      </c>
      <c r="Z30" s="6">
        <f>'配方级描述符'!U11</f>
        <v/>
      </c>
      <c r="AA30" s="6">
        <f>'配方级描述符'!V11</f>
        <v/>
      </c>
      <c r="AB30" s="6">
        <f>'配方级描述符'!W11</f>
        <v/>
      </c>
      <c r="AC30" s="6">
        <f>'配方级描述符'!X11</f>
        <v/>
      </c>
      <c r="AD30" s="6">
        <f>'配方级描述符'!Y11</f>
        <v/>
      </c>
      <c r="AE30" s="6">
        <f>'配方级描述符'!Z11</f>
        <v/>
      </c>
      <c r="AF30" s="6">
        <f>'配方级描述符'!AA11</f>
        <v/>
      </c>
      <c r="AG30" s="6">
        <f>'配方级描述符'!AB11</f>
        <v/>
      </c>
      <c r="AH30" s="6">
        <f>'配方级描述符'!AC11</f>
        <v/>
      </c>
      <c r="AI30" s="6">
        <f>'配方级描述符'!AD11</f>
        <v/>
      </c>
      <c r="AJ30" s="6">
        <f>'配方级描述符'!AE11</f>
        <v/>
      </c>
      <c r="AK30" s="6">
        <f>'配方级描述符'!AF11</f>
        <v/>
      </c>
      <c r="AL30" s="6">
        <f>'配方级描述符'!AG11</f>
        <v/>
      </c>
      <c r="AM30" s="6">
        <f>'配方级描述符'!AH11</f>
        <v/>
      </c>
      <c r="AN30" s="6">
        <f>'配方级描述符'!AI11</f>
        <v/>
      </c>
      <c r="AO30" s="6">
        <f>'配方级描述符'!AJ11</f>
        <v/>
      </c>
      <c r="AP30" s="6">
        <f>'配方级描述符'!AK11</f>
        <v/>
      </c>
      <c r="AQ30" s="6">
        <f>'配方级描述符'!AL11</f>
        <v/>
      </c>
      <c r="AR30" s="6">
        <f>'配方级描述符'!AM11</f>
        <v/>
      </c>
      <c r="AS30" s="6">
        <f>'配方级描述符'!AN11</f>
        <v/>
      </c>
      <c r="AT30" s="6">
        <f>'配方级描述符'!AO11</f>
        <v/>
      </c>
      <c r="AU30" s="6">
        <f>'配方级描述符'!AP11</f>
        <v/>
      </c>
      <c r="AV30" s="6">
        <f>'配方级描述符'!AQ11</f>
        <v/>
      </c>
      <c r="AW30" s="6">
        <f>'配方级描述符'!AR11</f>
        <v/>
      </c>
      <c r="AX30" s="6">
        <f>'配方级描述符'!AS11</f>
        <v/>
      </c>
      <c r="AY30" s="6">
        <f>'配方级描述符'!AT11</f>
        <v/>
      </c>
      <c r="AZ30" s="6">
        <f>'配方级描述符'!AU11</f>
        <v/>
      </c>
      <c r="BA30" s="6">
        <f>'配方级描述符'!AV11</f>
        <v/>
      </c>
    </row>
    <row r="31">
      <c r="A31" s="7" t="inlineStr">
        <is>
          <t>PES-0002</t>
        </is>
      </c>
      <c r="B31" s="7" t="inlineStr">
        <is>
          <t>PES-A</t>
        </is>
      </c>
      <c r="C31" s="7" t="inlineStr">
        <is>
          <t>聚酯</t>
        </is>
      </c>
      <c r="D31" s="7">
        <f>IFERROR(INDEX('性能结果'!$F:$F,MATCH(1,('性能结果'!$A:$A=$A31)*('性能结果'!$C:$C=$E31),0)),"")</f>
        <v/>
      </c>
      <c r="E31" s="7" t="inlineStr">
        <is>
          <t>水煮等级</t>
        </is>
      </c>
      <c r="F31" s="5">
        <f>IFERROR(INDEX('性能结果'!$D:$D,MATCH(1,('性能结果'!$A:$A=$A31)*('性能结果'!$C:$C=$E31),0)),"")</f>
        <v/>
      </c>
      <c r="G31" s="7" t="inlineStr"/>
      <c r="H31" s="7" t="inlineStr"/>
      <c r="I31" s="7">
        <f>'配方级描述符'!D11</f>
        <v/>
      </c>
      <c r="J31" s="7">
        <f>'配方级描述符'!E11</f>
        <v/>
      </c>
      <c r="K31" s="7">
        <f>'配方级描述符'!F11</f>
        <v/>
      </c>
      <c r="L31" s="7">
        <f>'配方级描述符'!G11</f>
        <v/>
      </c>
      <c r="M31" s="7">
        <f>'配方级描述符'!H11</f>
        <v/>
      </c>
      <c r="N31" s="7">
        <f>'配方级描述符'!I11</f>
        <v/>
      </c>
      <c r="O31" s="7">
        <f>'配方级描述符'!J11</f>
        <v/>
      </c>
      <c r="P31" s="7">
        <f>'配方级描述符'!K11</f>
        <v/>
      </c>
      <c r="Q31" s="7">
        <f>'配方级描述符'!L11</f>
        <v/>
      </c>
      <c r="R31" s="7">
        <f>'配方级描述符'!M11</f>
        <v/>
      </c>
      <c r="S31" s="7">
        <f>'配方级描述符'!N11</f>
        <v/>
      </c>
      <c r="T31" s="7">
        <f>'配方级描述符'!O11</f>
        <v/>
      </c>
      <c r="U31" s="7">
        <f>'配方级描述符'!P11</f>
        <v/>
      </c>
      <c r="V31" s="7">
        <f>'配方级描述符'!Q11</f>
        <v/>
      </c>
      <c r="W31" s="7">
        <f>'配方级描述符'!R11</f>
        <v/>
      </c>
      <c r="X31" s="7">
        <f>'配方级描述符'!S11</f>
        <v/>
      </c>
      <c r="Y31" s="7">
        <f>'配方级描述符'!T11</f>
        <v/>
      </c>
      <c r="Z31" s="7">
        <f>'配方级描述符'!U11</f>
        <v/>
      </c>
      <c r="AA31" s="7">
        <f>'配方级描述符'!V11</f>
        <v/>
      </c>
      <c r="AB31" s="7">
        <f>'配方级描述符'!W11</f>
        <v/>
      </c>
      <c r="AC31" s="7">
        <f>'配方级描述符'!X11</f>
        <v/>
      </c>
      <c r="AD31" s="7">
        <f>'配方级描述符'!Y11</f>
        <v/>
      </c>
      <c r="AE31" s="7">
        <f>'配方级描述符'!Z11</f>
        <v/>
      </c>
      <c r="AF31" s="7">
        <f>'配方级描述符'!AA11</f>
        <v/>
      </c>
      <c r="AG31" s="7">
        <f>'配方级描述符'!AB11</f>
        <v/>
      </c>
      <c r="AH31" s="7">
        <f>'配方级描述符'!AC11</f>
        <v/>
      </c>
      <c r="AI31" s="7">
        <f>'配方级描述符'!AD11</f>
        <v/>
      </c>
      <c r="AJ31" s="7">
        <f>'配方级描述符'!AE11</f>
        <v/>
      </c>
      <c r="AK31" s="7">
        <f>'配方级描述符'!AF11</f>
        <v/>
      </c>
      <c r="AL31" s="7">
        <f>'配方级描述符'!AG11</f>
        <v/>
      </c>
      <c r="AM31" s="7">
        <f>'配方级描述符'!AH11</f>
        <v/>
      </c>
      <c r="AN31" s="7">
        <f>'配方级描述符'!AI11</f>
        <v/>
      </c>
      <c r="AO31" s="7">
        <f>'配方级描述符'!AJ11</f>
        <v/>
      </c>
      <c r="AP31" s="7">
        <f>'配方级描述符'!AK11</f>
        <v/>
      </c>
      <c r="AQ31" s="7">
        <f>'配方级描述符'!AL11</f>
        <v/>
      </c>
      <c r="AR31" s="7">
        <f>'配方级描述符'!AM11</f>
        <v/>
      </c>
      <c r="AS31" s="7">
        <f>'配方级描述符'!AN11</f>
        <v/>
      </c>
      <c r="AT31" s="7">
        <f>'配方级描述符'!AO11</f>
        <v/>
      </c>
      <c r="AU31" s="7">
        <f>'配方级描述符'!AP11</f>
        <v/>
      </c>
      <c r="AV31" s="7">
        <f>'配方级描述符'!AQ11</f>
        <v/>
      </c>
      <c r="AW31" s="7">
        <f>'配方级描述符'!AR11</f>
        <v/>
      </c>
      <c r="AX31" s="7">
        <f>'配方级描述符'!AS11</f>
        <v/>
      </c>
      <c r="AY31" s="7">
        <f>'配方级描述符'!AT11</f>
        <v/>
      </c>
      <c r="AZ31" s="7">
        <f>'配方级描述符'!AU11</f>
        <v/>
      </c>
      <c r="BA31" s="7">
        <f>'配方级描述符'!AV11</f>
        <v/>
      </c>
    </row>
    <row r="32">
      <c r="A32" s="6" t="inlineStr">
        <is>
          <t>PES-0003</t>
        </is>
      </c>
      <c r="B32" s="6" t="inlineStr">
        <is>
          <t>PES-B</t>
        </is>
      </c>
      <c r="C32" s="6" t="inlineStr">
        <is>
          <t>聚酯</t>
        </is>
      </c>
      <c r="D32" s="6">
        <f>IFERROR(INDEX('性能结果'!$F:$F,MATCH(1,('性能结果'!$A:$A=$A32)*('性能结果'!$C:$C=$E32),0)),"")</f>
        <v/>
      </c>
      <c r="E32" s="6" t="inlineStr">
        <is>
          <t>T弯</t>
        </is>
      </c>
      <c r="F32" s="5">
        <f>IFERROR(INDEX('性能结果'!$D:$D,MATCH(1,('性能结果'!$A:$A=$A32)*('性能结果'!$C:$C=$E32),0)),"")</f>
        <v/>
      </c>
      <c r="G32" s="6" t="inlineStr"/>
      <c r="H32" s="6" t="inlineStr"/>
      <c r="I32" s="6">
        <f>'配方级描述符'!D12</f>
        <v/>
      </c>
      <c r="J32" s="6">
        <f>'配方级描述符'!E12</f>
        <v/>
      </c>
      <c r="K32" s="6">
        <f>'配方级描述符'!F12</f>
        <v/>
      </c>
      <c r="L32" s="6">
        <f>'配方级描述符'!G12</f>
        <v/>
      </c>
      <c r="M32" s="6">
        <f>'配方级描述符'!H12</f>
        <v/>
      </c>
      <c r="N32" s="6">
        <f>'配方级描述符'!I12</f>
        <v/>
      </c>
      <c r="O32" s="6">
        <f>'配方级描述符'!J12</f>
        <v/>
      </c>
      <c r="P32" s="6">
        <f>'配方级描述符'!K12</f>
        <v/>
      </c>
      <c r="Q32" s="6">
        <f>'配方级描述符'!L12</f>
        <v/>
      </c>
      <c r="R32" s="6">
        <f>'配方级描述符'!M12</f>
        <v/>
      </c>
      <c r="S32" s="6">
        <f>'配方级描述符'!N12</f>
        <v/>
      </c>
      <c r="T32" s="6">
        <f>'配方级描述符'!O12</f>
        <v/>
      </c>
      <c r="U32" s="6">
        <f>'配方级描述符'!P12</f>
        <v/>
      </c>
      <c r="V32" s="6">
        <f>'配方级描述符'!Q12</f>
        <v/>
      </c>
      <c r="W32" s="6">
        <f>'配方级描述符'!R12</f>
        <v/>
      </c>
      <c r="X32" s="6">
        <f>'配方级描述符'!S12</f>
        <v/>
      </c>
      <c r="Y32" s="6">
        <f>'配方级描述符'!T12</f>
        <v/>
      </c>
      <c r="Z32" s="6">
        <f>'配方级描述符'!U12</f>
        <v/>
      </c>
      <c r="AA32" s="6">
        <f>'配方级描述符'!V12</f>
        <v/>
      </c>
      <c r="AB32" s="6">
        <f>'配方级描述符'!W12</f>
        <v/>
      </c>
      <c r="AC32" s="6">
        <f>'配方级描述符'!X12</f>
        <v/>
      </c>
      <c r="AD32" s="6">
        <f>'配方级描述符'!Y12</f>
        <v/>
      </c>
      <c r="AE32" s="6">
        <f>'配方级描述符'!Z12</f>
        <v/>
      </c>
      <c r="AF32" s="6">
        <f>'配方级描述符'!AA12</f>
        <v/>
      </c>
      <c r="AG32" s="6">
        <f>'配方级描述符'!AB12</f>
        <v/>
      </c>
      <c r="AH32" s="6">
        <f>'配方级描述符'!AC12</f>
        <v/>
      </c>
      <c r="AI32" s="6">
        <f>'配方级描述符'!AD12</f>
        <v/>
      </c>
      <c r="AJ32" s="6">
        <f>'配方级描述符'!AE12</f>
        <v/>
      </c>
      <c r="AK32" s="6">
        <f>'配方级描述符'!AF12</f>
        <v/>
      </c>
      <c r="AL32" s="6">
        <f>'配方级描述符'!AG12</f>
        <v/>
      </c>
      <c r="AM32" s="6">
        <f>'配方级描述符'!AH12</f>
        <v/>
      </c>
      <c r="AN32" s="6">
        <f>'配方级描述符'!AI12</f>
        <v/>
      </c>
      <c r="AO32" s="6">
        <f>'配方级描述符'!AJ12</f>
        <v/>
      </c>
      <c r="AP32" s="6">
        <f>'配方级描述符'!AK12</f>
        <v/>
      </c>
      <c r="AQ32" s="6">
        <f>'配方级描述符'!AL12</f>
        <v/>
      </c>
      <c r="AR32" s="6">
        <f>'配方级描述符'!AM12</f>
        <v/>
      </c>
      <c r="AS32" s="6">
        <f>'配方级描述符'!AN12</f>
        <v/>
      </c>
      <c r="AT32" s="6">
        <f>'配方级描述符'!AO12</f>
        <v/>
      </c>
      <c r="AU32" s="6">
        <f>'配方级描述符'!AP12</f>
        <v/>
      </c>
      <c r="AV32" s="6">
        <f>'配方级描述符'!AQ12</f>
        <v/>
      </c>
      <c r="AW32" s="6">
        <f>'配方级描述符'!AR12</f>
        <v/>
      </c>
      <c r="AX32" s="6">
        <f>'配方级描述符'!AS12</f>
        <v/>
      </c>
      <c r="AY32" s="6">
        <f>'配方级描述符'!AT12</f>
        <v/>
      </c>
      <c r="AZ32" s="6">
        <f>'配方级描述符'!AU12</f>
        <v/>
      </c>
      <c r="BA32" s="6">
        <f>'配方级描述符'!AV12</f>
        <v/>
      </c>
    </row>
    <row r="33">
      <c r="A33" s="7" t="inlineStr">
        <is>
          <t>PES-0003</t>
        </is>
      </c>
      <c r="B33" s="7" t="inlineStr">
        <is>
          <t>PES-B</t>
        </is>
      </c>
      <c r="C33" s="7" t="inlineStr">
        <is>
          <t>聚酯</t>
        </is>
      </c>
      <c r="D33" s="7">
        <f>IFERROR(INDEX('性能结果'!$F:$F,MATCH(1,('性能结果'!$A:$A=$A33)*('性能结果'!$C:$C=$E33),0)),"")</f>
        <v/>
      </c>
      <c r="E33" s="7" t="inlineStr">
        <is>
          <t>MEK擦拭</t>
        </is>
      </c>
      <c r="F33" s="5">
        <f>IFERROR(INDEX('性能结果'!$D:$D,MATCH(1,('性能结果'!$A:$A=$A33)*('性能结果'!$C:$C=$E33),0)),"")</f>
        <v/>
      </c>
      <c r="G33" s="7" t="inlineStr"/>
      <c r="H33" s="7" t="inlineStr"/>
      <c r="I33" s="7">
        <f>'配方级描述符'!D12</f>
        <v/>
      </c>
      <c r="J33" s="7">
        <f>'配方级描述符'!E12</f>
        <v/>
      </c>
      <c r="K33" s="7">
        <f>'配方级描述符'!F12</f>
        <v/>
      </c>
      <c r="L33" s="7">
        <f>'配方级描述符'!G12</f>
        <v/>
      </c>
      <c r="M33" s="7">
        <f>'配方级描述符'!H12</f>
        <v/>
      </c>
      <c r="N33" s="7">
        <f>'配方级描述符'!I12</f>
        <v/>
      </c>
      <c r="O33" s="7">
        <f>'配方级描述符'!J12</f>
        <v/>
      </c>
      <c r="P33" s="7">
        <f>'配方级描述符'!K12</f>
        <v/>
      </c>
      <c r="Q33" s="7">
        <f>'配方级描述符'!L12</f>
        <v/>
      </c>
      <c r="R33" s="7">
        <f>'配方级描述符'!M12</f>
        <v/>
      </c>
      <c r="S33" s="7">
        <f>'配方级描述符'!N12</f>
        <v/>
      </c>
      <c r="T33" s="7">
        <f>'配方级描述符'!O12</f>
        <v/>
      </c>
      <c r="U33" s="7">
        <f>'配方级描述符'!P12</f>
        <v/>
      </c>
      <c r="V33" s="7">
        <f>'配方级描述符'!Q12</f>
        <v/>
      </c>
      <c r="W33" s="7">
        <f>'配方级描述符'!R12</f>
        <v/>
      </c>
      <c r="X33" s="7">
        <f>'配方级描述符'!S12</f>
        <v/>
      </c>
      <c r="Y33" s="7">
        <f>'配方级描述符'!T12</f>
        <v/>
      </c>
      <c r="Z33" s="7">
        <f>'配方级描述符'!U12</f>
        <v/>
      </c>
      <c r="AA33" s="7">
        <f>'配方级描述符'!V12</f>
        <v/>
      </c>
      <c r="AB33" s="7">
        <f>'配方级描述符'!W12</f>
        <v/>
      </c>
      <c r="AC33" s="7">
        <f>'配方级描述符'!X12</f>
        <v/>
      </c>
      <c r="AD33" s="7">
        <f>'配方级描述符'!Y12</f>
        <v/>
      </c>
      <c r="AE33" s="7">
        <f>'配方级描述符'!Z12</f>
        <v/>
      </c>
      <c r="AF33" s="7">
        <f>'配方级描述符'!AA12</f>
        <v/>
      </c>
      <c r="AG33" s="7">
        <f>'配方级描述符'!AB12</f>
        <v/>
      </c>
      <c r="AH33" s="7">
        <f>'配方级描述符'!AC12</f>
        <v/>
      </c>
      <c r="AI33" s="7">
        <f>'配方级描述符'!AD12</f>
        <v/>
      </c>
      <c r="AJ33" s="7">
        <f>'配方级描述符'!AE12</f>
        <v/>
      </c>
      <c r="AK33" s="7">
        <f>'配方级描述符'!AF12</f>
        <v/>
      </c>
      <c r="AL33" s="7">
        <f>'配方级描述符'!AG12</f>
        <v/>
      </c>
      <c r="AM33" s="7">
        <f>'配方级描述符'!AH12</f>
        <v/>
      </c>
      <c r="AN33" s="7">
        <f>'配方级描述符'!AI12</f>
        <v/>
      </c>
      <c r="AO33" s="7">
        <f>'配方级描述符'!AJ12</f>
        <v/>
      </c>
      <c r="AP33" s="7">
        <f>'配方级描述符'!AK12</f>
        <v/>
      </c>
      <c r="AQ33" s="7">
        <f>'配方级描述符'!AL12</f>
        <v/>
      </c>
      <c r="AR33" s="7">
        <f>'配方级描述符'!AM12</f>
        <v/>
      </c>
      <c r="AS33" s="7">
        <f>'配方级描述符'!AN12</f>
        <v/>
      </c>
      <c r="AT33" s="7">
        <f>'配方级描述符'!AO12</f>
        <v/>
      </c>
      <c r="AU33" s="7">
        <f>'配方级描述符'!AP12</f>
        <v/>
      </c>
      <c r="AV33" s="7">
        <f>'配方级描述符'!AQ12</f>
        <v/>
      </c>
      <c r="AW33" s="7">
        <f>'配方级描述符'!AR12</f>
        <v/>
      </c>
      <c r="AX33" s="7">
        <f>'配方级描述符'!AS12</f>
        <v/>
      </c>
      <c r="AY33" s="7">
        <f>'配方级描述符'!AT12</f>
        <v/>
      </c>
      <c r="AZ33" s="7">
        <f>'配方级描述符'!AU12</f>
        <v/>
      </c>
      <c r="BA33" s="7">
        <f>'配方级描述符'!AV12</f>
        <v/>
      </c>
    </row>
    <row r="34">
      <c r="A34" s="6" t="inlineStr">
        <is>
          <t>PES-0003</t>
        </is>
      </c>
      <c r="B34" s="6" t="inlineStr">
        <is>
          <t>PES-B</t>
        </is>
      </c>
      <c r="C34" s="6" t="inlineStr">
        <is>
          <t>聚酯</t>
        </is>
      </c>
      <c r="D34" s="6">
        <f>IFERROR(INDEX('性能结果'!$F:$F,MATCH(1,('性能结果'!$A:$A=$A34)*('性能结果'!$C:$C=$E34),0)),"")</f>
        <v/>
      </c>
      <c r="E34" s="6" t="inlineStr">
        <is>
          <t>水煮等级</t>
        </is>
      </c>
      <c r="F34" s="5">
        <f>IFERROR(INDEX('性能结果'!$D:$D,MATCH(1,('性能结果'!$A:$A=$A34)*('性能结果'!$C:$C=$E34),0)),"")</f>
        <v/>
      </c>
      <c r="G34" s="6" t="inlineStr"/>
      <c r="H34" s="6" t="inlineStr"/>
      <c r="I34" s="6">
        <f>'配方级描述符'!D12</f>
        <v/>
      </c>
      <c r="J34" s="6">
        <f>'配方级描述符'!E12</f>
        <v/>
      </c>
      <c r="K34" s="6">
        <f>'配方级描述符'!F12</f>
        <v/>
      </c>
      <c r="L34" s="6">
        <f>'配方级描述符'!G12</f>
        <v/>
      </c>
      <c r="M34" s="6">
        <f>'配方级描述符'!H12</f>
        <v/>
      </c>
      <c r="N34" s="6">
        <f>'配方级描述符'!I12</f>
        <v/>
      </c>
      <c r="O34" s="6">
        <f>'配方级描述符'!J12</f>
        <v/>
      </c>
      <c r="P34" s="6">
        <f>'配方级描述符'!K12</f>
        <v/>
      </c>
      <c r="Q34" s="6">
        <f>'配方级描述符'!L12</f>
        <v/>
      </c>
      <c r="R34" s="6">
        <f>'配方级描述符'!M12</f>
        <v/>
      </c>
      <c r="S34" s="6">
        <f>'配方级描述符'!N12</f>
        <v/>
      </c>
      <c r="T34" s="6">
        <f>'配方级描述符'!O12</f>
        <v/>
      </c>
      <c r="U34" s="6">
        <f>'配方级描述符'!P12</f>
        <v/>
      </c>
      <c r="V34" s="6">
        <f>'配方级描述符'!Q12</f>
        <v/>
      </c>
      <c r="W34" s="6">
        <f>'配方级描述符'!R12</f>
        <v/>
      </c>
      <c r="X34" s="6">
        <f>'配方级描述符'!S12</f>
        <v/>
      </c>
      <c r="Y34" s="6">
        <f>'配方级描述符'!T12</f>
        <v/>
      </c>
      <c r="Z34" s="6">
        <f>'配方级描述符'!U12</f>
        <v/>
      </c>
      <c r="AA34" s="6">
        <f>'配方级描述符'!V12</f>
        <v/>
      </c>
      <c r="AB34" s="6">
        <f>'配方级描述符'!W12</f>
        <v/>
      </c>
      <c r="AC34" s="6">
        <f>'配方级描述符'!X12</f>
        <v/>
      </c>
      <c r="AD34" s="6">
        <f>'配方级描述符'!Y12</f>
        <v/>
      </c>
      <c r="AE34" s="6">
        <f>'配方级描述符'!Z12</f>
        <v/>
      </c>
      <c r="AF34" s="6">
        <f>'配方级描述符'!AA12</f>
        <v/>
      </c>
      <c r="AG34" s="6">
        <f>'配方级描述符'!AB12</f>
        <v/>
      </c>
      <c r="AH34" s="6">
        <f>'配方级描述符'!AC12</f>
        <v/>
      </c>
      <c r="AI34" s="6">
        <f>'配方级描述符'!AD12</f>
        <v/>
      </c>
      <c r="AJ34" s="6">
        <f>'配方级描述符'!AE12</f>
        <v/>
      </c>
      <c r="AK34" s="6">
        <f>'配方级描述符'!AF12</f>
        <v/>
      </c>
      <c r="AL34" s="6">
        <f>'配方级描述符'!AG12</f>
        <v/>
      </c>
      <c r="AM34" s="6">
        <f>'配方级描述符'!AH12</f>
        <v/>
      </c>
      <c r="AN34" s="6">
        <f>'配方级描述符'!AI12</f>
        <v/>
      </c>
      <c r="AO34" s="6">
        <f>'配方级描述符'!AJ12</f>
        <v/>
      </c>
      <c r="AP34" s="6">
        <f>'配方级描述符'!AK12</f>
        <v/>
      </c>
      <c r="AQ34" s="6">
        <f>'配方级描述符'!AL12</f>
        <v/>
      </c>
      <c r="AR34" s="6">
        <f>'配方级描述符'!AM12</f>
        <v/>
      </c>
      <c r="AS34" s="6">
        <f>'配方级描述符'!AN12</f>
        <v/>
      </c>
      <c r="AT34" s="6">
        <f>'配方级描述符'!AO12</f>
        <v/>
      </c>
      <c r="AU34" s="6">
        <f>'配方级描述符'!AP12</f>
        <v/>
      </c>
      <c r="AV34" s="6">
        <f>'配方级描述符'!AQ12</f>
        <v/>
      </c>
      <c r="AW34" s="6">
        <f>'配方级描述符'!AR12</f>
        <v/>
      </c>
      <c r="AX34" s="6">
        <f>'配方级描述符'!AS12</f>
        <v/>
      </c>
      <c r="AY34" s="6">
        <f>'配方级描述符'!AT12</f>
        <v/>
      </c>
      <c r="AZ34" s="6">
        <f>'配方级描述符'!AU12</f>
        <v/>
      </c>
      <c r="BA34" s="6">
        <f>'配方级描述符'!AV12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8" customWidth="1" min="3" max="3"/>
    <col width="12" customWidth="1" min="4" max="4"/>
    <col width="46" customWidth="1" min="5" max="5"/>
    <col width="14" customWidth="1" min="6" max="6"/>
  </cols>
  <sheetData>
    <row r="1">
      <c r="A1" s="4" t="inlineStr">
        <is>
          <t>字段名</t>
        </is>
      </c>
      <c r="B1" s="4" t="inlineStr">
        <is>
          <t>所属工作表</t>
        </is>
      </c>
      <c r="C1" s="4" t="inlineStr">
        <is>
          <t>类型</t>
        </is>
      </c>
      <c r="D1" s="4" t="inlineStr">
        <is>
          <t>单位</t>
        </is>
      </c>
      <c r="E1" s="4" t="inlineStr">
        <is>
          <t>口径说明</t>
        </is>
      </c>
      <c r="F1" s="4" t="inlineStr">
        <is>
          <t>示例</t>
        </is>
      </c>
    </row>
    <row r="2">
      <c r="A2" s="6" t="inlineStr">
        <is>
          <t>样本ID</t>
        </is>
      </c>
      <c r="B2" s="6" t="inlineStr">
        <is>
          <t>配方明细/性能结果/工艺条件/配方级描述符/建模输入</t>
        </is>
      </c>
      <c r="C2" s="6" t="inlineStr">
        <is>
          <t>文本</t>
        </is>
      </c>
      <c r="D2" s="6" t="inlineStr">
        <is>
          <t>-</t>
        </is>
      </c>
      <c r="E2" s="6" t="inlineStr">
        <is>
          <t>全局唯一，关联各表</t>
        </is>
      </c>
      <c r="F2" s="6" t="inlineStr">
        <is>
          <t>EP-0001</t>
        </is>
      </c>
    </row>
    <row r="3">
      <c r="A3" s="7" t="inlineStr">
        <is>
          <t>系列</t>
        </is>
      </c>
      <c r="B3" s="7" t="inlineStr">
        <is>
          <t>配方明细/配方级描述符/建模输入</t>
        </is>
      </c>
      <c r="C3" s="7" t="inlineStr">
        <is>
          <t>文本</t>
        </is>
      </c>
      <c r="D3" s="7" t="inlineStr">
        <is>
          <t>-</t>
        </is>
      </c>
      <c r="E3" s="7" t="inlineStr">
        <is>
          <t>配方系列/家族（如EP-A），用于系列目标编码建模</t>
        </is>
      </c>
      <c r="F3" s="7" t="inlineStr">
        <is>
          <t>EP-A</t>
        </is>
      </c>
    </row>
    <row r="4">
      <c r="A4" s="6" t="inlineStr">
        <is>
          <t>体系</t>
        </is>
      </c>
      <c r="B4" s="6" t="inlineStr">
        <is>
          <t>体系配置/配方明细</t>
        </is>
      </c>
      <c r="C4" s="6" t="inlineStr">
        <is>
          <t>文本</t>
        </is>
      </c>
      <c r="D4" s="6" t="inlineStr">
        <is>
          <t>-</t>
        </is>
      </c>
      <c r="E4" s="6" t="inlineStr">
        <is>
          <t>化学体系类别，需在体系配置登记</t>
        </is>
      </c>
      <c r="F4" s="6" t="inlineStr">
        <is>
          <t>环氧酚醛</t>
        </is>
      </c>
    </row>
    <row r="5">
      <c r="A5" s="7" t="inlineStr">
        <is>
          <t>固化机制</t>
        </is>
      </c>
      <c r="B5" s="7" t="inlineStr">
        <is>
          <t>体系配置</t>
        </is>
      </c>
      <c r="C5" s="7" t="inlineStr">
        <is>
          <t>文本</t>
        </is>
      </c>
      <c r="D5" s="7" t="inlineStr">
        <is>
          <t>-</t>
        </is>
      </c>
      <c r="E5" s="7" t="inlineStr">
        <is>
          <t>体系交联反应机制</t>
        </is>
      </c>
      <c r="F5" s="7" t="inlineStr">
        <is>
          <t>环氧-酚醛缩合</t>
        </is>
      </c>
    </row>
    <row r="6">
      <c r="A6" s="6" t="inlineStr">
        <is>
          <t>目标属性</t>
        </is>
      </c>
      <c r="B6" s="6" t="inlineStr">
        <is>
          <t>体系配置/性能结果</t>
        </is>
      </c>
      <c r="C6" s="6" t="inlineStr">
        <is>
          <t>文本</t>
        </is>
      </c>
      <c r="D6" s="6" t="inlineStr">
        <is>
          <t>-</t>
        </is>
      </c>
      <c r="E6" s="6" t="inlineStr">
        <is>
          <t>性能名称，需在体系配置登记</t>
        </is>
      </c>
      <c r="F6" s="6" t="inlineStr">
        <is>
          <t>T弯</t>
        </is>
      </c>
    </row>
    <row r="7">
      <c r="A7" s="7" t="inlineStr">
        <is>
          <t>方向</t>
        </is>
      </c>
      <c r="B7" s="7" t="inlineStr">
        <is>
          <t>体系配置</t>
        </is>
      </c>
      <c r="C7" s="7" t="inlineStr">
        <is>
          <t>枚举</t>
        </is>
      </c>
      <c r="D7" s="7" t="inlineStr">
        <is>
          <t>-</t>
        </is>
      </c>
      <c r="E7" s="7" t="inlineStr">
        <is>
          <t>越低越好/越高越好，决定建模目标方向</t>
        </is>
      </c>
      <c r="F7" s="7" t="inlineStr">
        <is>
          <t>越低越好</t>
        </is>
      </c>
    </row>
    <row r="8">
      <c r="A8" s="6" t="inlineStr">
        <is>
          <t>数据类型</t>
        </is>
      </c>
      <c r="B8" s="6" t="inlineStr">
        <is>
          <t>体系配置</t>
        </is>
      </c>
      <c r="C8" s="6" t="inlineStr">
        <is>
          <t>枚举</t>
        </is>
      </c>
      <c r="D8" s="6" t="inlineStr">
        <is>
          <t>-</t>
        </is>
      </c>
      <c r="E8" s="6" t="inlineStr">
        <is>
          <t>连续/计数/等级/分类，决定回归或分类建模</t>
        </is>
      </c>
      <c r="F8" s="6" t="inlineStr">
        <is>
          <t>连续</t>
        </is>
      </c>
    </row>
    <row r="9">
      <c r="A9" s="7" t="inlineStr">
        <is>
          <t>原料代码</t>
        </is>
      </c>
      <c r="B9" s="7" t="inlineStr">
        <is>
          <t>原料主数据/配方明细</t>
        </is>
      </c>
      <c r="C9" s="7" t="inlineStr">
        <is>
          <t>文本</t>
        </is>
      </c>
      <c r="D9" s="7" t="inlineStr">
        <is>
          <t>-</t>
        </is>
      </c>
      <c r="E9" s="7" t="inlineStr">
        <is>
          <t>原料唯一编码，与原料主数据一致</t>
        </is>
      </c>
      <c r="F9" s="7" t="inlineStr">
        <is>
          <t>IR190</t>
        </is>
      </c>
    </row>
    <row r="10">
      <c r="A10" s="6" t="inlineStr">
        <is>
          <t>用量</t>
        </is>
      </c>
      <c r="B10" s="6" t="inlineStr">
        <is>
          <t>配方明细</t>
        </is>
      </c>
      <c r="C10" s="6" t="inlineStr">
        <is>
          <t>数值</t>
        </is>
      </c>
      <c r="D10" s="6" t="inlineStr">
        <is>
          <t>g</t>
        </is>
      </c>
      <c r="E10" s="6" t="inlineStr">
        <is>
          <t>该组分在样本中的质量份</t>
        </is>
      </c>
      <c r="F10" s="6" t="inlineStr">
        <is>
          <t>66.0</t>
        </is>
      </c>
    </row>
    <row r="11">
      <c r="A11" s="7" t="inlineStr">
        <is>
          <t>角色</t>
        </is>
      </c>
      <c r="B11" s="7" t="inlineStr">
        <is>
          <t>原料主数据/配方明细</t>
        </is>
      </c>
      <c r="C11" s="7" t="inlineStr">
        <is>
          <t>枚举</t>
        </is>
      </c>
      <c r="D11" s="7" t="inlineStr">
        <is>
          <t>-</t>
        </is>
      </c>
      <c r="E11" s="7" t="inlineStr">
        <is>
          <t>树脂/固化剂/溶剂/助剂/颜料</t>
        </is>
      </c>
      <c r="F11" s="7" t="inlineStr">
        <is>
          <t>树脂</t>
        </is>
      </c>
    </row>
    <row r="12">
      <c r="A12" s="6" t="inlineStr">
        <is>
          <t>树脂类型</t>
        </is>
      </c>
      <c r="B12" s="6" t="inlineStr">
        <is>
          <t>原料主数据/配方明细</t>
        </is>
      </c>
      <c r="C12" s="6" t="inlineStr">
        <is>
          <t>枚举</t>
        </is>
      </c>
      <c r="D12" s="6" t="inlineStr">
        <is>
          <t>-</t>
        </is>
      </c>
      <c r="E12" s="6" t="inlineStr">
        <is>
          <t>环氧/酚醛/聚酯/乙烯基/丙烯酸/聚氨酯/氨基/其他</t>
        </is>
      </c>
      <c r="F12" s="6" t="inlineStr">
        <is>
          <t>环氧</t>
        </is>
      </c>
    </row>
    <row r="13">
      <c r="A13" s="7" t="inlineStr">
        <is>
          <t>SMILES</t>
        </is>
      </c>
      <c r="B13" s="7" t="inlineStr">
        <is>
          <t>原料主数据</t>
        </is>
      </c>
      <c r="C13" s="7" t="inlineStr">
        <is>
          <t>文本</t>
        </is>
      </c>
      <c r="D13" s="7" t="inlineStr">
        <is>
          <t>-</t>
        </is>
      </c>
      <c r="E13" s="7" t="inlineStr">
        <is>
          <t>原料结构式，可自动计算RDKit/Mordred分子描述符</t>
        </is>
      </c>
      <c r="F13" s="7" t="inlineStr">
        <is>
          <t>CCCCO</t>
        </is>
      </c>
    </row>
    <row r="14">
      <c r="A14" s="6" t="inlineStr">
        <is>
          <t>描述符状态</t>
        </is>
      </c>
      <c r="B14" s="6" t="inlineStr">
        <is>
          <t>原料主数据</t>
        </is>
      </c>
      <c r="C14" s="6" t="inlineStr">
        <is>
          <t>枚举</t>
        </is>
      </c>
      <c r="D14" s="6" t="inlineStr">
        <is>
          <t>-</t>
        </is>
      </c>
      <c r="E14" s="6" t="inlineStr">
        <is>
          <t>已计算/待计算/专有估算</t>
        </is>
      </c>
      <c r="F14" s="6" t="inlineStr">
        <is>
          <t>已计算</t>
        </is>
      </c>
    </row>
    <row r="15">
      <c r="A15" s="7" t="inlineStr">
        <is>
          <t>固含NV</t>
        </is>
      </c>
      <c r="B15" s="7" t="inlineStr">
        <is>
          <t>原料主数据</t>
        </is>
      </c>
      <c r="C15" s="7" t="inlineStr">
        <is>
          <t>数值</t>
        </is>
      </c>
      <c r="D15" s="7" t="inlineStr">
        <is>
          <t>%</t>
        </is>
      </c>
      <c r="E15" s="7" t="inlineStr">
        <is>
          <t>按到货状态的固体含量</t>
        </is>
      </c>
      <c r="F15" s="7" t="inlineStr">
        <is>
          <t>36</t>
        </is>
      </c>
    </row>
    <row r="16">
      <c r="A16" s="6" t="inlineStr">
        <is>
          <t>密度</t>
        </is>
      </c>
      <c r="B16" s="6" t="inlineStr">
        <is>
          <t>原料主数据</t>
        </is>
      </c>
      <c r="C16" s="6" t="inlineStr">
        <is>
          <t>数值</t>
        </is>
      </c>
      <c r="D16" s="6" t="inlineStr">
        <is>
          <t>g/cm³</t>
        </is>
      </c>
      <c r="E16" s="6" t="inlineStr">
        <is>
          <t>原料密度</t>
        </is>
      </c>
      <c r="F16" s="6" t="inlineStr">
        <is>
          <t>1.00</t>
        </is>
      </c>
    </row>
    <row r="17">
      <c r="A17" s="7" t="inlineStr">
        <is>
          <t>分子量</t>
        </is>
      </c>
      <c r="B17" s="7" t="inlineStr">
        <is>
          <t>原料主数据</t>
        </is>
      </c>
      <c r="C17" s="7" t="inlineStr">
        <is>
          <t>数值</t>
        </is>
      </c>
      <c r="D17" s="7" t="inlineStr">
        <is>
          <t>g/mol</t>
        </is>
      </c>
      <c r="E17" s="7" t="inlineStr">
        <is>
          <t>数均分子量（树脂可为典型值）</t>
        </is>
      </c>
      <c r="F17" s="7" t="inlineStr">
        <is>
          <t>1400</t>
        </is>
      </c>
    </row>
    <row r="18">
      <c r="A18" s="6" t="inlineStr">
        <is>
          <t>环氧当量EEW</t>
        </is>
      </c>
      <c r="B18" s="6" t="inlineStr">
        <is>
          <t>原料主数据</t>
        </is>
      </c>
      <c r="C18" s="6" t="inlineStr">
        <is>
          <t>数值</t>
        </is>
      </c>
      <c r="D18" s="6" t="inlineStr">
        <is>
          <t>g/eq</t>
        </is>
      </c>
      <c r="E18" s="6" t="inlineStr">
        <is>
          <t>含1mol环氧基的到货产品质量</t>
        </is>
      </c>
      <c r="F18" s="6" t="inlineStr">
        <is>
          <t>2640</t>
        </is>
      </c>
    </row>
    <row r="19">
      <c r="A19" s="7" t="inlineStr">
        <is>
          <t>酸值AV</t>
        </is>
      </c>
      <c r="B19" s="7" t="inlineStr">
        <is>
          <t>原料主数据</t>
        </is>
      </c>
      <c r="C19" s="7" t="inlineStr">
        <is>
          <t>数值</t>
        </is>
      </c>
      <c r="D19" s="7" t="inlineStr">
        <is>
          <t>mgKOH/g</t>
        </is>
      </c>
      <c r="E19" s="7" t="inlineStr">
        <is>
          <t>中和1g样品游离酸所需KOH</t>
        </is>
      </c>
      <c r="F19" s="7" t="inlineStr">
        <is>
          <t>0.5</t>
        </is>
      </c>
    </row>
    <row r="20">
      <c r="A20" s="6" t="inlineStr">
        <is>
          <t>羟值OHV</t>
        </is>
      </c>
      <c r="B20" s="6" t="inlineStr">
        <is>
          <t>原料主数据</t>
        </is>
      </c>
      <c r="C20" s="6" t="inlineStr">
        <is>
          <t>数值</t>
        </is>
      </c>
      <c r="D20" s="6" t="inlineStr">
        <is>
          <t>mgKOH/g</t>
        </is>
      </c>
      <c r="E20" s="6" t="inlineStr">
        <is>
          <t>中和1g样品羟基所需KOH</t>
        </is>
      </c>
      <c r="F20" s="6" t="inlineStr">
        <is>
          <t>30</t>
        </is>
      </c>
    </row>
    <row r="21">
      <c r="A21" s="7" t="inlineStr">
        <is>
          <t>胺值</t>
        </is>
      </c>
      <c r="B21" s="7" t="inlineStr">
        <is>
          <t>原料主数据</t>
        </is>
      </c>
      <c r="C21" s="7" t="inlineStr">
        <is>
          <t>数值</t>
        </is>
      </c>
      <c r="D21" s="7" t="inlineStr">
        <is>
          <t>mgKOH/g</t>
        </is>
      </c>
      <c r="E21" s="7" t="inlineStr">
        <is>
          <t>中和1g样品胺基所需KOH</t>
        </is>
      </c>
      <c r="F21" s="7" t="inlineStr">
        <is>
          <t>0</t>
        </is>
      </c>
    </row>
    <row r="22">
      <c r="A22" s="6" t="inlineStr">
        <is>
          <t>官能度</t>
        </is>
      </c>
      <c r="B22" s="6" t="inlineStr">
        <is>
          <t>原料主数据</t>
        </is>
      </c>
      <c r="C22" s="6" t="inlineStr">
        <is>
          <t>数值</t>
        </is>
      </c>
      <c r="D22" s="6" t="inlineStr">
        <is>
          <t>-</t>
        </is>
      </c>
      <c r="E22" s="6" t="inlineStr">
        <is>
          <t>每分子平均活性基团数</t>
        </is>
      </c>
      <c r="F22" s="6" t="inlineStr">
        <is>
          <t>2</t>
        </is>
      </c>
    </row>
    <row r="23">
      <c r="A23" s="7" t="inlineStr">
        <is>
          <t>Tg</t>
        </is>
      </c>
      <c r="B23" s="7" t="inlineStr">
        <is>
          <t>原料主数据</t>
        </is>
      </c>
      <c r="C23" s="7" t="inlineStr">
        <is>
          <t>数值</t>
        </is>
      </c>
      <c r="D23" s="7" t="inlineStr">
        <is>
          <t>℃</t>
        </is>
      </c>
      <c r="E23" s="7" t="inlineStr">
        <is>
          <t>玻璃化转变温度</t>
        </is>
      </c>
      <c r="F23" s="7" t="inlineStr">
        <is>
          <t>70</t>
        </is>
      </c>
    </row>
    <row r="24">
      <c r="A24" s="6" t="inlineStr">
        <is>
          <t>沸点/闪点</t>
        </is>
      </c>
      <c r="B24" s="6" t="inlineStr">
        <is>
          <t>原料主数据</t>
        </is>
      </c>
      <c r="C24" s="6" t="inlineStr">
        <is>
          <t>数值</t>
        </is>
      </c>
      <c r="D24" s="6" t="inlineStr">
        <is>
          <t>℃</t>
        </is>
      </c>
      <c r="E24" s="6" t="inlineStr">
        <is>
          <t>常压沸点/闭杯闪点</t>
        </is>
      </c>
      <c r="F24" s="6" t="inlineStr">
        <is>
          <t>250/100</t>
        </is>
      </c>
    </row>
    <row r="25">
      <c r="A25" s="7" t="inlineStr">
        <is>
          <t>Hansen δD/δP/δH</t>
        </is>
      </c>
      <c r="B25" s="7" t="inlineStr">
        <is>
          <t>原料主数据</t>
        </is>
      </c>
      <c r="C25" s="7" t="inlineStr">
        <is>
          <t>数值</t>
        </is>
      </c>
      <c r="D25" s="7" t="inlineStr">
        <is>
          <t>MPa^0.5</t>
        </is>
      </c>
      <c r="E25" s="7" t="inlineStr">
        <is>
          <t>Hansen溶解度参数三分量</t>
        </is>
      </c>
      <c r="F25" s="7" t="inlineStr">
        <is>
          <t>18.5/6.0/8.5</t>
        </is>
      </c>
    </row>
    <row r="26">
      <c r="A26" s="6" t="inlineStr">
        <is>
          <t>极性指数</t>
        </is>
      </c>
      <c r="B26" s="6" t="inlineStr">
        <is>
          <t>原料主数据</t>
        </is>
      </c>
      <c r="C26" s="6" t="inlineStr">
        <is>
          <t>数值</t>
        </is>
      </c>
      <c r="D26" s="6" t="inlineStr">
        <is>
          <t>-</t>
        </is>
      </c>
      <c r="E26" s="6" t="inlineStr">
        <is>
          <t>溶剂极性指数（树脂可填0）</t>
        </is>
      </c>
      <c r="F26" s="6" t="inlineStr">
        <is>
          <t>3.0</t>
        </is>
      </c>
    </row>
    <row r="27">
      <c r="A27" s="7" t="inlineStr">
        <is>
          <t>相对挥发速率</t>
        </is>
      </c>
      <c r="B27" s="7" t="inlineStr">
        <is>
          <t>原料主数据</t>
        </is>
      </c>
      <c r="C27" s="7" t="inlineStr">
        <is>
          <t>数值</t>
        </is>
      </c>
      <c r="D27" s="7" t="inlineStr">
        <is>
          <t>-</t>
        </is>
      </c>
      <c r="E27" s="7" t="inlineStr">
        <is>
          <t>以乙酸丁酯=1</t>
        </is>
      </c>
      <c r="F27" s="7" t="inlineStr">
        <is>
          <t>0.07</t>
        </is>
      </c>
    </row>
    <row r="28">
      <c r="A28" s="6" t="inlineStr">
        <is>
          <t>C/H/O/N/S/Cl</t>
        </is>
      </c>
      <c r="B28" s="6" t="inlineStr">
        <is>
          <t>原料主数据</t>
        </is>
      </c>
      <c r="C28" s="6" t="inlineStr">
        <is>
          <t>数值</t>
        </is>
      </c>
      <c r="D28" s="6" t="inlineStr">
        <is>
          <t>%</t>
        </is>
      </c>
      <c r="E28" s="6" t="inlineStr">
        <is>
          <t>元素质量分数</t>
        </is>
      </c>
      <c r="F28" s="6" t="inlineStr">
        <is>
          <t>72/7/20/0/0/0</t>
        </is>
      </c>
    </row>
    <row r="29">
      <c r="A29" s="7" t="inlineStr">
        <is>
          <t>环氧基/羟基/羧基/酯基/胺基/酰胺/芳香环/醚键</t>
        </is>
      </c>
      <c r="B29" s="7" t="inlineStr">
        <is>
          <t>原料主数据</t>
        </is>
      </c>
      <c r="C29" s="7" t="inlineStr">
        <is>
          <t>数值</t>
        </is>
      </c>
      <c r="D29" s="7" t="inlineStr">
        <is>
          <t>mol/100g</t>
        </is>
      </c>
      <c r="E29" s="7" t="inlineStr">
        <is>
          <t>官能团密度</t>
        </is>
      </c>
      <c r="F29" s="7" t="inlineStr">
        <is>
          <t>0.038</t>
        </is>
      </c>
    </row>
    <row r="30">
      <c r="A30" s="6" t="inlineStr">
        <is>
          <t>蜡含量/颜料含量</t>
        </is>
      </c>
      <c r="B30" s="6" t="inlineStr">
        <is>
          <t>原料主数据</t>
        </is>
      </c>
      <c r="C30" s="6" t="inlineStr">
        <is>
          <t>数值</t>
        </is>
      </c>
      <c r="D30" s="6" t="inlineStr">
        <is>
          <t>%</t>
        </is>
      </c>
      <c r="E30" s="6" t="inlineStr">
        <is>
          <t>原料中蜡/颜料质量分数</t>
        </is>
      </c>
      <c r="F30" s="6" t="inlineStr">
        <is>
          <t>25</t>
        </is>
      </c>
    </row>
    <row r="31">
      <c r="A31" s="7" t="inlineStr">
        <is>
          <t>总用量</t>
        </is>
      </c>
      <c r="B31" s="7" t="inlineStr">
        <is>
          <t>配方级描述符</t>
        </is>
      </c>
      <c r="C31" s="7" t="inlineStr">
        <is>
          <t>公式</t>
        </is>
      </c>
      <c r="D31" s="7" t="inlineStr">
        <is>
          <t>g</t>
        </is>
      </c>
      <c r="E31" s="7" t="inlineStr">
        <is>
          <t>样本各组分用量之和</t>
        </is>
      </c>
      <c r="F31" s="7" t="inlineStr">
        <is>
          <t>SUMIF(配方明细,A2,用量)</t>
        </is>
      </c>
    </row>
    <row r="32">
      <c r="A32" s="6" t="inlineStr">
        <is>
          <t>树脂/固化剂/溶剂/助剂/颜料占比</t>
        </is>
      </c>
      <c r="B32" s="6" t="inlineStr">
        <is>
          <t>配方级描述符</t>
        </is>
      </c>
      <c r="C32" s="6" t="inlineStr">
        <is>
          <t>公式</t>
        </is>
      </c>
      <c r="D32" s="6" t="inlineStr">
        <is>
          <t>-</t>
        </is>
      </c>
      <c r="E32" s="6" t="inlineStr">
        <is>
          <t>各角色质量分数</t>
        </is>
      </c>
      <c r="F32" s="6" t="inlineStr">
        <is>
          <t>0.72</t>
        </is>
      </c>
    </row>
    <row r="33">
      <c r="A33" s="7" t="inlineStr">
        <is>
          <t>加权固含等</t>
        </is>
      </c>
      <c r="B33" s="7" t="inlineStr">
        <is>
          <t>配方级描述符</t>
        </is>
      </c>
      <c r="C33" s="7" t="inlineStr">
        <is>
          <t>公式</t>
        </is>
      </c>
      <c r="D33" s="7" t="inlineStr">
        <is>
          <t>-</t>
        </is>
      </c>
      <c r="E33" s="7" t="inlineStr">
        <is>
          <t>按质量分数加权的原料描述符</t>
        </is>
      </c>
      <c r="F33" s="7" t="inlineStr">
        <is>
          <t>SUMPRODUCT(匹配*贡献)/总用量</t>
        </is>
      </c>
    </row>
    <row r="34">
      <c r="A34" s="6" t="inlineStr">
        <is>
          <t>环氧基密度等</t>
        </is>
      </c>
      <c r="B34" s="6" t="inlineStr">
        <is>
          <t>配方级描述符</t>
        </is>
      </c>
      <c r="C34" s="6" t="inlineStr">
        <is>
          <t>公式</t>
        </is>
      </c>
      <c r="D34" s="6" t="inlineStr">
        <is>
          <t>mol/100g</t>
        </is>
      </c>
      <c r="E34" s="6" t="inlineStr">
        <is>
          <t>每100g配方的官能团摩尔数</t>
        </is>
      </c>
      <c r="F34" s="6" t="inlineStr">
        <is>
          <t>0.05</t>
        </is>
      </c>
    </row>
    <row r="35">
      <c r="A35" s="7" t="inlineStr">
        <is>
          <t>测试值</t>
        </is>
      </c>
      <c r="B35" s="7" t="inlineStr">
        <is>
          <t>性能结果/建模输入</t>
        </is>
      </c>
      <c r="C35" s="7" t="inlineStr">
        <is>
          <t>数值</t>
        </is>
      </c>
      <c r="D35" s="7" t="inlineStr">
        <is>
          <t>-</t>
        </is>
      </c>
      <c r="E35" s="7" t="inlineStr">
        <is>
          <t>性能测试结果（实测值）</t>
        </is>
      </c>
      <c r="F35" s="7" t="inlineStr">
        <is>
          <t>17.415</t>
        </is>
      </c>
    </row>
    <row r="36">
      <c r="A36" s="6" t="inlineStr">
        <is>
          <t>标签状态</t>
        </is>
      </c>
      <c r="B36" s="6" t="inlineStr">
        <is>
          <t>性能结果/建模输入</t>
        </is>
      </c>
      <c r="C36" s="6" t="inlineStr">
        <is>
          <t>枚举</t>
        </is>
      </c>
      <c r="D36" s="6" t="inlineStr">
        <is>
          <t>-</t>
        </is>
      </c>
      <c r="E36" s="6" t="inlineStr">
        <is>
          <t>实测/伪标签/推荐测试/人工复核</t>
        </is>
      </c>
      <c r="F36" s="6" t="inlineStr">
        <is>
          <t>实测</t>
        </is>
      </c>
    </row>
    <row r="37">
      <c r="A37" s="7" t="inlineStr">
        <is>
          <t>标签来源</t>
        </is>
      </c>
      <c r="B37" s="7" t="inlineStr">
        <is>
          <t>性能结果</t>
        </is>
      </c>
      <c r="C37" s="7" t="inlineStr">
        <is>
          <t>文本</t>
        </is>
      </c>
      <c r="D37" s="7" t="inlineStr">
        <is>
          <t>-</t>
        </is>
      </c>
      <c r="E37" s="7" t="inlineStr">
        <is>
          <t>实验室/模型预测/主动学习/人工复核</t>
        </is>
      </c>
      <c r="F37" s="7" t="inlineStr">
        <is>
          <t>实验室</t>
        </is>
      </c>
    </row>
    <row r="38">
      <c r="A38" s="6" t="inlineStr">
        <is>
          <t>不确定性</t>
        </is>
      </c>
      <c r="B38" s="6" t="inlineStr">
        <is>
          <t>性能结果/建模输入</t>
        </is>
      </c>
      <c r="C38" s="6" t="inlineStr">
        <is>
          <t>数值</t>
        </is>
      </c>
      <c r="D38" s="6" t="inlineStr">
        <is>
          <t>-</t>
        </is>
      </c>
      <c r="E38" s="6" t="inlineStr">
        <is>
          <t>模型预测的树间标准差（RF）</t>
        </is>
      </c>
      <c r="F38" s="6" t="inlineStr">
        <is>
          <t>0.42</t>
        </is>
      </c>
    </row>
    <row r="39">
      <c r="A39" s="7" t="inlineStr">
        <is>
          <t>预测值</t>
        </is>
      </c>
      <c r="B39" s="7" t="inlineStr">
        <is>
          <t>建模输入</t>
        </is>
      </c>
      <c r="C39" s="7" t="inlineStr">
        <is>
          <t>数值</t>
        </is>
      </c>
      <c r="D39" s="7" t="inlineStr">
        <is>
          <t>-</t>
        </is>
      </c>
      <c r="E39" s="7" t="inlineStr">
        <is>
          <t>模型对无标签样本的预测（伪标签候选）</t>
        </is>
      </c>
      <c r="F39" s="7" t="inlineStr">
        <is>
          <t>18.6</t>
        </is>
      </c>
    </row>
    <row r="40">
      <c r="A40" s="6" t="inlineStr">
        <is>
          <t>烘烤温度/时间</t>
        </is>
      </c>
      <c r="B40" s="6" t="inlineStr">
        <is>
          <t>工艺条件</t>
        </is>
      </c>
      <c r="C40" s="6" t="inlineStr">
        <is>
          <t>数值</t>
        </is>
      </c>
      <c r="D40" s="6" t="inlineStr">
        <is>
          <t>℃/min</t>
        </is>
      </c>
      <c r="E40" s="6" t="inlineStr">
        <is>
          <t>固化工艺参数</t>
        </is>
      </c>
      <c r="F40" s="6" t="inlineStr">
        <is>
          <t>205/17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2026-08-31T04:14:33Z</dcterms:created>
  <dcterms:modified xmlns:dcterms="http://purl.org/dc/terms/" xmlns:xsi="http://www.w3.org/2001/XMLSchema-instance" xsi:type="dcterms:W3CDTF">2026-08-31T04:14:34Z</dcterms:modified>
</cp:coreProperties>
</file>